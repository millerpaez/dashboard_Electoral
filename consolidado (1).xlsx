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olidado global nuevo" sheetId="1" r:id="rId5"/>
    <sheet state="visible" name="presupuesto" sheetId="2" r:id="rId6"/>
  </sheets>
  <definedNames>
    <definedName hidden="1" localSheetId="0" name="_xlnm._FilterDatabase">'Consolidado global nuevo'!$A$1:$Z$3435</definedName>
  </definedNames>
  <calcPr/>
</workbook>
</file>

<file path=xl/sharedStrings.xml><?xml version="1.0" encoding="utf-8"?>
<sst xmlns="http://schemas.openxmlformats.org/spreadsheetml/2006/main" count="15221" uniqueCount="5273">
  <si>
    <t>-</t>
  </si>
  <si>
    <t>tipo_lider</t>
  </si>
  <si>
    <t>intencion_voto</t>
  </si>
  <si>
    <t>nombre</t>
  </si>
  <si>
    <t>telefono</t>
  </si>
  <si>
    <t>departamento</t>
  </si>
  <si>
    <t>municipio</t>
  </si>
  <si>
    <t>barrio/vereda</t>
  </si>
  <si>
    <t>lider</t>
  </si>
  <si>
    <t>puesto_votacion</t>
  </si>
  <si>
    <t>mesa</t>
  </si>
  <si>
    <t>mun_votacion</t>
  </si>
  <si>
    <t>Zona</t>
  </si>
  <si>
    <t>cumplio</t>
  </si>
  <si>
    <t>Condicionado</t>
  </si>
  <si>
    <t>comentario</t>
  </si>
  <si>
    <t>Columna 1</t>
  </si>
  <si>
    <t>Columna 2</t>
  </si>
  <si>
    <t>Columna 3</t>
  </si>
  <si>
    <t>Columna 4</t>
  </si>
  <si>
    <t>Columna 5</t>
  </si>
  <si>
    <t>Columna 6</t>
  </si>
  <si>
    <t>Columna 7</t>
  </si>
  <si>
    <t>Columna 8</t>
  </si>
  <si>
    <t>Columna 9</t>
  </si>
  <si>
    <t>Columna 10</t>
  </si>
  <si>
    <t>18051415</t>
  </si>
  <si>
    <t>Votante</t>
  </si>
  <si>
    <t>Pendiente</t>
  </si>
  <si>
    <t>ABELARDO PEROS</t>
  </si>
  <si>
    <t>Amazonas</t>
  </si>
  <si>
    <t>Puerto Nariño</t>
  </si>
  <si>
    <t>Beth Sampayo</t>
  </si>
  <si>
    <t>1007366383</t>
  </si>
  <si>
    <t>ABEL IPUCHIMA</t>
  </si>
  <si>
    <t>Leticia</t>
  </si>
  <si>
    <t>ABEL  RAMIREZ</t>
  </si>
  <si>
    <t>3134391243</t>
  </si>
  <si>
    <t>Santander</t>
  </si>
  <si>
    <t>Bucaramanga</t>
  </si>
  <si>
    <t>BARR Bucaramanga</t>
  </si>
  <si>
    <t>Mauricio  Acevedo</t>
  </si>
  <si>
    <t>Colegio americano</t>
  </si>
  <si>
    <t>BUCARAMANGA</t>
  </si>
  <si>
    <t>si</t>
  </si>
  <si>
    <t>1131534382</t>
  </si>
  <si>
    <t>ADELA GRANDE</t>
  </si>
  <si>
    <t>1007205173</t>
  </si>
  <si>
    <t>ADRIANA ALVIAR</t>
  </si>
  <si>
    <t>ADRIANA  BLANCO</t>
  </si>
  <si>
    <t>3112844549</t>
  </si>
  <si>
    <t>Diego Esteban Quintero Bustos</t>
  </si>
  <si>
    <t xml:space="preserve">COLEGIO REINA DE LA PAZ
</t>
  </si>
  <si>
    <t>FLORIDABLANCA</t>
  </si>
  <si>
    <t>1148960047</t>
  </si>
  <si>
    <t>ADRIANA CAHUACHE</t>
  </si>
  <si>
    <t>ADRIANA  DURAN</t>
  </si>
  <si>
    <t>3002903609</t>
  </si>
  <si>
    <t>BARR Cabecera Del Llano</t>
  </si>
  <si>
    <t>no</t>
  </si>
  <si>
    <t>no existe la cedula</t>
  </si>
  <si>
    <t>1006731746</t>
  </si>
  <si>
    <t>ADRIANA ENCINALES CARVAJAL</t>
  </si>
  <si>
    <t>1121220728</t>
  </si>
  <si>
    <t>ADRIANA FLORES</t>
  </si>
  <si>
    <t>Lider / 0</t>
  </si>
  <si>
    <t>Comprometido</t>
  </si>
  <si>
    <t>ADRIAN ALBERTO VALENCIA VALENCIA</t>
  </si>
  <si>
    <t>3118106499</t>
  </si>
  <si>
    <t>Bogota</t>
  </si>
  <si>
    <t>Energia  Departamental</t>
  </si>
  <si>
    <t>COLEGIO RR OBLATAS AL DIVINO AMOR</t>
  </si>
  <si>
    <t>BOGOTA</t>
  </si>
  <si>
    <t>ADRIANA  MARTINEZ CAMARGO</t>
  </si>
  <si>
    <t>3222492082</t>
  </si>
  <si>
    <t>Giron</t>
  </si>
  <si>
    <t>Gustavo Andres Rivero Rodriguez</t>
  </si>
  <si>
    <t>COLISEO CUBIERTO CIUDADELA VILLAMIL</t>
  </si>
  <si>
    <t>GIRON</t>
  </si>
  <si>
    <t>ADRIANA  PATRICIA</t>
  </si>
  <si>
    <t>3005288604</t>
  </si>
  <si>
    <t>Floridablanca</t>
  </si>
  <si>
    <t>BARR Los Arrayanes</t>
  </si>
  <si>
    <t xml:space="preserve">IE CAFÉ MADRID
</t>
  </si>
  <si>
    <t>1052988916</t>
  </si>
  <si>
    <t>ADRIANA PATRICIA RODRIGUEZ NAVAS</t>
  </si>
  <si>
    <t>1121215451</t>
  </si>
  <si>
    <t>ADRIANA VARGAS</t>
  </si>
  <si>
    <t>18050305</t>
  </si>
  <si>
    <t>AGUSTIN AHUE COELLO</t>
  </si>
  <si>
    <t>1121446367</t>
  </si>
  <si>
    <t>AHINOVER CACERES</t>
  </si>
  <si>
    <t>1127772090</t>
  </si>
  <si>
    <t>AIDA RODRIGUEZ</t>
  </si>
  <si>
    <t>AIDE  CARMONA ACOSTA</t>
  </si>
  <si>
    <t>3127395843</t>
  </si>
  <si>
    <t>SANTA HELENITA</t>
  </si>
  <si>
    <t>ALBA LUCIA GUTIERREZ</t>
  </si>
  <si>
    <t>3166732626</t>
  </si>
  <si>
    <t>IE MAIPORÉ SEDE B</t>
  </si>
  <si>
    <t>ALBA SOFIA HOYOS</t>
  </si>
  <si>
    <t>3166408566</t>
  </si>
  <si>
    <t xml:space="preserve"> UNIVERSIDAD COOP DE COLOMBIA
</t>
  </si>
  <si>
    <t>ALDEMAR  PAVA</t>
  </si>
  <si>
    <t>3005354152</t>
  </si>
  <si>
    <t>Antioquia</t>
  </si>
  <si>
    <t>Sabaneta</t>
  </si>
  <si>
    <t>BARR Sabaneta</t>
  </si>
  <si>
    <t>IE CONCEJO DE SABANETA JMCB</t>
  </si>
  <si>
    <t>41056745</t>
  </si>
  <si>
    <t>ALCIRA BECERRA</t>
  </si>
  <si>
    <t>ALDEMAR  VIDAL MONJE</t>
  </si>
  <si>
    <t>3125957127</t>
  </si>
  <si>
    <t>Barrancabermeja</t>
  </si>
  <si>
    <t>Colegio Jhon. F. Kennedy Sede D</t>
  </si>
  <si>
    <t>1</t>
  </si>
  <si>
    <t>ALDY  FLOREZ</t>
  </si>
  <si>
    <t>3155085240</t>
  </si>
  <si>
    <t>BARR Cabecera</t>
  </si>
  <si>
    <t>no existe cedula</t>
  </si>
  <si>
    <t>42057201</t>
  </si>
  <si>
    <t>ALDENORA LINARES VASQUEZ</t>
  </si>
  <si>
    <t>ALEJANDRA  CAERES BUENO</t>
  </si>
  <si>
    <t>3001698581</t>
  </si>
  <si>
    <t>COL SANTANDER SEDE C</t>
  </si>
  <si>
    <t>ALEJANDRA  ESCOBAR CRUZ</t>
  </si>
  <si>
    <t>3116749197</t>
  </si>
  <si>
    <t>BARR La Joya</t>
  </si>
  <si>
    <t>INST TEC SALESIANO ELOY VALENZ</t>
  </si>
  <si>
    <t>1122266109</t>
  </si>
  <si>
    <t>ALEJANDRA CERRON</t>
  </si>
  <si>
    <t>ALEJANDRA  LOPEZ</t>
  </si>
  <si>
    <t>3115194094</t>
  </si>
  <si>
    <t>BARR Bogota</t>
  </si>
  <si>
    <t>1121219756</t>
  </si>
  <si>
    <t>ALEJANDRA FLORES</t>
  </si>
  <si>
    <t>15877884</t>
  </si>
  <si>
    <t>ALEJANDRA FREITAS</t>
  </si>
  <si>
    <t>ALEXANDER  PEREZ</t>
  </si>
  <si>
    <t>3174033202</t>
  </si>
  <si>
    <t>BARR La Libertad</t>
  </si>
  <si>
    <t>Santiago  Rueda</t>
  </si>
  <si>
    <t>40178311</t>
  </si>
  <si>
    <t>ALEJANDRINA CHOTA LAULATE</t>
  </si>
  <si>
    <t>40151117</t>
  </si>
  <si>
    <t>ALEJANDRINA COELLO CASTILLO</t>
  </si>
  <si>
    <t>15877806</t>
  </si>
  <si>
    <t>ALEJANDRO HOLANDA</t>
  </si>
  <si>
    <t>18051519</t>
  </si>
  <si>
    <t>ALEJANDRO LAULATE VALERIO</t>
  </si>
  <si>
    <t>1006784515</t>
  </si>
  <si>
    <t>ALEXANDER CERRON</t>
  </si>
  <si>
    <t>ALEXANDER  RIVEROS SANCHEZ</t>
  </si>
  <si>
    <t>3112184615</t>
  </si>
  <si>
    <t>ALEXANDER  SANCHEZ</t>
  </si>
  <si>
    <t>3193491258</t>
  </si>
  <si>
    <t xml:space="preserve">SALON COMUNAL SANTA ISABEL
</t>
  </si>
  <si>
    <t>ALEXANDER  VILLAFAÑE MACHADO</t>
  </si>
  <si>
    <t>3132324087</t>
  </si>
  <si>
    <t>Piedecuesta</t>
  </si>
  <si>
    <t>COL BALBINO GARCIA SEDE A</t>
  </si>
  <si>
    <t>ALEXANDRA CERON SALAMANCA</t>
  </si>
  <si>
    <t>3185739752 / 3227998750</t>
  </si>
  <si>
    <t>BARR Villa Rosa</t>
  </si>
  <si>
    <t>Cindy Dayana Gomez</t>
  </si>
  <si>
    <t>COL FRANCISCO DE PAULA S/DER SEDE A</t>
  </si>
  <si>
    <t>1193410564</t>
  </si>
  <si>
    <t>ALEXANDRA RAMOS</t>
  </si>
  <si>
    <t>ALEXANDRA  REYES SILVA</t>
  </si>
  <si>
    <t>3159251979</t>
  </si>
  <si>
    <t>Guadalupe</t>
  </si>
  <si>
    <t>PUESTO CABECERA MUNICIPAL</t>
  </si>
  <si>
    <t>ALEX  CASTRO</t>
  </si>
  <si>
    <t>3212135323</t>
  </si>
  <si>
    <t>COLEGIO REINA DE LA PAZ</t>
  </si>
  <si>
    <t>6565780</t>
  </si>
  <si>
    <t>ALEX CERRON</t>
  </si>
  <si>
    <t>1121215937</t>
  </si>
  <si>
    <t>ALEXERD VASQUEZ LEON</t>
  </si>
  <si>
    <t>ALEXIS  ORTIZ</t>
  </si>
  <si>
    <t>3118391767</t>
  </si>
  <si>
    <t>BARR El Salitre</t>
  </si>
  <si>
    <t>Gloria Estefania Rincon</t>
  </si>
  <si>
    <t xml:space="preserve">COL CAMILO TORRES
</t>
  </si>
  <si>
    <t>1121204409</t>
  </si>
  <si>
    <t>ALEX ORACO</t>
  </si>
  <si>
    <t>1121198396</t>
  </si>
  <si>
    <t>ALEX PEÑA LOPEZ</t>
  </si>
  <si>
    <t>1122702027</t>
  </si>
  <si>
    <t>ALEX VILCA RAMIREZ</t>
  </si>
  <si>
    <t>1007344555</t>
  </si>
  <si>
    <t>ALI CACERES</t>
  </si>
  <si>
    <t>41055029</t>
  </si>
  <si>
    <t>ALICIA BAUTISTA DEMETRI</t>
  </si>
  <si>
    <t>15885811</t>
  </si>
  <si>
    <t>ALIPIO PARENTE</t>
  </si>
  <si>
    <t>ALIRIO  CAICEDO</t>
  </si>
  <si>
    <t>3153551443</t>
  </si>
  <si>
    <t>I. INTEGRADO JORGE ELIECER GAITAN SEDE A</t>
  </si>
  <si>
    <t>ALIRIO  JAIMES</t>
  </si>
  <si>
    <t>3178121281</t>
  </si>
  <si>
    <t>Lebrija</t>
  </si>
  <si>
    <t>C.NTR.SRA.DE LAS MERCEDES SB</t>
  </si>
  <si>
    <t>ALIRIO  QUINTANILLA PENA</t>
  </si>
  <si>
    <t>3168414801</t>
  </si>
  <si>
    <t>COLEGIO VICENTE AZUERO SEDE A</t>
  </si>
  <si>
    <t>ALIRIO  TOSCANO</t>
  </si>
  <si>
    <t>3165522298</t>
  </si>
  <si>
    <t>total si</t>
  </si>
  <si>
    <t>Codicionado</t>
  </si>
  <si>
    <t>ALIX MARIA PONCE RODELO</t>
  </si>
  <si>
    <t>3136249150</t>
  </si>
  <si>
    <t>Bolivar</t>
  </si>
  <si>
    <t>Barranco De Loba</t>
  </si>
  <si>
    <t>total no</t>
  </si>
  <si>
    <t>15875752</t>
  </si>
  <si>
    <t>ALVARO ENRIQUE HOYOS RUZ</t>
  </si>
  <si>
    <t>2874536</t>
  </si>
  <si>
    <t>ALVARO MUÑOZ</t>
  </si>
  <si>
    <t>ALVARO  RAMIREZ</t>
  </si>
  <si>
    <t>3223589711</t>
  </si>
  <si>
    <t>Charta</t>
  </si>
  <si>
    <t>FALTA</t>
  </si>
  <si>
    <t>ALVARO  VILLAMIZAR ZUÑIGA</t>
  </si>
  <si>
    <t>3144753097</t>
  </si>
  <si>
    <t>Medellin</t>
  </si>
  <si>
    <t>SEC. ESC. GUILLERMO ECHAVARRIA MISAS</t>
  </si>
  <si>
    <t>AMALIA  SALAZAR</t>
  </si>
  <si>
    <t>3157620820</t>
  </si>
  <si>
    <t>BARR Antonia Santos</t>
  </si>
  <si>
    <t>COL SAN PEDRITO</t>
  </si>
  <si>
    <t>40180151</t>
  </si>
  <si>
    <t>AMANDA BARRIOS NOE</t>
  </si>
  <si>
    <t>1121201393</t>
  </si>
  <si>
    <t>AMANDA SAAVEDRA</t>
  </si>
  <si>
    <t>1121201693</t>
  </si>
  <si>
    <t>AMANDA SIAS</t>
  </si>
  <si>
    <t>1121201617</t>
  </si>
  <si>
    <t>AMANDA SIAS SAAVEDRA</t>
  </si>
  <si>
    <t>AMINTA  VASQUEZ</t>
  </si>
  <si>
    <t>3185247854</t>
  </si>
  <si>
    <t>AMIRA  VANEGAS</t>
  </si>
  <si>
    <t>3164980279</t>
  </si>
  <si>
    <t>COL FRANCISCANO DEL VIRREY SOL</t>
  </si>
  <si>
    <t>23861622</t>
  </si>
  <si>
    <t>ANA BERTILDA LOPEZ VARGAS</t>
  </si>
  <si>
    <t>1121203657</t>
  </si>
  <si>
    <t>ANA CATALINA JORDAN</t>
  </si>
  <si>
    <t>ANA CECILIA FRANCO</t>
  </si>
  <si>
    <t>3018085690</t>
  </si>
  <si>
    <t>IE LA LIBERTAD</t>
  </si>
  <si>
    <t>ANA FRANCISCA NUÑEZ</t>
  </si>
  <si>
    <t>3186735397</t>
  </si>
  <si>
    <t>INSTITUTO ANTONIO JOSE DE SUCRE</t>
  </si>
  <si>
    <t>ANA FRANCISCA VILLAMIZAR VASQUEZ</t>
  </si>
  <si>
    <t>3132187372</t>
  </si>
  <si>
    <t>COL 26 DE MARZO SEDE B</t>
  </si>
  <si>
    <t>ANA  FULA</t>
  </si>
  <si>
    <t>3172700151</t>
  </si>
  <si>
    <t>IE DÁMASO ZAPATA SEDE C</t>
  </si>
  <si>
    <t>1121199426</t>
  </si>
  <si>
    <t>ANA GARZON</t>
  </si>
  <si>
    <t>ANA  GILMA ARIZA</t>
  </si>
  <si>
    <t>3013979699</t>
  </si>
  <si>
    <t>COLEGIO GONZALO JIMENEZ NAVAS</t>
  </si>
  <si>
    <t>1007863127</t>
  </si>
  <si>
    <t>ANA GONZALEZ</t>
  </si>
  <si>
    <t>ANA  GUTIERREZ</t>
  </si>
  <si>
    <t>3023673706</t>
  </si>
  <si>
    <t>COLEGIO JOSE ELIAS PUYANA SEDE B</t>
  </si>
  <si>
    <t>ANAIS CAROLINA DE AVILA BARRIOS</t>
  </si>
  <si>
    <t>3244712379</t>
  </si>
  <si>
    <t>giron</t>
  </si>
  <si>
    <t>COLEGIO DIANA TURBAY</t>
  </si>
  <si>
    <t>ANA MATILDA MARTINEZ</t>
  </si>
  <si>
    <t>3105604665</t>
  </si>
  <si>
    <t>ANA  MONTES</t>
  </si>
  <si>
    <t>3123625500</t>
  </si>
  <si>
    <t>ANA  RUEDO</t>
  </si>
  <si>
    <t>3143522333</t>
  </si>
  <si>
    <t>INSTITUTO PEDAGOGICO NACIONAL</t>
  </si>
  <si>
    <t>cedula no coincide con nombre</t>
  </si>
  <si>
    <t>1121200114</t>
  </si>
  <si>
    <t>ANA MILENA MACEDO AHUE</t>
  </si>
  <si>
    <t>ANA  VALBUENA</t>
  </si>
  <si>
    <t>3015125090</t>
  </si>
  <si>
    <t xml:space="preserve">no existe cedula </t>
  </si>
  <si>
    <t>1121198080</t>
  </si>
  <si>
    <t>ANA MONTES</t>
  </si>
  <si>
    <t>40155160</t>
  </si>
  <si>
    <t>ANA ORTIZ</t>
  </si>
  <si>
    <t>40151447</t>
  </si>
  <si>
    <t>ANA PEÑA</t>
  </si>
  <si>
    <t>1122267105</t>
  </si>
  <si>
    <t>ANA RAMOS</t>
  </si>
  <si>
    <t>ANA  VARGAS</t>
  </si>
  <si>
    <t>3167530670</t>
  </si>
  <si>
    <t>UNIVERSIDAD COOP DE COLOMBIA</t>
  </si>
  <si>
    <t>ANDERSON  ALVAREZ</t>
  </si>
  <si>
    <t>3244041264</t>
  </si>
  <si>
    <t>GIMNASIO SUPERIOR EMPRESARIAL</t>
  </si>
  <si>
    <t>ANDERSON  DURAN MARTINEZ</t>
  </si>
  <si>
    <t>3158572031</t>
  </si>
  <si>
    <t>ANDREA CAMILA FIGUEROA MELO</t>
  </si>
  <si>
    <t>3188498438</t>
  </si>
  <si>
    <t xml:space="preserve"> I.E. SANTO ANGEL
</t>
  </si>
  <si>
    <t>ANDREA  JAIMES</t>
  </si>
  <si>
    <t>3152071754</t>
  </si>
  <si>
    <t>BARR Florida</t>
  </si>
  <si>
    <t>ANDREA  VARGAS</t>
  </si>
  <si>
    <t>3506811471</t>
  </si>
  <si>
    <t>GIMNASIO CAMPESTRE SAN SEBASTIAN</t>
  </si>
  <si>
    <t>ANDRES  BECERRA</t>
  </si>
  <si>
    <t>3157373739</t>
  </si>
  <si>
    <t>COLEGIO LUIS CARLOS GALAN SEDE C</t>
  </si>
  <si>
    <t>PIEDECUESTA</t>
  </si>
  <si>
    <t>ANDRES CAMILO MOJICA FLOREZ</t>
  </si>
  <si>
    <t>3147080445</t>
  </si>
  <si>
    <t>CESAR</t>
  </si>
  <si>
    <t>SAN MARTIN</t>
  </si>
  <si>
    <t>BARR Caldas</t>
  </si>
  <si>
    <t>1121198650</t>
  </si>
  <si>
    <t>ANDRES CAMILO PINTO</t>
  </si>
  <si>
    <t>ANDRES DAVID VARGAS TORRES</t>
  </si>
  <si>
    <t>3125334433</t>
  </si>
  <si>
    <t>CANCHA MULTIPLE SIRENA II</t>
  </si>
  <si>
    <t>ANDRES FELIPE ARENAS BADILLO</t>
  </si>
  <si>
    <t>3102874050</t>
  </si>
  <si>
    <t>UNIDADES TECNOLOGICAS DE SANT</t>
  </si>
  <si>
    <t>SI</t>
  </si>
  <si>
    <t>ANDRES FELIPE VELANDIA SERRANO</t>
  </si>
  <si>
    <t>3112837262</t>
  </si>
  <si>
    <t>IE JORGE ARDILA DUARTE SEDE A</t>
  </si>
  <si>
    <t>15876420</t>
  </si>
  <si>
    <t>ANDRES MAURICIO VENANCINO</t>
  </si>
  <si>
    <t>ANDRES  PALMAR</t>
  </si>
  <si>
    <t>3164898976</t>
  </si>
  <si>
    <t>Tolima</t>
  </si>
  <si>
    <t>Ibague</t>
  </si>
  <si>
    <t>IE LICEO NACIONAL SEDE 1</t>
  </si>
  <si>
    <t>ANDRES  PEÑA</t>
  </si>
  <si>
    <t>3125604540</t>
  </si>
  <si>
    <t>LA CHUCUA</t>
  </si>
  <si>
    <t>ANDRÉS  PÉREZ</t>
  </si>
  <si>
    <t>3162545628</t>
  </si>
  <si>
    <t xml:space="preserve"> IE INEM CUSTODIO GARCIA ROV SEDE A</t>
  </si>
  <si>
    <t>ANDRES  RIVERO</t>
  </si>
  <si>
    <t>3216469356</t>
  </si>
  <si>
    <t>BARR San Alonso</t>
  </si>
  <si>
    <t>IE NUESTRA SEÑORA DEL PILAR SEDE E</t>
  </si>
  <si>
    <t>ANDRES  SOLANO</t>
  </si>
  <si>
    <t>3227880841</t>
  </si>
  <si>
    <t>BARR Mutis</t>
  </si>
  <si>
    <t>I.E. JOSE CELESTINO MUTIS</t>
  </si>
  <si>
    <t>1095305053</t>
  </si>
  <si>
    <t>ANDREY SNEIDER DUARTE CARRILLO</t>
  </si>
  <si>
    <t>3224695754</t>
  </si>
  <si>
    <t>BARR Barrio Barranca</t>
  </si>
  <si>
    <t>Fernando Pacheco Corzo</t>
  </si>
  <si>
    <t>INST TEC SUP. INDUST. SD C STA CECILIA</t>
  </si>
  <si>
    <t>13890587</t>
  </si>
  <si>
    <t>ANER PACHECO VILLA</t>
  </si>
  <si>
    <t>3217903068</t>
  </si>
  <si>
    <t>BARR La Paz</t>
  </si>
  <si>
    <t>Col Juan Francisco Sarasti Megacolegio</t>
  </si>
  <si>
    <t>1096191237</t>
  </si>
  <si>
    <t>ANGELA BELENO</t>
  </si>
  <si>
    <t>3224718753</t>
  </si>
  <si>
    <t>COL. SAN RAFAEL DE CHUCURI</t>
  </si>
  <si>
    <t>ANGELA IVETTY MANTILLA ARENAS</t>
  </si>
  <si>
    <t>3002892168</t>
  </si>
  <si>
    <t>ESC NORMAL SUPERIOR SEDE A</t>
  </si>
  <si>
    <t>ANGELA  SALCEDO</t>
  </si>
  <si>
    <t>3116528112</t>
  </si>
  <si>
    <t>UNIVERSIDAD DE LA SALLE</t>
  </si>
  <si>
    <t>ANGELA ZULIMA ZULOAGA GARCIA</t>
  </si>
  <si>
    <t>3188237645</t>
  </si>
  <si>
    <t>VILLA DEL PRADO UNIAGRARIA</t>
  </si>
  <si>
    <t>15877062</t>
  </si>
  <si>
    <t>ANGEL FERID PERDOMO</t>
  </si>
  <si>
    <t>15886612</t>
  </si>
  <si>
    <t>ANGEL GOMEZ CASTILLO</t>
  </si>
  <si>
    <t>1007366223</t>
  </si>
  <si>
    <t>ANGELICA CAHUACHE</t>
  </si>
  <si>
    <t>1122266054</t>
  </si>
  <si>
    <t>ANGELICA DEL AGUILA</t>
  </si>
  <si>
    <t>ANGELICA  GARCIA</t>
  </si>
  <si>
    <t>3182959703</t>
  </si>
  <si>
    <t>COLEGIO CAJASAN</t>
  </si>
  <si>
    <t>ANGELICA  GODOY</t>
  </si>
  <si>
    <t>3046751787</t>
  </si>
  <si>
    <t>Puerto Wilches</t>
  </si>
  <si>
    <t>ESCUELA INDUSTRIAL 20 DE JULIO</t>
  </si>
  <si>
    <t>1121446081</t>
  </si>
  <si>
    <t>ANGELICA VARGAS</t>
  </si>
  <si>
    <t>ANGELI  PEREZ</t>
  </si>
  <si>
    <t>3168798376</t>
  </si>
  <si>
    <t>ANGELLE  PABON</t>
  </si>
  <si>
    <t>3180696254</t>
  </si>
  <si>
    <t>CENTRAL DE ABASTOS</t>
  </si>
  <si>
    <t>ANGEL MARIO GUALDRON</t>
  </si>
  <si>
    <t>3124102218</t>
  </si>
  <si>
    <t>COLEGIO METROPOLITANO SANTA ANA</t>
  </si>
  <si>
    <t>ANGEL  SERPA</t>
  </si>
  <si>
    <t>3165206176</t>
  </si>
  <si>
    <t xml:space="preserve"> IE DÁMASO ZAPATA SEDE C</t>
  </si>
  <si>
    <t>ANGELY  OROZCO ESTRADA</t>
  </si>
  <si>
    <t>3228923416</t>
  </si>
  <si>
    <t>COL SANTA TERESITA</t>
  </si>
  <si>
    <t>ANGIE  ARDILA</t>
  </si>
  <si>
    <t>3102064365</t>
  </si>
  <si>
    <t>COLEGIO PANAMERICANO</t>
  </si>
  <si>
    <t>ANGIE  CASTELLANOS</t>
  </si>
  <si>
    <t>3133232990</t>
  </si>
  <si>
    <t>BARR Altamira</t>
  </si>
  <si>
    <t>POLIDEPORTIVO JOSE ELIAS PUYANA</t>
  </si>
  <si>
    <t>ANGIE  LEON</t>
  </si>
  <si>
    <t>3244956042</t>
  </si>
  <si>
    <t>VER El Centro</t>
  </si>
  <si>
    <t>Michaelle Dayana Sanchez Silva</t>
  </si>
  <si>
    <t>COL BLANCA DURAN DE PADILLA SEDE B</t>
  </si>
  <si>
    <t>5</t>
  </si>
  <si>
    <t>ANGIE PAOLA BOTERO GOMEZ</t>
  </si>
  <si>
    <t>3118577313</t>
  </si>
  <si>
    <t>Cordoba</t>
  </si>
  <si>
    <t>Monteria</t>
  </si>
  <si>
    <t>Beth  Sampayo</t>
  </si>
  <si>
    <t xml:space="preserve"> IE ANTONIO NARIÑO - SUCRE</t>
  </si>
  <si>
    <t>ANGI  PRIETO</t>
  </si>
  <si>
    <t>3208783263</t>
  </si>
  <si>
    <t>PALERMO SUR</t>
  </si>
  <si>
    <t>1121210132</t>
  </si>
  <si>
    <t>ANGY PAOLA CUELLAR CAYETANO</t>
  </si>
  <si>
    <t>ANIKA  BAUTISTA REYES</t>
  </si>
  <si>
    <t>3102454135</t>
  </si>
  <si>
    <t>1007366186</t>
  </si>
  <si>
    <t>ANIRLEY CADENA</t>
  </si>
  <si>
    <t>1122269857</t>
  </si>
  <si>
    <t>ANIS YADIRA PEREIRA PEÑA</t>
  </si>
  <si>
    <t>21245487</t>
  </si>
  <si>
    <t>ANITA JARAMILLO</t>
  </si>
  <si>
    <t>ANOARO  RAMIREZ</t>
  </si>
  <si>
    <t>3155607792</t>
  </si>
  <si>
    <t>ANTONIO  BALLESTEROS SEDAN</t>
  </si>
  <si>
    <t>3113864469</t>
  </si>
  <si>
    <t>VERAGUAS</t>
  </si>
  <si>
    <t>ANTONIO  CHAVES</t>
  </si>
  <si>
    <t>3186092371</t>
  </si>
  <si>
    <t>1121205596</t>
  </si>
  <si>
    <t>ARACELI SERNA</t>
  </si>
  <si>
    <t>ARELIS  NOBLES SANCHEZ</t>
  </si>
  <si>
    <t>3028294038</t>
  </si>
  <si>
    <t xml:space="preserve"> COL.ROBERTO GARCIA PEÑA/SEDE A</t>
  </si>
  <si>
    <t>AREYI  CARRENO</t>
  </si>
  <si>
    <t>3178833811</t>
  </si>
  <si>
    <t>Cesar</t>
  </si>
  <si>
    <t>San alberto</t>
  </si>
  <si>
    <t>PUERTO CARREÑO</t>
  </si>
  <si>
    <t>18051079</t>
  </si>
  <si>
    <t>ARGEMIRO COELLO AHUE</t>
  </si>
  <si>
    <t>15887012</t>
  </si>
  <si>
    <t>ARGEMIRO DIONISIO PASCUAL</t>
  </si>
  <si>
    <t>ARGENIDA  GARCIA</t>
  </si>
  <si>
    <t>3150506262</t>
  </si>
  <si>
    <t>ARGENIS  CABARCAS</t>
  </si>
  <si>
    <t>3204198792</t>
  </si>
  <si>
    <t>BARR Primero De Mayo</t>
  </si>
  <si>
    <t>Colegio 26 De Marzo</t>
  </si>
  <si>
    <t>40179159</t>
  </si>
  <si>
    <t>ARICELA SANCHEZ</t>
  </si>
  <si>
    <t>ARISTOTELES  BERATDINELLY ACOSTA</t>
  </si>
  <si>
    <t>3205856390</t>
  </si>
  <si>
    <t>Barrio Monterredondo</t>
  </si>
  <si>
    <t>I.E. NUESTRA SEÑORA DEL PILAR SEDE C</t>
  </si>
  <si>
    <t>ARLEY DAVID ANTOLINEZ ROJAS</t>
  </si>
  <si>
    <t>3108216366</t>
  </si>
  <si>
    <t>Barrio Cafè Madrid</t>
  </si>
  <si>
    <t>IE CAFÉ MADRID</t>
  </si>
  <si>
    <t>ARLEY FABIAN OVIEDO</t>
  </si>
  <si>
    <t>3166257667</t>
  </si>
  <si>
    <t>Barrio Kennedy</t>
  </si>
  <si>
    <t>CENTRO VIDA KENNEDY</t>
  </si>
  <si>
    <t>Arley Hermano de Gustavo</t>
  </si>
  <si>
    <t>ARMINDA  VARGAS DE BUENAHORA</t>
  </si>
  <si>
    <t>3177701009</t>
  </si>
  <si>
    <t>San Martín</t>
  </si>
  <si>
    <t>IE INEM CUSTODIO GARCIA ROVIRA SEDE G</t>
  </si>
  <si>
    <t>ARNOLDO  SERPA</t>
  </si>
  <si>
    <t>3189867542</t>
  </si>
  <si>
    <t>BARR Lagos Iii</t>
  </si>
  <si>
    <t>Cedula no existe</t>
  </si>
  <si>
    <t>ARNULFO  LOPEZ</t>
  </si>
  <si>
    <t>3154455731</t>
  </si>
  <si>
    <t>Barrio Comuneros</t>
  </si>
  <si>
    <t>IE COMUNEROS</t>
  </si>
  <si>
    <t>ARNULFO  VELANDIA</t>
  </si>
  <si>
    <t>3208866143</t>
  </si>
  <si>
    <t>Barrio La Concordia</t>
  </si>
  <si>
    <t>COL AURELIO MARTINEZ MUTIS SEDE B</t>
  </si>
  <si>
    <t>15871813</t>
  </si>
  <si>
    <t>ARTURO GREGORIO</t>
  </si>
  <si>
    <t>1149192176</t>
  </si>
  <si>
    <t>ARTURO HUANIRI</t>
  </si>
  <si>
    <t>41057971</t>
  </si>
  <si>
    <t>ASTRID OVNIC</t>
  </si>
  <si>
    <t>18050941</t>
  </si>
  <si>
    <t>ATILANO YUMBATO LAULATE</t>
  </si>
  <si>
    <t>AURA  PEÑA</t>
  </si>
  <si>
    <t>3052830951</t>
  </si>
  <si>
    <t>Bucarica AVENIDA BUCARICA No. 36-170</t>
  </si>
  <si>
    <t>INSTITUTO GABRIEL GARCIA MARQUEZ</t>
  </si>
  <si>
    <t>112267998</t>
  </si>
  <si>
    <t>AURORA HUANIRI</t>
  </si>
  <si>
    <t>18051315</t>
  </si>
  <si>
    <t>AUSBERTO PREDIMIR AHUE VALERIO</t>
  </si>
  <si>
    <t>1121218511</t>
  </si>
  <si>
    <t>BARTOLO MANDUCA</t>
  </si>
  <si>
    <t>15877937</t>
  </si>
  <si>
    <t>BASILIO PINTO</t>
  </si>
  <si>
    <t>41055085</t>
  </si>
  <si>
    <t>BEATRIZ CAHUACHE</t>
  </si>
  <si>
    <t>1122270771</t>
  </si>
  <si>
    <t>BEATRIZ JULIANA AHUE GOMEZ</t>
  </si>
  <si>
    <t>15887160</t>
  </si>
  <si>
    <t>BENITO PARENTE</t>
  </si>
  <si>
    <t>BERENA  DE LA OSSA</t>
  </si>
  <si>
    <t>3214591727</t>
  </si>
  <si>
    <t>Barrio El Cerro</t>
  </si>
  <si>
    <t>COL REAL DE MARES</t>
  </si>
  <si>
    <t>Berena</t>
  </si>
  <si>
    <t>1121221621</t>
  </si>
  <si>
    <t>BERLI PEREZ</t>
  </si>
  <si>
    <t>15876475</t>
  </si>
  <si>
    <t>BERNARDO RAMOS LOZANO</t>
  </si>
  <si>
    <t>BERTY  ORTIZ</t>
  </si>
  <si>
    <t>3155081449</t>
  </si>
  <si>
    <t>CALLE 4 No. 11- 37 CASCO URBANO</t>
  </si>
  <si>
    <t>33137497</t>
  </si>
  <si>
    <t>Lider / 722</t>
  </si>
  <si>
    <t>BETH SAMPAYO</t>
  </si>
  <si>
    <t>Energia Departamental</t>
  </si>
  <si>
    <t>1122267334</t>
  </si>
  <si>
    <t>BETSAIDA CAYETANO</t>
  </si>
  <si>
    <t>1122266029</t>
  </si>
  <si>
    <t>BETSY LILIANA PEÑA AHUE</t>
  </si>
  <si>
    <t>40151119</t>
  </si>
  <si>
    <t>BETTY AHUE COELLO</t>
  </si>
  <si>
    <t>41055855</t>
  </si>
  <si>
    <t>BETTY ALEJAMDRA SOUSA MOZOMBITE</t>
  </si>
  <si>
    <t>1131554666</t>
  </si>
  <si>
    <t>BETZABEL BARBOSA</t>
  </si>
  <si>
    <t>No apoya</t>
  </si>
  <si>
    <t>BIBIANA  RANGEL ARIAS</t>
  </si>
  <si>
    <t>3144415800</t>
  </si>
  <si>
    <t>COLEGIO GABRIEL GARCIA MARQUEZ</t>
  </si>
  <si>
    <t>37865087</t>
  </si>
  <si>
    <t>BLANCA ELSY VARGAS</t>
  </si>
  <si>
    <t>3203907883</t>
  </si>
  <si>
    <t>63341444</t>
  </si>
  <si>
    <t>BLANCA MANRIQUE</t>
  </si>
  <si>
    <t>3153818615</t>
  </si>
  <si>
    <t>Mauricio Acevedo</t>
  </si>
  <si>
    <t>1026556063</t>
  </si>
  <si>
    <t>BLANCA MORALES</t>
  </si>
  <si>
    <t>3016516674</t>
  </si>
  <si>
    <t>ARCHIVO DISTRITAL</t>
  </si>
  <si>
    <t>1121835031</t>
  </si>
  <si>
    <t>BLANCA REYES</t>
  </si>
  <si>
    <t>1096065280</t>
  </si>
  <si>
    <t>BRANDON DUBAN RAMIREZ ROJAS</t>
  </si>
  <si>
    <t>3143232391</t>
  </si>
  <si>
    <t>1097095369</t>
  </si>
  <si>
    <t>BRANDON ESTEBAN PINTO MENDOZA</t>
  </si>
  <si>
    <t>3189726102</t>
  </si>
  <si>
    <t>COL AURELIO MARTINEZ MUTIS SEDE A</t>
  </si>
  <si>
    <t>1005220405</t>
  </si>
  <si>
    <t>BRANDON NAVARRO</t>
  </si>
  <si>
    <t>3245509438</t>
  </si>
  <si>
    <t>Guarne</t>
  </si>
  <si>
    <t>VER Vda Guatiguara</t>
  </si>
  <si>
    <t>J.A.C. TOLDAS</t>
  </si>
  <si>
    <t>1095299082</t>
  </si>
  <si>
    <t>BRAYAN ALEXIS CARVAJAL FLOREZ</t>
  </si>
  <si>
    <t>3115000935</t>
  </si>
  <si>
    <t>BARR La Universidad</t>
  </si>
  <si>
    <t>GOBERNACION DE SANTANDER</t>
  </si>
  <si>
    <t>1005623460</t>
  </si>
  <si>
    <t>BRAYAN AVILA</t>
  </si>
  <si>
    <t>3152124199</t>
  </si>
  <si>
    <t>Cedula no existe en el censo</t>
  </si>
  <si>
    <t>1010149812</t>
  </si>
  <si>
    <t>BRAYAN CARRILLO</t>
  </si>
  <si>
    <t>3239485004</t>
  </si>
  <si>
    <t>1098749435</t>
  </si>
  <si>
    <t>BRAYAN CASTRO</t>
  </si>
  <si>
    <t>3189920484</t>
  </si>
  <si>
    <t>COL ADVENTISTA LIBERTAD</t>
  </si>
  <si>
    <t>10972914</t>
  </si>
  <si>
    <t>1098811860</t>
  </si>
  <si>
    <t>BRAYAN FARID GALAN</t>
  </si>
  <si>
    <t>3170394927</t>
  </si>
  <si>
    <t>109868115</t>
  </si>
  <si>
    <t>BRAYAN RAMIREZ</t>
  </si>
  <si>
    <t>3186683326</t>
  </si>
  <si>
    <t>1193090058</t>
  </si>
  <si>
    <t>BRAYAN RONALDO SUESCUN</t>
  </si>
  <si>
    <t>3183157382</t>
  </si>
  <si>
    <t>IE TEC RAFAEL GARCIA HERREROS</t>
  </si>
  <si>
    <t>1096213125</t>
  </si>
  <si>
    <t>BRAYAN STIVEN SERPA CASTELLANOS</t>
  </si>
  <si>
    <t>3204255795</t>
  </si>
  <si>
    <t xml:space="preserve"> COL EL CASTILLO SEDE C  LAS NIEVES</t>
  </si>
  <si>
    <t>1102384845</t>
  </si>
  <si>
    <t>BRAYAN VELANDIA</t>
  </si>
  <si>
    <t>3212532600</t>
  </si>
  <si>
    <t>SALITRE PLAZA</t>
  </si>
  <si>
    <t>1098684727</t>
  </si>
  <si>
    <t>BRAYAN YECID QUESADA</t>
  </si>
  <si>
    <t>3187339030</t>
  </si>
  <si>
    <t>1121446026</t>
  </si>
  <si>
    <t>BRENDA BENITEZ</t>
  </si>
  <si>
    <t>1097184387</t>
  </si>
  <si>
    <t>BRITNEY SEGOVIA</t>
  </si>
  <si>
    <t>3008041011</t>
  </si>
  <si>
    <t>COL CIUDADELA EDUCATIVA SEDE A</t>
  </si>
  <si>
    <t>1131534017</t>
  </si>
  <si>
    <t>CAMETH RAMOS</t>
  </si>
  <si>
    <t>1122267165</t>
  </si>
  <si>
    <t>CAMILA CHOTA</t>
  </si>
  <si>
    <t>1121446291</t>
  </si>
  <si>
    <t>CAMILA DOÑOZ</t>
  </si>
  <si>
    <t>1015462820</t>
  </si>
  <si>
    <t>CAMILA MARIA FUENTES DIAZ</t>
  </si>
  <si>
    <t>3138426851</t>
  </si>
  <si>
    <t>COMPENSAR CALLE 94</t>
  </si>
  <si>
    <t>1098682488</t>
  </si>
  <si>
    <t>CAMILO HERNANDEZ CABALLERO</t>
  </si>
  <si>
    <t>3134291985</t>
  </si>
  <si>
    <t>COLEGIO NUEVO CAMBRIDGE</t>
  </si>
  <si>
    <t>1099739243</t>
  </si>
  <si>
    <t>CAMILO MONSALVE</t>
  </si>
  <si>
    <t>3242666955</t>
  </si>
  <si>
    <t>BARR Provenza</t>
  </si>
  <si>
    <t>IE PROVENZA</t>
  </si>
  <si>
    <t>1057600899</t>
  </si>
  <si>
    <t>CAMILO RAMIREZ</t>
  </si>
  <si>
    <t>3165096381</t>
  </si>
  <si>
    <t>Boyaca</t>
  </si>
  <si>
    <t>Sogamoso</t>
  </si>
  <si>
    <t>IE LIBERTADOR</t>
  </si>
  <si>
    <t>6648724</t>
  </si>
  <si>
    <t>CAMILO RODRIGUEZ</t>
  </si>
  <si>
    <t>5612572</t>
  </si>
  <si>
    <t>CAMPO ALVARADO</t>
  </si>
  <si>
    <t>3158002750</t>
  </si>
  <si>
    <t>Norte De Santander</t>
  </si>
  <si>
    <t>Villa Del Rosario</t>
  </si>
  <si>
    <t>COLEGIO GENERAL SANTANDER</t>
  </si>
  <si>
    <t>33195272</t>
  </si>
  <si>
    <t>CANDELARIA MARTINEZ RUZ</t>
  </si>
  <si>
    <t>3003608820</t>
  </si>
  <si>
    <t>Cartagena</t>
  </si>
  <si>
    <t>BARR Manga</t>
  </si>
  <si>
    <t>COL. EUCARÍSTICO DE SANTA TERESA</t>
  </si>
  <si>
    <t>13828448</t>
  </si>
  <si>
    <t>CANDIDO GARCIA ACEVEDO</t>
  </si>
  <si>
    <t>3226488793</t>
  </si>
  <si>
    <t>Tona</t>
  </si>
  <si>
    <t>LA CORCOVA</t>
  </si>
  <si>
    <t>27951313</t>
  </si>
  <si>
    <t>CARLINA LANDAZABAL</t>
  </si>
  <si>
    <t>3022097296</t>
  </si>
  <si>
    <t>BARR Altos De Villabel</t>
  </si>
  <si>
    <t>Documento no se encuentra en el censo</t>
  </si>
  <si>
    <t>1121200635</t>
  </si>
  <si>
    <t>CARLIÑA PEÑA</t>
  </si>
  <si>
    <t>1122268251</t>
  </si>
  <si>
    <t>CARLOS ALBERTO PEREIRA PEÑA</t>
  </si>
  <si>
    <t>91479466</t>
  </si>
  <si>
    <t>CARLOS ALBERTO RODRIGUEZ QUINTERO</t>
  </si>
  <si>
    <t>3152324344</t>
  </si>
  <si>
    <t>IE NUESTRA SEÑORA DEL PILAR SEDE B</t>
  </si>
  <si>
    <t>1121201431</t>
  </si>
  <si>
    <t>CARLOS ANDRES ANDOQUE</t>
  </si>
  <si>
    <t>79628957</t>
  </si>
  <si>
    <t>CARLOS ANDRES VILLAMIZAR</t>
  </si>
  <si>
    <t>3154085687</t>
  </si>
  <si>
    <t>SEC. ESC. CARLOS OBANDO VELASCO</t>
  </si>
  <si>
    <t>1095834017</t>
  </si>
  <si>
    <t>CARLOS ARTURO GOMEZ</t>
  </si>
  <si>
    <t>3184476238</t>
  </si>
  <si>
    <t>BARR Bosques De Piedecuesta</t>
  </si>
  <si>
    <t>ESC NORMAL SUPERIOR</t>
  </si>
  <si>
    <t>91428659</t>
  </si>
  <si>
    <t>CARLOS ARTURO ISAZA MUÑOZ</t>
  </si>
  <si>
    <t>3202261107</t>
  </si>
  <si>
    <t>COL JOHN F KENNEDY SD F PRIMERO DE MAYO</t>
  </si>
  <si>
    <t>7718349</t>
  </si>
  <si>
    <t>CARLOS AUGUSTO SEGOVIA CALVAJALINO</t>
  </si>
  <si>
    <t>3134661853</t>
  </si>
  <si>
    <t xml:space="preserve">Bogota </t>
  </si>
  <si>
    <t>BARR Los Lagos</t>
  </si>
  <si>
    <t>VILLAS DEL PROGRESO PRIMERA INFANCIA</t>
  </si>
  <si>
    <t>6566779</t>
  </si>
  <si>
    <t>CARLOS BARBOSA</t>
  </si>
  <si>
    <t>1121200630</t>
  </si>
  <si>
    <t>CARLOS BARDALES</t>
  </si>
  <si>
    <t>1122269262</t>
  </si>
  <si>
    <t>CARLOS BENITEZ</t>
  </si>
  <si>
    <t>91500346</t>
  </si>
  <si>
    <t>CARLOS DIAZ</t>
  </si>
  <si>
    <t>3168693904</t>
  </si>
  <si>
    <t>IE ANDRES PAEZ DE SOTOMAYOR</t>
  </si>
  <si>
    <t>91294416</t>
  </si>
  <si>
    <t>CARLOS EDUARDO SERRANO</t>
  </si>
  <si>
    <t>3167830444</t>
  </si>
  <si>
    <t>COL SAN PEDRO CLAVER</t>
  </si>
  <si>
    <t>91341451</t>
  </si>
  <si>
    <t>CARLOS ENRIQUE SUAREZ</t>
  </si>
  <si>
    <t>3008232176</t>
  </si>
  <si>
    <t>1098603284</t>
  </si>
  <si>
    <t>CARLOS GODOY</t>
  </si>
  <si>
    <t>3168836371</t>
  </si>
  <si>
    <t>INST CALDAS</t>
  </si>
  <si>
    <t>1002522754</t>
  </si>
  <si>
    <t>CARLOS GONZALES</t>
  </si>
  <si>
    <t>3238168930</t>
  </si>
  <si>
    <t>San pablo de Borbur</t>
  </si>
  <si>
    <t>79941526</t>
  </si>
  <si>
    <t>CARLOS HERNANDO PINILLA MENESES</t>
  </si>
  <si>
    <t>3133132001</t>
  </si>
  <si>
    <t>Atlantico</t>
  </si>
  <si>
    <t>Barranquilla</t>
  </si>
  <si>
    <t>JORGE NICOLAS ABELLO SD 2</t>
  </si>
  <si>
    <t>1067853865</t>
  </si>
  <si>
    <t>CARLOS JARAMILLO</t>
  </si>
  <si>
    <t>3158137360</t>
  </si>
  <si>
    <t>IE VILLA MARGARITA</t>
  </si>
  <si>
    <t>1121209138</t>
  </si>
  <si>
    <t>CARLOS MARICHIN</t>
  </si>
  <si>
    <t>1121205154</t>
  </si>
  <si>
    <t>CARLOS MARTIO ENCINALES CARVAJAL</t>
  </si>
  <si>
    <t>93289792</t>
  </si>
  <si>
    <t>CARLOS MARULANDA RODRIGUEZ</t>
  </si>
  <si>
    <t>15889054</t>
  </si>
  <si>
    <t>CARLOS NIÑO</t>
  </si>
  <si>
    <t>1098696620</t>
  </si>
  <si>
    <t>CARLOS PEDRAZA</t>
  </si>
  <si>
    <t>3134970308</t>
  </si>
  <si>
    <t xml:space="preserve"> IE CAMACHO CARREÑO</t>
  </si>
  <si>
    <t>13830164</t>
  </si>
  <si>
    <t>CARLOS PIMIENTO</t>
  </si>
  <si>
    <t>3187131954</t>
  </si>
  <si>
    <t>15876160</t>
  </si>
  <si>
    <t>CARLOS PINTO</t>
  </si>
  <si>
    <t>91510376</t>
  </si>
  <si>
    <t>CARLOS SUAREZ</t>
  </si>
  <si>
    <t>3184420925</t>
  </si>
  <si>
    <t>18051562</t>
  </si>
  <si>
    <t>CARLOS YOLVINO COELLO AHUE</t>
  </si>
  <si>
    <t>28213861</t>
  </si>
  <si>
    <t>CARMEN BELTRAN CRISTANCHO</t>
  </si>
  <si>
    <t>3167210770</t>
  </si>
  <si>
    <t>LLANADAS</t>
  </si>
  <si>
    <t>28213267</t>
  </si>
  <si>
    <t>CARMEN CECILIA ACELAS NIÑO</t>
  </si>
  <si>
    <t>3177973425</t>
  </si>
  <si>
    <t>BARR Jerusalen</t>
  </si>
  <si>
    <t>DIEGO HDEZ DE GALLEGOS SEDE G  LA PAZ</t>
  </si>
  <si>
    <t>63478092</t>
  </si>
  <si>
    <t>CARMEN CECILIA SANDOVAL</t>
  </si>
  <si>
    <t>3213505155</t>
  </si>
  <si>
    <t>28386442</t>
  </si>
  <si>
    <t>CARMEN LANDAZABAL</t>
  </si>
  <si>
    <t>3115682273</t>
  </si>
  <si>
    <t>52221251</t>
  </si>
  <si>
    <t>CARMEN LILIANA BUSTOS RIVEROS</t>
  </si>
  <si>
    <t>3144316235</t>
  </si>
  <si>
    <t>1216986692</t>
  </si>
  <si>
    <t>CARMEN ROSA CADENA CADENA</t>
  </si>
  <si>
    <t>3042976527</t>
  </si>
  <si>
    <t>28329277</t>
  </si>
  <si>
    <t>CARMEN SOFIA REY DE MORALES</t>
  </si>
  <si>
    <t>3158466132</t>
  </si>
  <si>
    <t>San Gil</t>
  </si>
  <si>
    <t>COL SAN JOSE DE GUANENTA</t>
  </si>
  <si>
    <t>1121205380</t>
  </si>
  <si>
    <t>CARMEN TERESA MARIN</t>
  </si>
  <si>
    <t>40178436</t>
  </si>
  <si>
    <t>CARMENZA FLOREZ</t>
  </si>
  <si>
    <t>32523796</t>
  </si>
  <si>
    <t>CARMENZA RIOS</t>
  </si>
  <si>
    <t>3118122611</t>
  </si>
  <si>
    <t>1005107623</t>
  </si>
  <si>
    <t>CAROL DANIELA AMARIZ GOMEZ</t>
  </si>
  <si>
    <t>3243658887</t>
  </si>
  <si>
    <t>SALON COMUNAL  EL PABLON</t>
  </si>
  <si>
    <t>63530408</t>
  </si>
  <si>
    <t>CAROL HERNANDEZ</t>
  </si>
  <si>
    <t>3225261151</t>
  </si>
  <si>
    <t>1057591689</t>
  </si>
  <si>
    <t>CAROLINA CARDENAS GUTIERREZ</t>
  </si>
  <si>
    <t>3204129478</t>
  </si>
  <si>
    <t>COLEGIO PUREZA DE MARIA</t>
  </si>
  <si>
    <t>1098614144</t>
  </si>
  <si>
    <t>CAROLINA RAVELO RODRIGUEZ</t>
  </si>
  <si>
    <t>3242006703</t>
  </si>
  <si>
    <t>1085262409</t>
  </si>
  <si>
    <t>CAROLINA RUA CAMPAÑA</t>
  </si>
  <si>
    <t>1098757370</t>
  </si>
  <si>
    <t>CAROL SLENDY BUENAHORA CONTRERAS</t>
  </si>
  <si>
    <t>3173342560</t>
  </si>
  <si>
    <t>INST SAN JOSÉ DE LA SALLE</t>
  </si>
  <si>
    <t>41055061</t>
  </si>
  <si>
    <t>CASILDA MANDUCA DIONICIO</t>
  </si>
  <si>
    <t>41061438</t>
  </si>
  <si>
    <t>CATIDIA ANDREA FRANCO</t>
  </si>
  <si>
    <t>40151109</t>
  </si>
  <si>
    <t>CECILIA AHUE PEÑA</t>
  </si>
  <si>
    <t>41711264</t>
  </si>
  <si>
    <t>CECILIA DIAZ</t>
  </si>
  <si>
    <t>3108782490</t>
  </si>
  <si>
    <t>SIETE DE AGOSTO</t>
  </si>
  <si>
    <t>1096194902</t>
  </si>
  <si>
    <t>CECILIA INES ZAPATA</t>
  </si>
  <si>
    <t>3138629920</t>
  </si>
  <si>
    <t>VER San Rafael De Chucuri</t>
  </si>
  <si>
    <t>63312040</t>
  </si>
  <si>
    <t>CECILIA PLATA</t>
  </si>
  <si>
    <t>3174976657</t>
  </si>
  <si>
    <t>BARR Antonia Santos Sur</t>
  </si>
  <si>
    <t>15886405</t>
  </si>
  <si>
    <t>CELESTINO CARECA</t>
  </si>
  <si>
    <t>37813497</t>
  </si>
  <si>
    <t>CENOBIA PEREZ</t>
  </si>
  <si>
    <t>3142915987</t>
  </si>
  <si>
    <t>PERICO</t>
  </si>
  <si>
    <t>18051045</t>
  </si>
  <si>
    <t>CERAFINA BARREIRO AHUE</t>
  </si>
  <si>
    <t>40150427</t>
  </si>
  <si>
    <t>91200030</t>
  </si>
  <si>
    <t>CESAR AUGUSTO ALMEYDA</t>
  </si>
  <si>
    <t>3115882412</t>
  </si>
  <si>
    <t>1095914224</t>
  </si>
  <si>
    <t>CESAR AUGUSTO FERNANDEZ</t>
  </si>
  <si>
    <t>3150802697</t>
  </si>
  <si>
    <t>Santiago Rueda</t>
  </si>
  <si>
    <t>COL.NIEVES CORTES PICON/SEDE A</t>
  </si>
  <si>
    <t>91270337</t>
  </si>
  <si>
    <t>CESAR AUGUSTO ROJAS</t>
  </si>
  <si>
    <t>3133500501</t>
  </si>
  <si>
    <t>IE INEM CUSTODIO GARCIA ROV SEDE A</t>
  </si>
  <si>
    <t>109598512</t>
  </si>
  <si>
    <t>CESAR FERNANDEZ</t>
  </si>
  <si>
    <t>3125888652</t>
  </si>
  <si>
    <t>BARR Balcones De Giron Etapa Ii</t>
  </si>
  <si>
    <t>1012423872</t>
  </si>
  <si>
    <t>CESAR GAVIRIA</t>
  </si>
  <si>
    <t>3112211512</t>
  </si>
  <si>
    <t>FE Y ALEGRIA SAN IGNACIO</t>
  </si>
  <si>
    <t>15886942</t>
  </si>
  <si>
    <t>CESAR HUANIRI</t>
  </si>
  <si>
    <t>1122266049</t>
  </si>
  <si>
    <t>CESAR LUIS SABERON AHUE</t>
  </si>
  <si>
    <t>1121202221</t>
  </si>
  <si>
    <t>CESAR MARICAGUA LIBERATO</t>
  </si>
  <si>
    <t>6820115</t>
  </si>
  <si>
    <t>CESAR TULIO ALMARIO MERCADO</t>
  </si>
  <si>
    <t>3005031411</t>
  </si>
  <si>
    <t>INSTITUTO GABRIELA MISTRAL</t>
  </si>
  <si>
    <t>63548380</t>
  </si>
  <si>
    <t>CESILIA VIDALES TOLOZA</t>
  </si>
  <si>
    <t>3024226801</t>
  </si>
  <si>
    <t>1098724385</t>
  </si>
  <si>
    <t>CESAR GOMEZ</t>
  </si>
  <si>
    <t>3123600338</t>
  </si>
  <si>
    <t>109874065</t>
  </si>
  <si>
    <t>CHARRIS JULIETH GONZALEZ MUÑOZ</t>
  </si>
  <si>
    <t>3114684430</t>
  </si>
  <si>
    <t>NO</t>
  </si>
  <si>
    <t>63294376</t>
  </si>
  <si>
    <t>CIELO GODOY</t>
  </si>
  <si>
    <t>3174427614</t>
  </si>
  <si>
    <t>1097099273</t>
  </si>
  <si>
    <t>CIELO PRADA</t>
  </si>
  <si>
    <t>3229067068</t>
  </si>
  <si>
    <t>BARR Minuto De Dios</t>
  </si>
  <si>
    <t>I.E. LA JUVENTUD SEDE A</t>
  </si>
  <si>
    <t>1098696545</t>
  </si>
  <si>
    <t>Lider / 85</t>
  </si>
  <si>
    <t>CINDY DAYANA GOMEZ</t>
  </si>
  <si>
    <t>3152624647</t>
  </si>
  <si>
    <t>1098784156</t>
  </si>
  <si>
    <t>CINDY DELGADO</t>
  </si>
  <si>
    <t>3002613867</t>
  </si>
  <si>
    <t>CINDY  MONTENEGRO</t>
  </si>
  <si>
    <t>3232808365</t>
  </si>
  <si>
    <t>DON BOSCO - IED</t>
  </si>
  <si>
    <t>1006784815</t>
  </si>
  <si>
    <t>CINTIA REYES</t>
  </si>
  <si>
    <t>18050487</t>
  </si>
  <si>
    <t>CIRILO MACEDO PINTO</t>
  </si>
  <si>
    <t>1122266651</t>
  </si>
  <si>
    <t>CIRO LAULATE GOMEZ</t>
  </si>
  <si>
    <t>CIRO  MEDINA</t>
  </si>
  <si>
    <t>3117088009</t>
  </si>
  <si>
    <t xml:space="preserve">CEDULA NO INSCRITA </t>
  </si>
  <si>
    <t>CLARA AIDE BENAVIDEZ RODRIGUEZ</t>
  </si>
  <si>
    <t>3177832672</t>
  </si>
  <si>
    <t xml:space="preserve">	SEC ESC TRICENTENARIO</t>
  </si>
  <si>
    <t>CLARA INES CAMACHO</t>
  </si>
  <si>
    <t>3153512033</t>
  </si>
  <si>
    <t>CLARITZA  CHAVES CAMPOS</t>
  </si>
  <si>
    <t>3203405821</t>
  </si>
  <si>
    <t>INST TEC SUP. DE COMER. SD B LA LIBERTAD</t>
  </si>
  <si>
    <t>1131534464</t>
  </si>
  <si>
    <t>CLARITZA GRANDE</t>
  </si>
  <si>
    <t>CLAUDIA ALEJANDRA JIMENEZ</t>
  </si>
  <si>
    <t>3123644182</t>
  </si>
  <si>
    <t>NIZA CENTRO COMERCIAL NIZA</t>
  </si>
  <si>
    <t>CLAUDIA  ALZATE DIAZ</t>
  </si>
  <si>
    <t>3102951247</t>
  </si>
  <si>
    <t>Cundinamarca</t>
  </si>
  <si>
    <t>Mosquera</t>
  </si>
  <si>
    <t>ORLANDO HIGUITA</t>
  </si>
  <si>
    <t>CLAUDIA  DUEÑAS</t>
  </si>
  <si>
    <t>3027410614</t>
  </si>
  <si>
    <t>1131534466</t>
  </si>
  <si>
    <t>CLAUDIA GRANDE</t>
  </si>
  <si>
    <t>CLAUDIA  MANTILLA</t>
  </si>
  <si>
    <t>3185964205</t>
  </si>
  <si>
    <t xml:space="preserve"> INST TEC SALESIANO ELOY VALENZ</t>
  </si>
  <si>
    <t>CLAUDIA MARICELA DIAZ CASTILLO</t>
  </si>
  <si>
    <t>3187949415</t>
  </si>
  <si>
    <t>CLAUDIA PATRICIA MANTILLA ARENAS</t>
  </si>
  <si>
    <t>3158428002</t>
  </si>
  <si>
    <t xml:space="preserve"> ESC NORMAL SUPERIOR SEDE A</t>
  </si>
  <si>
    <t>CLAUDIA PATRICIA MARTINEZ</t>
  </si>
  <si>
    <t>3102542585</t>
  </si>
  <si>
    <t xml:space="preserve"> COLISEO CUBIERTO CIUDADELA VILLAMIL</t>
  </si>
  <si>
    <t>1007344490</t>
  </si>
  <si>
    <t>CLAUDIA RAMOS</t>
  </si>
  <si>
    <t>1122266143</t>
  </si>
  <si>
    <t>CLAUDIA SANCHEZ PINTO</t>
  </si>
  <si>
    <t>1121205023</t>
  </si>
  <si>
    <t>CLISMAN CERRON</t>
  </si>
  <si>
    <t>1122266228</t>
  </si>
  <si>
    <t>CLODOMIRO FLORES</t>
  </si>
  <si>
    <t>CONSTANZA  MUÑOZ</t>
  </si>
  <si>
    <t>3228741841</t>
  </si>
  <si>
    <t>40179389</t>
  </si>
  <si>
    <t>CREUSA CURICO</t>
  </si>
  <si>
    <t>40179296</t>
  </si>
  <si>
    <t>CRISELDA AYAMBO DASILVA</t>
  </si>
  <si>
    <t>1006784491</t>
  </si>
  <si>
    <t>CRISPIN RODOLFO VALERIO CAHUACHE</t>
  </si>
  <si>
    <t>CRISTIAN  BARRETO</t>
  </si>
  <si>
    <t>3184899343</t>
  </si>
  <si>
    <t xml:space="preserve"> IE TEC DAMASO ZAPATA SEDE A</t>
  </si>
  <si>
    <t>CRISTIAN  HERRERA</t>
  </si>
  <si>
    <t>3138317962</t>
  </si>
  <si>
    <t xml:space="preserve"> COL PSICOPEDAG CARL ROGERS</t>
  </si>
  <si>
    <t>Indeciso</t>
  </si>
  <si>
    <t>CRISTIAN  ORTEGA</t>
  </si>
  <si>
    <t>3167564491</t>
  </si>
  <si>
    <t>BARR Miraflores</t>
  </si>
  <si>
    <t>Osiris  Ortega Montoya</t>
  </si>
  <si>
    <t>INSTITUTO JORGE ROBLEDO</t>
  </si>
  <si>
    <t>MEDELLÍN</t>
  </si>
  <si>
    <t>1121216501</t>
  </si>
  <si>
    <t>CRISTINA MARIN CHEIVA</t>
  </si>
  <si>
    <t>CRISTOBAL  GONZALEZ</t>
  </si>
  <si>
    <t>3223693054</t>
  </si>
  <si>
    <t xml:space="preserve"> COLEGIO METROPOLITANO SANTA ANA</t>
  </si>
  <si>
    <t>CRISTOBAL  QUINTERO HERRERA</t>
  </si>
  <si>
    <t>3164151985</t>
  </si>
  <si>
    <t xml:space="preserve"> CENTRO COMERCIAL UNICENTRO</t>
  </si>
  <si>
    <t>DAGOBERTO  RODRIGUEZ</t>
  </si>
  <si>
    <t>3228202015</t>
  </si>
  <si>
    <t xml:space="preserve"> COL SANTANDER SEDE A</t>
  </si>
  <si>
    <t>1096190363</t>
  </si>
  <si>
    <t>DAIFRAN RUIZ GARCIA</t>
  </si>
  <si>
    <t>3105319681</t>
  </si>
  <si>
    <t>COL 26 DE MARZO SD D  ALCAZAR</t>
  </si>
  <si>
    <t>1094192654</t>
  </si>
  <si>
    <t>DAIRIS QUIROS</t>
  </si>
  <si>
    <t>3122208679</t>
  </si>
  <si>
    <t>Cedula no existente en el censo</t>
  </si>
  <si>
    <t>DAIRY  GOMEZ</t>
  </si>
  <si>
    <t>3177452904</t>
  </si>
  <si>
    <t xml:space="preserve"> COL FACUNDO NAVAS SEDE D</t>
  </si>
  <si>
    <t>DAIRYS  OROZCO</t>
  </si>
  <si>
    <t>3013244898</t>
  </si>
  <si>
    <t>San Diego</t>
  </si>
  <si>
    <t xml:space="preserve"> PUESTO CABECERA MUNICIPAL</t>
  </si>
  <si>
    <t>1122268258</t>
  </si>
  <si>
    <t>DALILA GOMEZ AHE</t>
  </si>
  <si>
    <t>65630092</t>
  </si>
  <si>
    <t>DALILA MILENA PERDFOMO</t>
  </si>
  <si>
    <t>1123201296</t>
  </si>
  <si>
    <t>DAMARIS HERREA BARRIOS</t>
  </si>
  <si>
    <t>DAMIS  GALVIS</t>
  </si>
  <si>
    <t>3187637222</t>
  </si>
  <si>
    <t xml:space="preserve"> IE CAFÉ MADRID</t>
  </si>
  <si>
    <t>DANIELA ALEJANDRA FLOREZ FEO</t>
  </si>
  <si>
    <t>3222522126</t>
  </si>
  <si>
    <t xml:space="preserve"> CENTRO COMERCIAL PALATINO</t>
  </si>
  <si>
    <t>No cargado E14</t>
  </si>
  <si>
    <t>DANIELA ALEXANDRA ROJAS TOLOZA</t>
  </si>
  <si>
    <t>3225097889</t>
  </si>
  <si>
    <t>IE SEGUNDO AMARIS MATUTE SEDE PRIMARIA</t>
  </si>
  <si>
    <t>DANIELA  CONDE BUSTOS</t>
  </si>
  <si>
    <t>3235738744</t>
  </si>
  <si>
    <t>DANIELA FERNANDA GOMEZ MELLADO</t>
  </si>
  <si>
    <t>3134012062</t>
  </si>
  <si>
    <t>INST TEC SUP. IND. SD G MARY VILLAMIZAR</t>
  </si>
  <si>
    <t>DANIELA  GARCIAS</t>
  </si>
  <si>
    <t>3155609809</t>
  </si>
  <si>
    <t>DANIELA  MURILLO</t>
  </si>
  <si>
    <t>3214573432</t>
  </si>
  <si>
    <t>1098725723</t>
  </si>
  <si>
    <t>DANIEL CARILLO</t>
  </si>
  <si>
    <t>3177231217</t>
  </si>
  <si>
    <t>333333</t>
  </si>
  <si>
    <t>DANIEL CHACON DURAN</t>
  </si>
  <si>
    <t>3006375558</t>
  </si>
  <si>
    <t>1005108827</t>
  </si>
  <si>
    <t>DANIEL DAVID ANAYA CASTRO</t>
  </si>
  <si>
    <t>3133096750</t>
  </si>
  <si>
    <t>1020827796</t>
  </si>
  <si>
    <t>DANIEL FELIPE CIFUENTES ZALDUA</t>
  </si>
  <si>
    <t>3175127770</t>
  </si>
  <si>
    <t>CEDRO GOLF</t>
  </si>
  <si>
    <t>1095790926</t>
  </si>
  <si>
    <t>DANIEL PRIETO</t>
  </si>
  <si>
    <t>3165021190</t>
  </si>
  <si>
    <t>BARR Lagos Iv</t>
  </si>
  <si>
    <t>1127619461</t>
  </si>
  <si>
    <t>DANIEL SUAREZ</t>
  </si>
  <si>
    <t>3153480342</t>
  </si>
  <si>
    <t>NST SAN JOSÉ DE LA SALLE</t>
  </si>
  <si>
    <t>1098781896</t>
  </si>
  <si>
    <t>DANIEL USCATEGUI</t>
  </si>
  <si>
    <t>3187884588</t>
  </si>
  <si>
    <t>1121216708</t>
  </si>
  <si>
    <t>DANILO ALEXANDER CERVANTEZ</t>
  </si>
  <si>
    <t>18050836</t>
  </si>
  <si>
    <t>DANILO BASTOS</t>
  </si>
  <si>
    <t>9496655</t>
  </si>
  <si>
    <t>DANILO CORREDOR</t>
  </si>
  <si>
    <t>3115137824</t>
  </si>
  <si>
    <t>Cedula no se encuentra en censo</t>
  </si>
  <si>
    <t>1009258115</t>
  </si>
  <si>
    <t>DANNA PRIETO</t>
  </si>
  <si>
    <t>3504288393</t>
  </si>
  <si>
    <t>BARR Lagos I</t>
  </si>
  <si>
    <t>1095837747</t>
  </si>
  <si>
    <t>DANNY ORTIZ</t>
  </si>
  <si>
    <t>3203997291</t>
  </si>
  <si>
    <t xml:space="preserve"> INSTITUTO GABRIEL GARCIA MARQUEZ</t>
  </si>
  <si>
    <t>13802481</t>
  </si>
  <si>
    <t>DARIO ESPINOSA PEDRAZA</t>
  </si>
  <si>
    <t>3017751077</t>
  </si>
  <si>
    <t>CR 25 # 31 - 94 BARRIO ANTONIA SANTOS</t>
  </si>
  <si>
    <t>COL PSICOPEDAG CARL ROGERS</t>
  </si>
  <si>
    <t>15875606</t>
  </si>
  <si>
    <t>DARIO MANDUCA</t>
  </si>
  <si>
    <t>1121208507</t>
  </si>
  <si>
    <t>DARLENE KARINA HERRERA BARRIOS</t>
  </si>
  <si>
    <t>1121200933</t>
  </si>
  <si>
    <t>DARWIN JIMENEZ</t>
  </si>
  <si>
    <t>1006733534</t>
  </si>
  <si>
    <t>DARWIN YAICATE</t>
  </si>
  <si>
    <t>1100894367</t>
  </si>
  <si>
    <t>DAURYS JAIMES</t>
  </si>
  <si>
    <t>3044734397</t>
  </si>
  <si>
    <t>Rionegro</t>
  </si>
  <si>
    <t>TRANSVERSAL 14 N 7</t>
  </si>
  <si>
    <t>COLISEO POLIDEPORTIVO RIONEGRO</t>
  </si>
  <si>
    <t>1007863428</t>
  </si>
  <si>
    <t>DAVID COELLO VELA</t>
  </si>
  <si>
    <t>1095821849</t>
  </si>
  <si>
    <t>DAVID FRANCO</t>
  </si>
  <si>
    <t>3165346630</t>
  </si>
  <si>
    <t>CALLE 32 No. 22 - 140 CAÑAVERAL</t>
  </si>
  <si>
    <t>79308704</t>
  </si>
  <si>
    <t>DAVID MARTINEZ</t>
  </si>
  <si>
    <t>1098629067</t>
  </si>
  <si>
    <t>DAVID PABON</t>
  </si>
  <si>
    <t>3142847652</t>
  </si>
  <si>
    <t>CLL 37 No 10-36 BARRIO GARCIA ROVIRA</t>
  </si>
  <si>
    <t>1098791870</t>
  </si>
  <si>
    <t>DAVID PEREZ NAVARRO</t>
  </si>
  <si>
    <t>3150466390</t>
  </si>
  <si>
    <t>AV LOS ESTUDIANTES # 9-82 BARRIO REAL DE MINAS</t>
  </si>
  <si>
    <t>1098628532</t>
  </si>
  <si>
    <t>DAVID RIAÑO</t>
  </si>
  <si>
    <t>3122613928</t>
  </si>
  <si>
    <t>CENT EDUC RURAL EL PAULON</t>
  </si>
  <si>
    <t>EL PABLON</t>
  </si>
  <si>
    <t>1096240783</t>
  </si>
  <si>
    <t>DAYANA MURILLO BOHORQUEZ</t>
  </si>
  <si>
    <t>3217659609</t>
  </si>
  <si>
    <t>Barrio Primero de Mayo</t>
  </si>
  <si>
    <t>COL 26 DE MARZO</t>
  </si>
  <si>
    <t>1006739375</t>
  </si>
  <si>
    <t>DAYANA SOFIA DOÑEZ ALVEZ</t>
  </si>
  <si>
    <t>40403547</t>
  </si>
  <si>
    <t>DEIDI ZALLAS</t>
  </si>
  <si>
    <t>3115172286</t>
  </si>
  <si>
    <t>CR 15 # 103D - 160 BARRIO DELICIAS ALTAS</t>
  </si>
  <si>
    <t>1095821360</t>
  </si>
  <si>
    <t>DEISY CARREÑO</t>
  </si>
  <si>
    <t>3156006312</t>
  </si>
  <si>
    <t>AVENIDA 33 No. 117-100 NUEVO VILLABEL Altos De Florida</t>
  </si>
  <si>
    <t>COLEGIO METROPOLITANO DEL SUR</t>
  </si>
  <si>
    <t>40150456</t>
  </si>
  <si>
    <t>DELFINA LINARES</t>
  </si>
  <si>
    <t>18050337</t>
  </si>
  <si>
    <t>DELFIN PEÑA</t>
  </si>
  <si>
    <t>18050853</t>
  </si>
  <si>
    <t>DELIO BECERRA PEÑA</t>
  </si>
  <si>
    <t>18050680</t>
  </si>
  <si>
    <t>DELIO PEREIRA PEÑA</t>
  </si>
  <si>
    <t>63503370</t>
  </si>
  <si>
    <t>DENIS QUINTERO</t>
  </si>
  <si>
    <t>3044183529</t>
  </si>
  <si>
    <t>Coliseo Alcantuz</t>
  </si>
  <si>
    <t>37513308</t>
  </si>
  <si>
    <t>DEYBI CORREA</t>
  </si>
  <si>
    <t>3208005174</t>
  </si>
  <si>
    <t>1122266144</t>
  </si>
  <si>
    <t>DEYSI COELLO SANCHEZ</t>
  </si>
  <si>
    <t>1098665413</t>
  </si>
  <si>
    <t>DEYSI JAIMES BARRERA</t>
  </si>
  <si>
    <t>3123227370</t>
  </si>
  <si>
    <t>41057727</t>
  </si>
  <si>
    <t>DIAMANTINA SAVILVINO RODRIGUEZ</t>
  </si>
  <si>
    <t>1102361766</t>
  </si>
  <si>
    <t>DIANA BECERRA</t>
  </si>
  <si>
    <t>3107520390</t>
  </si>
  <si>
    <t>COL VICTOR FELIX GOMEZ SEDE A</t>
  </si>
  <si>
    <t>1121214035</t>
  </si>
  <si>
    <t>DIANA CARIGUAZARI</t>
  </si>
  <si>
    <t>1094243059</t>
  </si>
  <si>
    <t>DIANA CAROLINA FUENTES GOMEZ</t>
  </si>
  <si>
    <t>1100962265</t>
  </si>
  <si>
    <t>DIANA CAROLINA PARRA</t>
  </si>
  <si>
    <t>3202651315</t>
  </si>
  <si>
    <t>HOGAR INFANTIL DUMBO</t>
  </si>
  <si>
    <t>1152218454</t>
  </si>
  <si>
    <t>DIANA CASTAÑO VILLALBA</t>
  </si>
  <si>
    <t>3244662867</t>
  </si>
  <si>
    <t>1095809018</t>
  </si>
  <si>
    <t>DIANA DELGADO</t>
  </si>
  <si>
    <t>3188589204</t>
  </si>
  <si>
    <t>fFloridablanca</t>
  </si>
  <si>
    <t>CALLE 200 No. 20 - 39 LA PAZ</t>
  </si>
  <si>
    <t>FlORIDABLANCA</t>
  </si>
  <si>
    <t>41060232</t>
  </si>
  <si>
    <t>DIANA IYUMA</t>
  </si>
  <si>
    <t>37547836</t>
  </si>
  <si>
    <t>DIANA JUDITH BUITRAGO GUALTEROS</t>
  </si>
  <si>
    <t>3103436148</t>
  </si>
  <si>
    <t>Malaga</t>
  </si>
  <si>
    <t>CRA 10 No 10-39</t>
  </si>
  <si>
    <t>NORMAL SUP. FRANCISCO DE PAULA SANTANDER</t>
  </si>
  <si>
    <t>1096183644</t>
  </si>
  <si>
    <t>DIANA MARCELA VALDERRAMA DEVIA</t>
  </si>
  <si>
    <t>3125657437</t>
  </si>
  <si>
    <t>Primero de Mayo</t>
  </si>
  <si>
    <t>41055811</t>
  </si>
  <si>
    <t>DIANA MARIA SILVA</t>
  </si>
  <si>
    <t>63544174</t>
  </si>
  <si>
    <t>DIANA PABON</t>
  </si>
  <si>
    <t>3167201906</t>
  </si>
  <si>
    <t>CALLE 35 No. 7E-05 LA CUMBRE</t>
  </si>
  <si>
    <t>1096231918</t>
  </si>
  <si>
    <t>DIANA PARRA</t>
  </si>
  <si>
    <t>3246788806</t>
  </si>
  <si>
    <t>TR 44 # 58-20 B. LAS GRANJAS C POLICARPA SALAVAR.</t>
  </si>
  <si>
    <t>Colegio Camilo Torres Sede D - P. SALAVARRIETA</t>
  </si>
  <si>
    <t>1099302320</t>
  </si>
  <si>
    <t>DIANA PATRICIA CORREA CARDENAS</t>
  </si>
  <si>
    <t>3166927925</t>
  </si>
  <si>
    <t xml:space="preserve">CR 19A # 104 - 56 BARRIO PROVENZA	</t>
  </si>
  <si>
    <t>1102391850</t>
  </si>
  <si>
    <t>DIANA PATRICIA JAIMES TAPIAS</t>
  </si>
  <si>
    <t>3245404889</t>
  </si>
  <si>
    <t>ESC RUR LA COLINA MESA DE RUITOQUE</t>
  </si>
  <si>
    <t xml:space="preserve">LA COLINA	 </t>
  </si>
  <si>
    <t>1098621178</t>
  </si>
  <si>
    <t>DIDIER GALVIS</t>
  </si>
  <si>
    <t>3214958958</t>
  </si>
  <si>
    <t>El Tejar</t>
  </si>
  <si>
    <t>1097488038</t>
  </si>
  <si>
    <t>DIEGO ALEJANDRO CARREÑO</t>
  </si>
  <si>
    <t>3124873818</t>
  </si>
  <si>
    <t>CLE 56 # 33 - 38 BARRIO CABECERA DEL LLANO</t>
  </si>
  <si>
    <t>COLEGIO LA PRESENTACION</t>
  </si>
  <si>
    <t>1005339727</t>
  </si>
  <si>
    <t>DIEGO ALVAREZ</t>
  </si>
  <si>
    <t>Cañaveral - Versalles</t>
  </si>
  <si>
    <t>COMUNA 2 CAÑAVERAL-VERSALL</t>
  </si>
  <si>
    <t>1102389367</t>
  </si>
  <si>
    <t>DIEGO ARMANDO VILLAFAÑE OSORIO</t>
  </si>
  <si>
    <t>3042183898</t>
  </si>
  <si>
    <t>CLL 6 NO 13-42 SAN RAFAEL</t>
  </si>
  <si>
    <t>COL HUMBERTO GOMEZ NIGRINIS</t>
  </si>
  <si>
    <t>132400159</t>
  </si>
  <si>
    <t>DIEGO ENRIQUE MURILLO RUZ</t>
  </si>
  <si>
    <t>1098736302</t>
  </si>
  <si>
    <t>Lider / 166</t>
  </si>
  <si>
    <t>DIEGO ESTEBAN QUINTERO BUSTOS</t>
  </si>
  <si>
    <t xml:space="preserve"> PATRIA</t>
  </si>
  <si>
    <t>LOCALIDAD 12 BARRIOS UNIDO</t>
  </si>
  <si>
    <t>1000214238</t>
  </si>
  <si>
    <t>DIEGO LUNA</t>
  </si>
  <si>
    <t>3112281313</t>
  </si>
  <si>
    <t>URIBTV. 13 G BIS # 46-35 SUR</t>
  </si>
  <si>
    <t>MARCO FIDEL SUAREZ</t>
  </si>
  <si>
    <t>1098783512</t>
  </si>
  <si>
    <t>DIEGO ORTIZ</t>
  </si>
  <si>
    <t>3144574935</t>
  </si>
  <si>
    <t>COL TEC EMPRESARIAL JOSE MARIA</t>
  </si>
  <si>
    <t>1096186467</t>
  </si>
  <si>
    <t>DIEGO RINCON</t>
  </si>
  <si>
    <t>3003895226</t>
  </si>
  <si>
    <t>Barrio Recreo</t>
  </si>
  <si>
    <t xml:space="preserve"> INSTITUTO ANTONIO NARIÑO</t>
  </si>
  <si>
    <t>1005654229</t>
  </si>
  <si>
    <t>DIFREDY MENDEZ</t>
  </si>
  <si>
    <t>3144062874</t>
  </si>
  <si>
    <t>BARR Colorados - Quebrada Seca</t>
  </si>
  <si>
    <t>1005370052</t>
  </si>
  <si>
    <t>DILAN CAMILO SANCHEZ BERNAL</t>
  </si>
  <si>
    <t>CALLE 13 No. 14 - 160</t>
  </si>
  <si>
    <t xml:space="preserve"> C.NTR.SRA.DE LAS MERCEDES SB</t>
  </si>
  <si>
    <t>40151121</t>
  </si>
  <si>
    <t>DINA LUZ PEÑA AHUE</t>
  </si>
  <si>
    <t>28312330</t>
  </si>
  <si>
    <t>DIOCELINA SEPULVEDA</t>
  </si>
  <si>
    <t>3123386827</t>
  </si>
  <si>
    <t>BARRIO VILLA ROSA -</t>
  </si>
  <si>
    <t>I.E. SANTO ANGEL</t>
  </si>
  <si>
    <t>1122270154</t>
  </si>
  <si>
    <t>DIOMELINDA CURICO</t>
  </si>
  <si>
    <t>37751998</t>
  </si>
  <si>
    <t>DIOSELINA DURAN</t>
  </si>
  <si>
    <t>3185635099</t>
  </si>
  <si>
    <t>COL SANTANDER SEDE A</t>
  </si>
  <si>
    <t>1006412549</t>
  </si>
  <si>
    <t>DISNARDA FLORES</t>
  </si>
  <si>
    <t>63508148</t>
  </si>
  <si>
    <t>DOMINGA ORTEGA MORENO</t>
  </si>
  <si>
    <t>3003621463</t>
  </si>
  <si>
    <t xml:space="preserve"> ZAPAMANGA II</t>
  </si>
  <si>
    <t>INSTITUTO FE Y ALEGRIA</t>
  </si>
  <si>
    <t>18050768</t>
  </si>
  <si>
    <t>DOMINGO JIMENEZ</t>
  </si>
  <si>
    <t>6566351</t>
  </si>
  <si>
    <t>DOMINGUIN CAISARA</t>
  </si>
  <si>
    <t>28077664</t>
  </si>
  <si>
    <t>DORA ILCE CORDERO</t>
  </si>
  <si>
    <t>3156246724</t>
  </si>
  <si>
    <t xml:space="preserve"> BARRIO PROVENZA</t>
  </si>
  <si>
    <t>63503544</t>
  </si>
  <si>
    <t>DORIS GARCIA</t>
  </si>
  <si>
    <t>3187839104</t>
  </si>
  <si>
    <t>LAGOS III</t>
  </si>
  <si>
    <t>28238914</t>
  </si>
  <si>
    <t>DORIS GONZALES</t>
  </si>
  <si>
    <t>3177000403</t>
  </si>
  <si>
    <t>BARRIO AURORA</t>
  </si>
  <si>
    <t>28238614</t>
  </si>
  <si>
    <t>DORIS GUALTEROS VARGAS</t>
  </si>
  <si>
    <t>3133166220</t>
  </si>
  <si>
    <t>63284248</t>
  </si>
  <si>
    <t>DORIS JAIMES</t>
  </si>
  <si>
    <t>3176204985</t>
  </si>
  <si>
    <t>BARRIO CAMPO HERMOSO</t>
  </si>
  <si>
    <t>COL COOPERATIVO DE BUCARAMANGA</t>
  </si>
  <si>
    <t>52223108</t>
  </si>
  <si>
    <t>DORIS PATRICIA BUITRAGO GUALTEROS</t>
  </si>
  <si>
    <t>3203133923</t>
  </si>
  <si>
    <t>NO  CLL 63 # 32 - 76 BARRIO CONUCOS</t>
  </si>
  <si>
    <t>1095953810</t>
  </si>
  <si>
    <t>DUBAN GARCIA</t>
  </si>
  <si>
    <t>3114993043</t>
  </si>
  <si>
    <t>BULEVAR LA CEIBA NO 22A-15 PORTAL CAM</t>
  </si>
  <si>
    <t>COLEGIO PORTAL CAMPESTRE NORTE</t>
  </si>
  <si>
    <t>1005177561</t>
  </si>
  <si>
    <t>DUVAN CAMILO DELGADO</t>
  </si>
  <si>
    <t>3219335559</t>
  </si>
  <si>
    <t xml:space="preserve"> BARRIO PABLO ACUÑA</t>
  </si>
  <si>
    <t>1007674038</t>
  </si>
  <si>
    <t>DUVAN CARDENAS</t>
  </si>
  <si>
    <t>3227996083</t>
  </si>
  <si>
    <t>1121440702</t>
  </si>
  <si>
    <t>DUVIAN PEÑA</t>
  </si>
  <si>
    <t>1098701763</t>
  </si>
  <si>
    <t>EDDY MAYERLY VILLAMIZAR</t>
  </si>
  <si>
    <t>3163347325</t>
  </si>
  <si>
    <t xml:space="preserve"> CR 1D # N-81 - BARRIO MINUTO DE DIOS</t>
  </si>
  <si>
    <t>40176143</t>
  </si>
  <si>
    <t>EDELMIRA YAICATE</t>
  </si>
  <si>
    <t>18051564</t>
  </si>
  <si>
    <t>EDGAR AHUE COELLO</t>
  </si>
  <si>
    <t>79426097</t>
  </si>
  <si>
    <t>EDGAR ALEJANDRO BADILLO SUAREZ</t>
  </si>
  <si>
    <t>3112128123</t>
  </si>
  <si>
    <t>BARR Carrera 15 No 55-19</t>
  </si>
  <si>
    <t>CORP UNIVERSITARIA UNICIENCIA</t>
  </si>
  <si>
    <t>1232591445</t>
  </si>
  <si>
    <t>EDGAR GUERRERO</t>
  </si>
  <si>
    <t>3238104611</t>
  </si>
  <si>
    <t>Valencia</t>
  </si>
  <si>
    <t>Venezuela</t>
  </si>
  <si>
    <t>Consulado</t>
  </si>
  <si>
    <t>OJO NO VOTA EN COLOMBIA</t>
  </si>
  <si>
    <t>91285685</t>
  </si>
  <si>
    <t>3169197692</t>
  </si>
  <si>
    <t>BARRIO VILLA HELENA</t>
  </si>
  <si>
    <t>19359059</t>
  </si>
  <si>
    <t>EDGAR LEONEL PANCHE</t>
  </si>
  <si>
    <t>3142182609</t>
  </si>
  <si>
    <t>AV CLL 127  # 60-30</t>
  </si>
  <si>
    <t>1122267001</t>
  </si>
  <si>
    <t>EDGAR PINTO BARRERA</t>
  </si>
  <si>
    <t>91109393</t>
  </si>
  <si>
    <t>EDGAR PRIETO</t>
  </si>
  <si>
    <t>3162968664</t>
  </si>
  <si>
    <t>BARR Cr Quintas De Guatiguara</t>
  </si>
  <si>
    <t>1098641711</t>
  </si>
  <si>
    <t>EDGAR REYES</t>
  </si>
  <si>
    <t>3224598620</t>
  </si>
  <si>
    <t>BARR Quebrada La Iglesia</t>
  </si>
  <si>
    <t>12902607</t>
  </si>
  <si>
    <t>EDGAR VERA</t>
  </si>
  <si>
    <t>2835596</t>
  </si>
  <si>
    <t>EDILIA NUÑEZ</t>
  </si>
  <si>
    <t>3184949808</t>
  </si>
  <si>
    <t>BARR Zapamanga I</t>
  </si>
  <si>
    <t xml:space="preserve">Cedula no existe </t>
  </si>
  <si>
    <t>63289808</t>
  </si>
  <si>
    <t>EDILMA REINA SILVA</t>
  </si>
  <si>
    <t>3042058400</t>
  </si>
  <si>
    <t xml:space="preserve"> CR 28 # 55-10 BARRIO CIUDAD BOLIVAR</t>
  </si>
  <si>
    <t>INST TEC SUPERIOR INDUSTRIAL</t>
  </si>
  <si>
    <t>1131534417</t>
  </si>
  <si>
    <t>EDINSON MARAPARA</t>
  </si>
  <si>
    <t>15875920</t>
  </si>
  <si>
    <t>EDINSON NORIEGA</t>
  </si>
  <si>
    <t>1374723</t>
  </si>
  <si>
    <t>EDINSON QUINTERO</t>
  </si>
  <si>
    <t>3157294667</t>
  </si>
  <si>
    <t>Cali</t>
  </si>
  <si>
    <t>CENTRO PARROQUIAL SAN JUAN BAUTISTA</t>
  </si>
  <si>
    <t>91518640</t>
  </si>
  <si>
    <t>EDINSON TRIANA</t>
  </si>
  <si>
    <t>3243019675</t>
  </si>
  <si>
    <t>BARRIO PROVENZA</t>
  </si>
  <si>
    <t>E INEM CUSTODIO GARCIA ROV SEDE A</t>
  </si>
  <si>
    <t>91510095</t>
  </si>
  <si>
    <t>EDISNON GIOVANNI RIVERO RODRIGUEZ</t>
  </si>
  <si>
    <t>3172479478</t>
  </si>
  <si>
    <t>1098640524</t>
  </si>
  <si>
    <t>EDISON MONSALVE</t>
  </si>
  <si>
    <t>3156205246</t>
  </si>
  <si>
    <t>91183210</t>
  </si>
  <si>
    <t>EDISON QUINTANILLA GOMEZ</t>
  </si>
  <si>
    <t>3222602144</t>
  </si>
  <si>
    <t>SANTANA CONCENTRACION SANTANA</t>
  </si>
  <si>
    <t>Osiris Ortega Montoya</t>
  </si>
  <si>
    <t>INS TEC SUPERIOR INDUSTRIAL SD B SANTANA</t>
  </si>
  <si>
    <t>1065239990</t>
  </si>
  <si>
    <t>EDITH SANYU VILLAMIZAR</t>
  </si>
  <si>
    <t>3108094473</t>
  </si>
  <si>
    <t>CR 8B # 35AN-45 BARRIO CAFÉ MADRID</t>
  </si>
  <si>
    <t>1100963285</t>
  </si>
  <si>
    <t>EDNA MARTINEZ</t>
  </si>
  <si>
    <t>3136239533</t>
  </si>
  <si>
    <t>CL. 25 N. 16-02</t>
  </si>
  <si>
    <t>COLEGIO SAN CARLOS</t>
  </si>
  <si>
    <t>60383637</t>
  </si>
  <si>
    <t>EDNA MORA</t>
  </si>
  <si>
    <t>3135260356</t>
  </si>
  <si>
    <t>Valledupar</t>
  </si>
  <si>
    <t>IE NACIONAL LOPERENA SD SANTO DOMINGO</t>
  </si>
  <si>
    <t>19433967</t>
  </si>
  <si>
    <t>EDUARDO ALFONSO CLAVIJO SALAMANCA</t>
  </si>
  <si>
    <t>CLL 71 No 75 - 11</t>
  </si>
  <si>
    <t>BOYACA</t>
  </si>
  <si>
    <t>91247926</t>
  </si>
  <si>
    <t>EDUARDO AVALOS QUIJANO</t>
  </si>
  <si>
    <t>3008016422</t>
  </si>
  <si>
    <t>3980645</t>
  </si>
  <si>
    <t>EDUARDO BUITRAGO VARGAS</t>
  </si>
  <si>
    <t>3114420363</t>
  </si>
  <si>
    <t xml:space="preserve"> NORMAL SUP. FRANCISCO DE PAULA SANTANDER</t>
  </si>
  <si>
    <t>1121208023</t>
  </si>
  <si>
    <t>EDUARDO FLORES BAOS</t>
  </si>
  <si>
    <t>31879610</t>
  </si>
  <si>
    <t>EDUARDO PEREZ</t>
  </si>
  <si>
    <t>3157564003</t>
  </si>
  <si>
    <t>C.A.M.</t>
  </si>
  <si>
    <t>91424925</t>
  </si>
  <si>
    <t>EDUARDO PICO</t>
  </si>
  <si>
    <t>3102659565</t>
  </si>
  <si>
    <t>BARR Isla Del Zapato</t>
  </si>
  <si>
    <t>COL INTECOBA</t>
  </si>
  <si>
    <t>15001707</t>
  </si>
  <si>
    <t>EDUARDO PINTO</t>
  </si>
  <si>
    <t>1121200246</t>
  </si>
  <si>
    <t>EDUARDO SINARAGUA</t>
  </si>
  <si>
    <t>91521969</t>
  </si>
  <si>
    <t>EDUAR YESID BUITRAGO GUALTEROS</t>
  </si>
  <si>
    <t>3103049039</t>
  </si>
  <si>
    <t>Niza</t>
  </si>
  <si>
    <t>1098742449</t>
  </si>
  <si>
    <t>EDWIN ALIRIO QUINTANILLA GOMEZ</t>
  </si>
  <si>
    <t>3187172838</t>
  </si>
  <si>
    <t>INST NAL PENITEN Y CARCELARIO HOMBRES</t>
  </si>
  <si>
    <t>91520074</t>
  </si>
  <si>
    <t>EDWIN CASTELLANOS</t>
  </si>
  <si>
    <t>3186192870</t>
  </si>
  <si>
    <t>CAÑAVERAL</t>
  </si>
  <si>
    <t>91435984</t>
  </si>
  <si>
    <t>EDWIN FLOREZ</t>
  </si>
  <si>
    <t>3114512049</t>
  </si>
  <si>
    <t>Simacota</t>
  </si>
  <si>
    <t>PUERTO NUEVO</t>
  </si>
  <si>
    <t>13746698</t>
  </si>
  <si>
    <t>EDWIN PEREZ MONSALVE</t>
  </si>
  <si>
    <t>3142090843</t>
  </si>
  <si>
    <t>Colegio Divino Niño Jesus</t>
  </si>
  <si>
    <t>1115862387</t>
  </si>
  <si>
    <t>EDWIN TUMAY</t>
  </si>
  <si>
    <t>3123524009</t>
  </si>
  <si>
    <t>40177617</t>
  </si>
  <si>
    <t>EDY FLOREZ</t>
  </si>
  <si>
    <t>1006732999</t>
  </si>
  <si>
    <t>EFERSON CERRON MANUYAMA</t>
  </si>
  <si>
    <t>80182796</t>
  </si>
  <si>
    <t>EFREN MEDINA</t>
  </si>
  <si>
    <t>3227233645</t>
  </si>
  <si>
    <t>PUESTO CENSO(FERIA EXPOSICION)</t>
  </si>
  <si>
    <t>40150746</t>
  </si>
  <si>
    <t>EGIDIA CAYETANO</t>
  </si>
  <si>
    <t>279029</t>
  </si>
  <si>
    <t>ELBARDO ELIAS BERNAL</t>
  </si>
  <si>
    <t>37830021</t>
  </si>
  <si>
    <t>ELDA BENAVIDES</t>
  </si>
  <si>
    <t>3186901387</t>
  </si>
  <si>
    <t>CAÑAVERAL ALTO</t>
  </si>
  <si>
    <t>41059187</t>
  </si>
  <si>
    <t>ELDA SANTOS</t>
  </si>
  <si>
    <t>37746331</t>
  </si>
  <si>
    <t>ELEIDA JURADO VEGA</t>
  </si>
  <si>
    <t>3133651811</t>
  </si>
  <si>
    <t>BARRIO ESTORAQUES</t>
  </si>
  <si>
    <t xml:space="preserve"> I.E. LUIS CARLOS GALAN SARMIENTO</t>
  </si>
  <si>
    <t>40175771</t>
  </si>
  <si>
    <t>ELENA IPUCHIMA</t>
  </si>
  <si>
    <t>40177725</t>
  </si>
  <si>
    <t>ELENA LOPEZ</t>
  </si>
  <si>
    <t>37813981</t>
  </si>
  <si>
    <t>ELENA PABON</t>
  </si>
  <si>
    <t>3154422610</t>
  </si>
  <si>
    <t>LAGOS II</t>
  </si>
  <si>
    <t>INSTITUTO RAFAEL POMBO</t>
  </si>
  <si>
    <t>15876242</t>
  </si>
  <si>
    <t>ELEODORO PEÑA</t>
  </si>
  <si>
    <t>63367585</t>
  </si>
  <si>
    <t>ELGA LILIANA DURAN ARCINIEGAS</t>
  </si>
  <si>
    <t>3005639430</t>
  </si>
  <si>
    <t>1095795327</t>
  </si>
  <si>
    <t>ELIANA LANDAZABAL</t>
  </si>
  <si>
    <t>3160404088</t>
  </si>
  <si>
    <t>1102381623</t>
  </si>
  <si>
    <t>ELIANA VARGAS</t>
  </si>
  <si>
    <t>3167333148</t>
  </si>
  <si>
    <t>CAMPO VERDE</t>
  </si>
  <si>
    <t xml:space="preserve"> COL VICTOR FELIX GOMEZ SEDE A</t>
  </si>
  <si>
    <t>73581944</t>
  </si>
  <si>
    <t>ELIAS ANTONIO PANTOJA JEREZ</t>
  </si>
  <si>
    <t>3208399266</t>
  </si>
  <si>
    <t>Yondo</t>
  </si>
  <si>
    <t>I.E.R. SAN LUIS BELTRAN</t>
  </si>
  <si>
    <t>10251949</t>
  </si>
  <si>
    <t>ELIAS PACHECHO RIVEROS</t>
  </si>
  <si>
    <t>3118720334</t>
  </si>
  <si>
    <t>ANTIGUO COUNTRY PLAZOLETA CARULLA</t>
  </si>
  <si>
    <t>1232891629</t>
  </si>
  <si>
    <t>ELIBRTH VILLAMIZAR VILLAMIZAR</t>
  </si>
  <si>
    <t>3214757845</t>
  </si>
  <si>
    <t>1007366165</t>
  </si>
  <si>
    <t>ELI CACERES</t>
  </si>
  <si>
    <t>1122269484</t>
  </si>
  <si>
    <t>ELIECER VALERIO ALMEIDA</t>
  </si>
  <si>
    <t>13268602</t>
  </si>
  <si>
    <t>ELIGIO BALAGUERRA ACERO</t>
  </si>
  <si>
    <t>3138915286</t>
  </si>
  <si>
    <t>Cachira</t>
  </si>
  <si>
    <t>FILO DE SAN CAYETANO</t>
  </si>
  <si>
    <t>15889047</t>
  </si>
  <si>
    <t>ELIO AMIAS CURICO</t>
  </si>
  <si>
    <t>1121203268</t>
  </si>
  <si>
    <t>ELIO MANDUCA RAMOS</t>
  </si>
  <si>
    <t>6566099</t>
  </si>
  <si>
    <t>ELIO PINTO</t>
  </si>
  <si>
    <t>37932346</t>
  </si>
  <si>
    <t>ELISA JIMENEZ CASTELLANOS</t>
  </si>
  <si>
    <t>3248951867</t>
  </si>
  <si>
    <t>BARR Colombia</t>
  </si>
  <si>
    <t>COL CIUDADELA EDUC. SEDED C CAMPESTRE</t>
  </si>
  <si>
    <t>63338265</t>
  </si>
  <si>
    <t>ELIZABETH GARCIA</t>
  </si>
  <si>
    <t>3114982945</t>
  </si>
  <si>
    <t>BARR Villarelis</t>
  </si>
  <si>
    <t>Colegio Intecoba</t>
  </si>
  <si>
    <t>28358814</t>
  </si>
  <si>
    <t>ELIZABETH LANDAZABAL</t>
  </si>
  <si>
    <t>3150027373</t>
  </si>
  <si>
    <t>SAN ANDRES</t>
  </si>
  <si>
    <t>28488428</t>
  </si>
  <si>
    <t>ELIZABETH LEÓN SAAVEDRA</t>
  </si>
  <si>
    <t>3102090171</t>
  </si>
  <si>
    <t xml:space="preserve"> COL LICEO NUEVA GENERACION</t>
  </si>
  <si>
    <t>912258864</t>
  </si>
  <si>
    <t>ELKIN MANRIQUE</t>
  </si>
  <si>
    <t>3166922501</t>
  </si>
  <si>
    <t>Cedula no existe, revisar</t>
  </si>
  <si>
    <t>1122269260</t>
  </si>
  <si>
    <t>ELKIN MARICAGUA AHUE</t>
  </si>
  <si>
    <t>1121219971</t>
  </si>
  <si>
    <t>ELOISA MONTES</t>
  </si>
  <si>
    <t>87794417</t>
  </si>
  <si>
    <t>ELSON JOAQUIN</t>
  </si>
  <si>
    <t>1122268606</t>
  </si>
  <si>
    <t>ELVANO LAULATE GOMEZ</t>
  </si>
  <si>
    <t>28380603</t>
  </si>
  <si>
    <t>ELVIA PINTO</t>
  </si>
  <si>
    <t>3177010490</t>
  </si>
  <si>
    <t>15889160</t>
  </si>
  <si>
    <t>ELZEARIO CERRON SILVA</t>
  </si>
  <si>
    <t>41057068</t>
  </si>
  <si>
    <t>EMA CABRERA</t>
  </si>
  <si>
    <t>1006784374</t>
  </si>
  <si>
    <t>EMEL CHAMORRO</t>
  </si>
  <si>
    <t>1121198047</t>
  </si>
  <si>
    <t>EMELINA MANDUCA RAMOS</t>
  </si>
  <si>
    <t>40151031</t>
  </si>
  <si>
    <t>EMERITA PACAYA</t>
  </si>
  <si>
    <t>15876998</t>
  </si>
  <si>
    <t>EMERSON PAIMA</t>
  </si>
  <si>
    <t>1102356859</t>
  </si>
  <si>
    <t>EMERSON VARGAS</t>
  </si>
  <si>
    <t>3183776507</t>
  </si>
  <si>
    <t>28169028</t>
  </si>
  <si>
    <t>EMILCE GOMEZ SAAVEDRA</t>
  </si>
  <si>
    <t>3102835100</t>
  </si>
  <si>
    <t>UNAB CAMPUS EL BOSQUE</t>
  </si>
  <si>
    <t>1093745154</t>
  </si>
  <si>
    <t>EMILCE PEÑA</t>
  </si>
  <si>
    <t>3018872386</t>
  </si>
  <si>
    <t xml:space="preserve"> I.E. ORIENTE MIRAFLORES SEDE C</t>
  </si>
  <si>
    <t>1121226962</t>
  </si>
  <si>
    <t>EMILY CERRON</t>
  </si>
  <si>
    <t>37722546</t>
  </si>
  <si>
    <t>EMMA CONSUELO</t>
  </si>
  <si>
    <t>3023311518</t>
  </si>
  <si>
    <t>1148453546</t>
  </si>
  <si>
    <t>EMMA ELCILADY COELLO MORENO</t>
  </si>
  <si>
    <t>28485462</t>
  </si>
  <si>
    <t>EMMATULIA GIL</t>
  </si>
  <si>
    <t>6076804020</t>
  </si>
  <si>
    <t>1006784293</t>
  </si>
  <si>
    <t>ENGELBER RAMOS</t>
  </si>
  <si>
    <t>40177728</t>
  </si>
  <si>
    <t>ENMA SANTOS</t>
  </si>
  <si>
    <t>18937587</t>
  </si>
  <si>
    <t>ENRIQUE ARGOTE</t>
  </si>
  <si>
    <t>79557060</t>
  </si>
  <si>
    <t>ENRIQUE JAIMES</t>
  </si>
  <si>
    <t>3215189734</t>
  </si>
  <si>
    <t>15887190</t>
  </si>
  <si>
    <t>ERIBERTO ENRIQUE</t>
  </si>
  <si>
    <t>1022419237</t>
  </si>
  <si>
    <t>ERIKA AMAYA</t>
  </si>
  <si>
    <t>3114404882</t>
  </si>
  <si>
    <t>COLEGIO COOPERATIVO VENECIA</t>
  </si>
  <si>
    <t>1122267706</t>
  </si>
  <si>
    <t>ERIK ALEXANDER COELLO AHUE</t>
  </si>
  <si>
    <t>37556878</t>
  </si>
  <si>
    <t>ERIKA MEDINA VISBAL</t>
  </si>
  <si>
    <t>3176567043</t>
  </si>
  <si>
    <t>1098647502</t>
  </si>
  <si>
    <t>ERIKA ZAPATA</t>
  </si>
  <si>
    <t>3150796377</t>
  </si>
  <si>
    <t>1122268624</t>
  </si>
  <si>
    <t>ERIK KATERINE CERRON</t>
  </si>
  <si>
    <t>1122268584</t>
  </si>
  <si>
    <t>ERIS KATERINE CERRON LEON</t>
  </si>
  <si>
    <t>15878951</t>
  </si>
  <si>
    <t>ERISON MARTINEZ</t>
  </si>
  <si>
    <t>18070067</t>
  </si>
  <si>
    <t>ERLADIO RAMOS</t>
  </si>
  <si>
    <t>1127654618</t>
  </si>
  <si>
    <t>ERMINSON BALAGUERRA</t>
  </si>
  <si>
    <t>3203467839</t>
  </si>
  <si>
    <t>13854513</t>
  </si>
  <si>
    <t>ERNESTO DOMINGUEZ</t>
  </si>
  <si>
    <t>3229701491</t>
  </si>
  <si>
    <t>1006733485</t>
  </si>
  <si>
    <t>ESAU ARIRAMA</t>
  </si>
  <si>
    <t>1121220968</t>
  </si>
  <si>
    <t>ESDRA JAIME VILLALARGA</t>
  </si>
  <si>
    <t>1214463387</t>
  </si>
  <si>
    <t>ESMERALDA MANUEL MANDUCA</t>
  </si>
  <si>
    <t>41060512</t>
  </si>
  <si>
    <t>ESPERANZA PEÑA</t>
  </si>
  <si>
    <t>1016595741</t>
  </si>
  <si>
    <t>ESTEBAN DAZA</t>
  </si>
  <si>
    <t>3004350292</t>
  </si>
  <si>
    <t>1000338423</t>
  </si>
  <si>
    <t>ESTEBAN GARCIA</t>
  </si>
  <si>
    <t>3058174423</t>
  </si>
  <si>
    <t>18051121</t>
  </si>
  <si>
    <t>ESTEBAN PURICHO CAYETANO</t>
  </si>
  <si>
    <t>1121198236</t>
  </si>
  <si>
    <t>ESTEBAN SANGAMA</t>
  </si>
  <si>
    <t>1026280024</t>
  </si>
  <si>
    <t>ESTEFANY MORENO</t>
  </si>
  <si>
    <t>63541208</t>
  </si>
  <si>
    <t>ESTHER AMADO</t>
  </si>
  <si>
    <t>3215087420</t>
  </si>
  <si>
    <t>1097494909</t>
  </si>
  <si>
    <t>ESTHER SUAREZ ORTEGA</t>
  </si>
  <si>
    <t>3204291027</t>
  </si>
  <si>
    <t>63311797</t>
  </si>
  <si>
    <t>ESVELY ZUÑIGA</t>
  </si>
  <si>
    <t>3184678906</t>
  </si>
  <si>
    <t>1095826919</t>
  </si>
  <si>
    <t>ETNI SAMAI GELVEZ MENDEZ</t>
  </si>
  <si>
    <t>3136533449</t>
  </si>
  <si>
    <t>18050852</t>
  </si>
  <si>
    <t>EUCLIDES SILVA</t>
  </si>
  <si>
    <t>18051239</t>
  </si>
  <si>
    <t>EUCLIDES VASQUEZ</t>
  </si>
  <si>
    <t>1007628661</t>
  </si>
  <si>
    <t>EUDY LAUREANO OLARTE</t>
  </si>
  <si>
    <t>18050444</t>
  </si>
  <si>
    <t>EUGENIO REINA</t>
  </si>
  <si>
    <t>91440967</t>
  </si>
  <si>
    <t>EULISES ZARATE MEJIA</t>
  </si>
  <si>
    <t>3145608061</t>
  </si>
  <si>
    <t>1122270081</t>
  </si>
  <si>
    <t>EULOGIO BECERRA</t>
  </si>
  <si>
    <t>41056316</t>
  </si>
  <si>
    <t>EUSEBIA OLIVO</t>
  </si>
  <si>
    <t>31575763</t>
  </si>
  <si>
    <t>EVA GARCIA</t>
  </si>
  <si>
    <t>3243709327</t>
  </si>
  <si>
    <t>18051080</t>
  </si>
  <si>
    <t>EVER PERÑA AHUE</t>
  </si>
  <si>
    <t>28358167</t>
  </si>
  <si>
    <t>EVE RUIZ</t>
  </si>
  <si>
    <t>3162943254</t>
  </si>
  <si>
    <t>30204370</t>
  </si>
  <si>
    <t>EXYONEL RIVERA MORALES</t>
  </si>
  <si>
    <t>3185353018</t>
  </si>
  <si>
    <t>1122266945</t>
  </si>
  <si>
    <t>EYINA MOZOMBITE PINTO</t>
  </si>
  <si>
    <t>1121201111</t>
  </si>
  <si>
    <t>FABIANA MARTINEZ</t>
  </si>
  <si>
    <t>1019056054</t>
  </si>
  <si>
    <t>FABIO MORENO</t>
  </si>
  <si>
    <t>3023744551</t>
  </si>
  <si>
    <t>91444730</t>
  </si>
  <si>
    <t>FABIO PEREZ</t>
  </si>
  <si>
    <t>3165804672</t>
  </si>
  <si>
    <t>BARR San Martin</t>
  </si>
  <si>
    <t>Colegio Infantas</t>
  </si>
  <si>
    <t>15877828</t>
  </si>
  <si>
    <t>FABIO SANDOVAL</t>
  </si>
  <si>
    <t>9302817</t>
  </si>
  <si>
    <t>FAISER PONCE RODELO</t>
  </si>
  <si>
    <t>3214413413</t>
  </si>
  <si>
    <t>1121219082</t>
  </si>
  <si>
    <t>FANNY HENAO</t>
  </si>
  <si>
    <t>1006784769</t>
  </si>
  <si>
    <t>FANNY HUANIRI</t>
  </si>
  <si>
    <t>1015392951</t>
  </si>
  <si>
    <t>FANTINA MURILLO RUZ</t>
  </si>
  <si>
    <t>71353919</t>
  </si>
  <si>
    <t>FARINA SERPA</t>
  </si>
  <si>
    <t>3136119889</t>
  </si>
  <si>
    <t>1096236703</t>
  </si>
  <si>
    <t>FARLEY ARTURO LIZARAZO CRISTANCHO</t>
  </si>
  <si>
    <t>3122635042</t>
  </si>
  <si>
    <t>Colegio 26 De Marzo Sede B</t>
  </si>
  <si>
    <t>1023007597</t>
  </si>
  <si>
    <t>FARLEY GARCIA</t>
  </si>
  <si>
    <t>3222153304</t>
  </si>
  <si>
    <t>1110568553</t>
  </si>
  <si>
    <t>FELIPE PALMAR</t>
  </si>
  <si>
    <t>3161797369</t>
  </si>
  <si>
    <t>79785274</t>
  </si>
  <si>
    <t>FELIPE ROA</t>
  </si>
  <si>
    <t>3108097891</t>
  </si>
  <si>
    <t>1097187521</t>
  </si>
  <si>
    <t>FERGIE ESPERETA</t>
  </si>
  <si>
    <t>3214528001</t>
  </si>
  <si>
    <t>18050823</t>
  </si>
  <si>
    <t>FERMIN BETANCURT</t>
  </si>
  <si>
    <t>1006784842</t>
  </si>
  <si>
    <t>FERNANDA CURICO</t>
  </si>
  <si>
    <t>18050485</t>
  </si>
  <si>
    <t>FERNANDO COELLO</t>
  </si>
  <si>
    <t>1098757015</t>
  </si>
  <si>
    <t>FERNANDO MAURICIO CAMPOS URBINA</t>
  </si>
  <si>
    <t>3506254803</t>
  </si>
  <si>
    <t>BARR San Miguel</t>
  </si>
  <si>
    <t>1096184830</t>
  </si>
  <si>
    <t>Lider / 88</t>
  </si>
  <si>
    <t>FERNANDO PACHECO CORZO</t>
  </si>
  <si>
    <t>3223449287</t>
  </si>
  <si>
    <t>15886993</t>
  </si>
  <si>
    <t>FIDEL CAHUACHE CURICO</t>
  </si>
  <si>
    <t>91420568</t>
  </si>
  <si>
    <t>FLOIRAN PEREZ PEREIRA</t>
  </si>
  <si>
    <t>3112241345</t>
  </si>
  <si>
    <t>BARR La Tora</t>
  </si>
  <si>
    <t>Seminario San Pedro Claver</t>
  </si>
  <si>
    <t>35506779</t>
  </si>
  <si>
    <t>FLOR DE MARIA PEÑA</t>
  </si>
  <si>
    <t>3004741352</t>
  </si>
  <si>
    <t>36152700</t>
  </si>
  <si>
    <t>FLORENTINA BOLGADILLA</t>
  </si>
  <si>
    <t>3105918622</t>
  </si>
  <si>
    <t>79238456</t>
  </si>
  <si>
    <t>FLORIBERTO MORENO</t>
  </si>
  <si>
    <t>3044099949</t>
  </si>
  <si>
    <t>37924617</t>
  </si>
  <si>
    <t>FLORINDA SAAVEDRA</t>
  </si>
  <si>
    <t>3019823977</t>
  </si>
  <si>
    <t>40176229</t>
  </si>
  <si>
    <t>FLOR VASQUEZ</t>
  </si>
  <si>
    <t>28238965</t>
  </si>
  <si>
    <t>FLOR VEGA HERRERA</t>
  </si>
  <si>
    <t>3108796160</t>
  </si>
  <si>
    <t>1121446981</t>
  </si>
  <si>
    <t>FRANCI FRANSELA PEREIRA RAMOS</t>
  </si>
  <si>
    <t>40179241</t>
  </si>
  <si>
    <t>FRANCISCA GARCIA</t>
  </si>
  <si>
    <t>40175293</t>
  </si>
  <si>
    <t>FRANCISCA PARENTE</t>
  </si>
  <si>
    <t>388242</t>
  </si>
  <si>
    <t>FRANCISCO CRUZ</t>
  </si>
  <si>
    <t>1121208112</t>
  </si>
  <si>
    <t>FRANCISCO GARCIA</t>
  </si>
  <si>
    <t>3662727</t>
  </si>
  <si>
    <t>FRANCISCO GUTIERREZ ARDILA</t>
  </si>
  <si>
    <t>13717319</t>
  </si>
  <si>
    <t>FRANCISCO JAVIER CEDIEL</t>
  </si>
  <si>
    <t>3015149949</t>
  </si>
  <si>
    <t>15889876</t>
  </si>
  <si>
    <t>FRANCISCO NAZARIO</t>
  </si>
  <si>
    <t>351948000</t>
  </si>
  <si>
    <t>FRANCY MILENA CHAVEZ</t>
  </si>
  <si>
    <t>3177551414</t>
  </si>
  <si>
    <t>1006732429</t>
  </si>
  <si>
    <t>FRANKLIN DAMANCIO</t>
  </si>
  <si>
    <t>1030140006</t>
  </si>
  <si>
    <t>FRANKLIN QUICENO</t>
  </si>
  <si>
    <t>15875690</t>
  </si>
  <si>
    <t>FRANK PIJACHI</t>
  </si>
  <si>
    <t>91458931</t>
  </si>
  <si>
    <t>FREDDY GUERRERO</t>
  </si>
  <si>
    <t>3214694174</t>
  </si>
  <si>
    <t>BARR La Cumbre</t>
  </si>
  <si>
    <t>1005338384</t>
  </si>
  <si>
    <t>FREDY LEONARDO JAIMES TAPIAS</t>
  </si>
  <si>
    <t>3183670101</t>
  </si>
  <si>
    <t>BARR Piedemonte</t>
  </si>
  <si>
    <t>1007644831</t>
  </si>
  <si>
    <t>FREDY SERRANO</t>
  </si>
  <si>
    <t>3045870507</t>
  </si>
  <si>
    <t>41059189</t>
  </si>
  <si>
    <t>FULVIA MONTES</t>
  </si>
  <si>
    <t>18050549</t>
  </si>
  <si>
    <t>GABRIEL AHUE PEÑA</t>
  </si>
  <si>
    <t>1030570684</t>
  </si>
  <si>
    <t>GABRIEL BOHORQUEZ</t>
  </si>
  <si>
    <t>3505833000</t>
  </si>
  <si>
    <t>15889565</t>
  </si>
  <si>
    <t>GABRIEL CASTRO</t>
  </si>
  <si>
    <t>18050947</t>
  </si>
  <si>
    <t>GABRIEL PEÑA AHUE</t>
  </si>
  <si>
    <t>1096230631</t>
  </si>
  <si>
    <t>GABRIEL SERPA CASTELLANOS</t>
  </si>
  <si>
    <t>3106092521</t>
  </si>
  <si>
    <t>91422453</t>
  </si>
  <si>
    <t>GABRIEL SERPA ESPINOSA</t>
  </si>
  <si>
    <t>3219150384</t>
  </si>
  <si>
    <t>18050479</t>
  </si>
  <si>
    <t>GABRIEL VASQUEZ</t>
  </si>
  <si>
    <t>14203705</t>
  </si>
  <si>
    <t>GELIO MIGUEZ</t>
  </si>
  <si>
    <t>3115001933</t>
  </si>
  <si>
    <t>15887996</t>
  </si>
  <si>
    <t>GENEZIO ALVEZ DE SOUSA</t>
  </si>
  <si>
    <t>18051369</t>
  </si>
  <si>
    <t>GENLER ORTIZ CARVAJAL</t>
  </si>
  <si>
    <t>18050994</t>
  </si>
  <si>
    <t>GEN PEÑA AHUE</t>
  </si>
  <si>
    <t>1122270452</t>
  </si>
  <si>
    <t>GENTIL GOMEZ AHUE</t>
  </si>
  <si>
    <t>40151440</t>
  </si>
  <si>
    <t>GERARDO ZANCHES</t>
  </si>
  <si>
    <t>6565484</t>
  </si>
  <si>
    <t>GEREMIAS CORDERO</t>
  </si>
  <si>
    <t>15877923</t>
  </si>
  <si>
    <t>GEREMIAS MOZOMBITE</t>
  </si>
  <si>
    <t>91227540</t>
  </si>
  <si>
    <t>GERMAN GODOY</t>
  </si>
  <si>
    <t>3112061382</t>
  </si>
  <si>
    <t>12551418</t>
  </si>
  <si>
    <t>GERMAN ROMERO</t>
  </si>
  <si>
    <t>79329360</t>
  </si>
  <si>
    <t>GERMAN SALAMANCA</t>
  </si>
  <si>
    <t>3124908578</t>
  </si>
  <si>
    <t>1098704199</t>
  </si>
  <si>
    <t>GERSON DIAZ</t>
  </si>
  <si>
    <t>3176235764</t>
  </si>
  <si>
    <t>1101696932</t>
  </si>
  <si>
    <t>GERSON GIONANNY ORTIZ RIVERA</t>
  </si>
  <si>
    <t>3212880926</t>
  </si>
  <si>
    <t>Socorro</t>
  </si>
  <si>
    <t>1005053066</t>
  </si>
  <si>
    <t>GERSON SANCHEZ</t>
  </si>
  <si>
    <t>3016691695</t>
  </si>
  <si>
    <t>1121447530</t>
  </si>
  <si>
    <t>GERSON YUNCA CUELLAR</t>
  </si>
  <si>
    <t>91524080</t>
  </si>
  <si>
    <t>GERSO PARRA</t>
  </si>
  <si>
    <t>3125226058</t>
  </si>
  <si>
    <t>1096244859</t>
  </si>
  <si>
    <t>GIANCARLOS CACERES CUARTAS</t>
  </si>
  <si>
    <t>3208357439</t>
  </si>
  <si>
    <t>Colegio Las Bethlemitas</t>
  </si>
  <si>
    <t>13834122</t>
  </si>
  <si>
    <t>GILDARDO ALTUVE</t>
  </si>
  <si>
    <t>3023991560</t>
  </si>
  <si>
    <t>15879725</t>
  </si>
  <si>
    <t>GILDARDO JIMENEZ</t>
  </si>
  <si>
    <t>37794211</t>
  </si>
  <si>
    <t>GILMA PIMIENTO SUAREZ</t>
  </si>
  <si>
    <t>3153787911</t>
  </si>
  <si>
    <t>20195573</t>
  </si>
  <si>
    <t>GILMA QUIMBAYO DE SUAREZ</t>
  </si>
  <si>
    <t>3242072243</t>
  </si>
  <si>
    <t>Valle Del Cauca</t>
  </si>
  <si>
    <t>22430540</t>
  </si>
  <si>
    <t>GILMA RUSIL</t>
  </si>
  <si>
    <t>3158517757</t>
  </si>
  <si>
    <t>1121200292</t>
  </si>
  <si>
    <t>GINETH ENCINALES</t>
  </si>
  <si>
    <t>1096239215</t>
  </si>
  <si>
    <t>GINETH MARIANA SERNA</t>
  </si>
  <si>
    <t>3214882737</t>
  </si>
  <si>
    <t>BARR El Paraiso</t>
  </si>
  <si>
    <t>1121215934</t>
  </si>
  <si>
    <t>GINNA ALVIS</t>
  </si>
  <si>
    <t>18051528</t>
  </si>
  <si>
    <t>GIOVANI CURICO AHUE</t>
  </si>
  <si>
    <t>1006158653</t>
  </si>
  <si>
    <t>GISELA MANJARREZ</t>
  </si>
  <si>
    <t>3147333476</t>
  </si>
  <si>
    <t>15879931</t>
  </si>
  <si>
    <t>GIVANY RODRIGUEZ</t>
  </si>
  <si>
    <t>37891768</t>
  </si>
  <si>
    <t>GLADYS GISELA MORALES REY</t>
  </si>
  <si>
    <t>3133392552</t>
  </si>
  <si>
    <t>Charala</t>
  </si>
  <si>
    <t>39702728</t>
  </si>
  <si>
    <t>GLADYS GRIMALDO</t>
  </si>
  <si>
    <t>3143070723</t>
  </si>
  <si>
    <t>51577356</t>
  </si>
  <si>
    <t>GLADYS LEONOR QUINTERO HERRERA</t>
  </si>
  <si>
    <t>3185873235</t>
  </si>
  <si>
    <t>41060961</t>
  </si>
  <si>
    <t>GLORIA AMANDA BALCAZAR</t>
  </si>
  <si>
    <t>3133844505</t>
  </si>
  <si>
    <t>40179049</t>
  </si>
  <si>
    <t>GLORIA ANDOQUE</t>
  </si>
  <si>
    <t>35373008</t>
  </si>
  <si>
    <t>GLORIA BENAVIDEZ RODEIGUEZ</t>
  </si>
  <si>
    <t>3175125097</t>
  </si>
  <si>
    <t>1026581715</t>
  </si>
  <si>
    <t>Lider / 62</t>
  </si>
  <si>
    <t>GLORIA ESTEFANIA RINCON</t>
  </si>
  <si>
    <t>3108152064</t>
  </si>
  <si>
    <t>BARR Galan</t>
  </si>
  <si>
    <t>37930071</t>
  </si>
  <si>
    <t>GLORIA INES SILVA ORTEGA</t>
  </si>
  <si>
    <t>3124712374</t>
  </si>
  <si>
    <t>28013914</t>
  </si>
  <si>
    <t>GLORIA MELLADO LOPEZ</t>
  </si>
  <si>
    <t>3115821532</t>
  </si>
  <si>
    <t>BARR San Pedro Claver</t>
  </si>
  <si>
    <t>Por Inscribir En Barranca</t>
  </si>
  <si>
    <t>63472529</t>
  </si>
  <si>
    <t>GLORIA PATRICIA PARRA ATILANO</t>
  </si>
  <si>
    <t>3103975695</t>
  </si>
  <si>
    <t>40177558</t>
  </si>
  <si>
    <t>GLORIA RAMOS BAUTISTA</t>
  </si>
  <si>
    <t>13802305</t>
  </si>
  <si>
    <t>GONZALO DURAN</t>
  </si>
  <si>
    <t>3205194855</t>
  </si>
  <si>
    <t>3039717</t>
  </si>
  <si>
    <t>GONZALO MARTINEZ</t>
  </si>
  <si>
    <t>3163097606</t>
  </si>
  <si>
    <t>1121213515</t>
  </si>
  <si>
    <t>GRACIELA PEREIRA</t>
  </si>
  <si>
    <t>112197621</t>
  </si>
  <si>
    <t>GRACIELA POZO</t>
  </si>
  <si>
    <t>8013495</t>
  </si>
  <si>
    <t>GRACIELA SUAREZ</t>
  </si>
  <si>
    <t>3023355529</t>
  </si>
  <si>
    <t>18051819</t>
  </si>
  <si>
    <t>GREGORIO FLORES</t>
  </si>
  <si>
    <t>1121202952</t>
  </si>
  <si>
    <t>GREGORIO TANANTA</t>
  </si>
  <si>
    <t>15886864</t>
  </si>
  <si>
    <t>GRIMALDO RAMOS</t>
  </si>
  <si>
    <t>40179662</t>
  </si>
  <si>
    <t>GRIMANESA PEÑA</t>
  </si>
  <si>
    <t>1121201490</t>
  </si>
  <si>
    <t>GUILLARMO MOJICA</t>
  </si>
  <si>
    <t>13835814</t>
  </si>
  <si>
    <t>GUILLERMO FRANCO</t>
  </si>
  <si>
    <t>3184629085</t>
  </si>
  <si>
    <t>13839411</t>
  </si>
  <si>
    <t>GUILLERMO GONZALEZ</t>
  </si>
  <si>
    <t>3134762192</t>
  </si>
  <si>
    <t>1098732305</t>
  </si>
  <si>
    <t>Lider / 218</t>
  </si>
  <si>
    <t>GUSTAVO ANDRES RIVERO RODRIGUEZ</t>
  </si>
  <si>
    <t>3107641148</t>
  </si>
  <si>
    <t>17627422</t>
  </si>
  <si>
    <t>GUSTAVO MURCIA NARANJO</t>
  </si>
  <si>
    <t>1121208956</t>
  </si>
  <si>
    <t>HABIB CARIGUASARI</t>
  </si>
  <si>
    <t>1121221150</t>
  </si>
  <si>
    <t>HADER ALVIS</t>
  </si>
  <si>
    <t>1005154648</t>
  </si>
  <si>
    <t>HANS RASCH</t>
  </si>
  <si>
    <t>3186159271</t>
  </si>
  <si>
    <t>1102372728</t>
  </si>
  <si>
    <t>3125709460</t>
  </si>
  <si>
    <t>1121844250</t>
  </si>
  <si>
    <t>HAROLD RODRIGUEZ</t>
  </si>
  <si>
    <t>1095933218</t>
  </si>
  <si>
    <t>HECTOR ACEVEDO</t>
  </si>
  <si>
    <t>3026389061</t>
  </si>
  <si>
    <t>BARR Trinidad</t>
  </si>
  <si>
    <t>1121209430</t>
  </si>
  <si>
    <t>HECTOR ASPAJO</t>
  </si>
  <si>
    <t>79113500</t>
  </si>
  <si>
    <t>HECTOR GONZALEZ</t>
  </si>
  <si>
    <t>3115883433</t>
  </si>
  <si>
    <t>1121200242</t>
  </si>
  <si>
    <t>HECTOR LEON</t>
  </si>
  <si>
    <t>1122266117</t>
  </si>
  <si>
    <t>HECTOR OAIMA</t>
  </si>
  <si>
    <t>1122266175</t>
  </si>
  <si>
    <t>HECTOR PAIMA</t>
  </si>
  <si>
    <t>1121211081</t>
  </si>
  <si>
    <t>HECTOR SANCHEZ</t>
  </si>
  <si>
    <t>1122266517</t>
  </si>
  <si>
    <t>HEIDY PASCUALA GOMEZ MOZOMBITE</t>
  </si>
  <si>
    <t>1096237074</t>
  </si>
  <si>
    <t>HEINER NIETO</t>
  </si>
  <si>
    <t>BARR San Pedro</t>
  </si>
  <si>
    <t>41059393</t>
  </si>
  <si>
    <t>HELENA GRANDE</t>
  </si>
  <si>
    <t>1122267982</t>
  </si>
  <si>
    <t>HELEN HUANIRI</t>
  </si>
  <si>
    <t>2203926</t>
  </si>
  <si>
    <t>HELIODORO VARGAS</t>
  </si>
  <si>
    <t>3187130511</t>
  </si>
  <si>
    <t>1121205616</t>
  </si>
  <si>
    <t>HENRY DAVID TORRES VALERIO</t>
  </si>
  <si>
    <t>19329303</t>
  </si>
  <si>
    <t>HENRY SANCHEZ</t>
  </si>
  <si>
    <t>3118976209</t>
  </si>
  <si>
    <t>41060766</t>
  </si>
  <si>
    <t>HERLEY CARIGUAZARI</t>
  </si>
  <si>
    <t>15885743</t>
  </si>
  <si>
    <t>HERMENEGILDO ESTRELLA</t>
  </si>
  <si>
    <t>6566900</t>
  </si>
  <si>
    <t>HERMES NARVAEZ</t>
  </si>
  <si>
    <t>1096209613</t>
  </si>
  <si>
    <t>HERMES PINOS</t>
  </si>
  <si>
    <t>3157457414</t>
  </si>
  <si>
    <t>63335660</t>
  </si>
  <si>
    <t>HERMINDA RIVERO GALVIS</t>
  </si>
  <si>
    <t>3187553706</t>
  </si>
  <si>
    <t>BARR Recodo De La Florida</t>
  </si>
  <si>
    <t>6566615</t>
  </si>
  <si>
    <t>HERNAN ACEVEDO</t>
  </si>
  <si>
    <t>71626044</t>
  </si>
  <si>
    <t>HERNANDO ARTEAGA ARIAS</t>
  </si>
  <si>
    <t>3005700051</t>
  </si>
  <si>
    <t>5735081</t>
  </si>
  <si>
    <t>HERNANDO BAUTISTA JAIME</t>
  </si>
  <si>
    <t>3164466034</t>
  </si>
  <si>
    <t>1121217883</t>
  </si>
  <si>
    <t>HERNAN NORIEGA</t>
  </si>
  <si>
    <t>17311188</t>
  </si>
  <si>
    <t>HERNAN SALDAÑA</t>
  </si>
  <si>
    <t>1002596594</t>
  </si>
  <si>
    <t>HERNEY JARAMILLO</t>
  </si>
  <si>
    <t>3203154634</t>
  </si>
  <si>
    <t>41060858</t>
  </si>
  <si>
    <t>HEYDY TORRES TAMANI</t>
  </si>
  <si>
    <t>40150665</t>
  </si>
  <si>
    <t>HILDA AHUE LAUREANO</t>
  </si>
  <si>
    <t>37728835</t>
  </si>
  <si>
    <t>HILDA ANAYA</t>
  </si>
  <si>
    <t>91280054</t>
  </si>
  <si>
    <t>HOWARD GIL</t>
  </si>
  <si>
    <t>14880899</t>
  </si>
  <si>
    <t>HUGO CRUZ</t>
  </si>
  <si>
    <t>3213211962</t>
  </si>
  <si>
    <t>8253335</t>
  </si>
  <si>
    <t>HUGO TABARES</t>
  </si>
  <si>
    <t>91070210</t>
  </si>
  <si>
    <t>HUMBERTO ARENAS VILLAR</t>
  </si>
  <si>
    <t>3102828880</t>
  </si>
  <si>
    <t>912224577</t>
  </si>
  <si>
    <t>HUMBERTO ARIZA VARGAS</t>
  </si>
  <si>
    <t>3008119516</t>
  </si>
  <si>
    <t>15877094</t>
  </si>
  <si>
    <t>HUMBERTO CACERES</t>
  </si>
  <si>
    <t>91158679</t>
  </si>
  <si>
    <t>HUMBERTO PANQUEVA PINTO</t>
  </si>
  <si>
    <t>3176817912</t>
  </si>
  <si>
    <t>Meta</t>
  </si>
  <si>
    <t>Puerto Gaitan</t>
  </si>
  <si>
    <t>15887006</t>
  </si>
  <si>
    <t>HUMBERTO SILVANO</t>
  </si>
  <si>
    <t>1122267658</t>
  </si>
  <si>
    <t>HUVER HUANIRI</t>
  </si>
  <si>
    <t>6567201</t>
  </si>
  <si>
    <t>IGNACIO PIÑEROS</t>
  </si>
  <si>
    <t>40150483</t>
  </si>
  <si>
    <t>ILMER PEÑA LEON</t>
  </si>
  <si>
    <t>91340188</t>
  </si>
  <si>
    <t>INAQUIN CABALLERO</t>
  </si>
  <si>
    <t>3102637656</t>
  </si>
  <si>
    <t>47059486</t>
  </si>
  <si>
    <t>INES FERREIRA</t>
  </si>
  <si>
    <t>1147684523</t>
  </si>
  <si>
    <t>INGRI APORCONA</t>
  </si>
  <si>
    <t>1012337259</t>
  </si>
  <si>
    <t>INGRID MIERA</t>
  </si>
  <si>
    <t>3023096665</t>
  </si>
  <si>
    <t>37579354</t>
  </si>
  <si>
    <t>INGRID PAOLA CATAÑO MEJIA</t>
  </si>
  <si>
    <t>3138249087</t>
  </si>
  <si>
    <t>1098640987</t>
  </si>
  <si>
    <t>INGRID PARRA</t>
  </si>
  <si>
    <t>3183869136</t>
  </si>
  <si>
    <t>1122269560</t>
  </si>
  <si>
    <t>INGRY MARICAGUA</t>
  </si>
  <si>
    <t>40175449</t>
  </si>
  <si>
    <t>IRIS CASTRO</t>
  </si>
  <si>
    <t>1122266386</t>
  </si>
  <si>
    <t>IRIS MANUYAMA</t>
  </si>
  <si>
    <t>40620377</t>
  </si>
  <si>
    <t>IRMA CARVAJAL</t>
  </si>
  <si>
    <t>63458557</t>
  </si>
  <si>
    <t>IRMA CASTELLANOS AVILA</t>
  </si>
  <si>
    <t>3208358557</t>
  </si>
  <si>
    <t>1122268530</t>
  </si>
  <si>
    <t>ISAAC COELLO AHUE</t>
  </si>
  <si>
    <t>79571313</t>
  </si>
  <si>
    <t>ISAAC DE LEON BELTRAN PACHECO</t>
  </si>
  <si>
    <t>3106669072</t>
  </si>
  <si>
    <t>1121202084</t>
  </si>
  <si>
    <t>ISABEL CASTRO</t>
  </si>
  <si>
    <t>34592725</t>
  </si>
  <si>
    <t>ISABEL CRISTINA SANIN PAEZ</t>
  </si>
  <si>
    <t>3153119343</t>
  </si>
  <si>
    <t>63276135</t>
  </si>
  <si>
    <t>ISABEL FLOREZ</t>
  </si>
  <si>
    <t>3028565221</t>
  </si>
  <si>
    <t>27987432</t>
  </si>
  <si>
    <t>ISABEL GALVIS MEJÍA</t>
  </si>
  <si>
    <t>BARR Altos De Florida</t>
  </si>
  <si>
    <t>52248357</t>
  </si>
  <si>
    <t>ISABEL KIDSTON</t>
  </si>
  <si>
    <t>3104165516</t>
  </si>
  <si>
    <t>41686582</t>
  </si>
  <si>
    <t>ISABELL SANCHEZ</t>
  </si>
  <si>
    <t>40176213</t>
  </si>
  <si>
    <t>ISABEL NACIMIENTO</t>
  </si>
  <si>
    <t>40176348</t>
  </si>
  <si>
    <t>ISABEL RAMOS</t>
  </si>
  <si>
    <t>63367208</t>
  </si>
  <si>
    <t>ISABEL RUIZ AMADO</t>
  </si>
  <si>
    <t>3229014677</t>
  </si>
  <si>
    <t>1097182112</t>
  </si>
  <si>
    <t>ISABEL TAMARA</t>
  </si>
  <si>
    <t>3023814732</t>
  </si>
  <si>
    <t>40150617</t>
  </si>
  <si>
    <t>ISABEL VILLALARGA</t>
  </si>
  <si>
    <t>40179227</t>
  </si>
  <si>
    <t>ISAURA BAOS</t>
  </si>
  <si>
    <t>40150475</t>
  </si>
  <si>
    <t>ISIDORA GREGORIO</t>
  </si>
  <si>
    <t>1131534406</t>
  </si>
  <si>
    <t>ISLEYDI PEREZ</t>
  </si>
  <si>
    <t>1131564219</t>
  </si>
  <si>
    <t>ISMAEL GREGORIO</t>
  </si>
  <si>
    <t>1121202187</t>
  </si>
  <si>
    <t>ISMAEL RODRIGUEZ</t>
  </si>
  <si>
    <t>28336608</t>
  </si>
  <si>
    <t>ISOLINA MENDIETE</t>
  </si>
  <si>
    <t>3164518540</t>
  </si>
  <si>
    <t>1121221613</t>
  </si>
  <si>
    <t>ISRAEL AMIAS CURICO</t>
  </si>
  <si>
    <t>91355051</t>
  </si>
  <si>
    <t>IVAN CABALLERO</t>
  </si>
  <si>
    <t>3189775545</t>
  </si>
  <si>
    <t>15877389</t>
  </si>
  <si>
    <t>IVAN CAHUACHE</t>
  </si>
  <si>
    <t>1023963196</t>
  </si>
  <si>
    <t>IVAN DURAN</t>
  </si>
  <si>
    <t>3041117833</t>
  </si>
  <si>
    <t>1099363807</t>
  </si>
  <si>
    <t>IVAN HERRERA REYES</t>
  </si>
  <si>
    <t>3203497843</t>
  </si>
  <si>
    <t>63345959</t>
  </si>
  <si>
    <t>IVON ASTRID BADILLO PIMIENTO</t>
  </si>
  <si>
    <t>3153777868</t>
  </si>
  <si>
    <t>1007462906</t>
  </si>
  <si>
    <t>IVON GOMEZ</t>
  </si>
  <si>
    <t>3222579908</t>
  </si>
  <si>
    <t>1099738674</t>
  </si>
  <si>
    <t>IVONNE RODRIGUEZ</t>
  </si>
  <si>
    <t>3143094113</t>
  </si>
  <si>
    <t>1050554708</t>
  </si>
  <si>
    <t>IVOON ZABALETA SANCHEZ</t>
  </si>
  <si>
    <t>3012074142</t>
  </si>
  <si>
    <t>112268099</t>
  </si>
  <si>
    <t>JABDY MACHOA</t>
  </si>
  <si>
    <t>5683566</t>
  </si>
  <si>
    <t>JACINTO SANDOVAL</t>
  </si>
  <si>
    <t>3133637852</t>
  </si>
  <si>
    <t>BARR Giron Campestre</t>
  </si>
  <si>
    <t>52133694</t>
  </si>
  <si>
    <t>JACKELY ACERO</t>
  </si>
  <si>
    <t>3208944109</t>
  </si>
  <si>
    <t>1121959630</t>
  </si>
  <si>
    <t>JACKSON PEÑA</t>
  </si>
  <si>
    <t>112226759</t>
  </si>
  <si>
    <t>JAEL PEÑA ACEVEDO</t>
  </si>
  <si>
    <t>1005295112</t>
  </si>
  <si>
    <t>JAIDER ANDRES</t>
  </si>
  <si>
    <t>3175836730</t>
  </si>
  <si>
    <t>91524710</t>
  </si>
  <si>
    <t>JAIDER RODRIGUEZ</t>
  </si>
  <si>
    <t>3103023509</t>
  </si>
  <si>
    <t>BARR Floridablanca</t>
  </si>
  <si>
    <t>79521346</t>
  </si>
  <si>
    <t>JAIME ALEXANDER SOTOMONTE MOLINA</t>
  </si>
  <si>
    <t>3016880584</t>
  </si>
  <si>
    <t>92534355</t>
  </si>
  <si>
    <t>JAIME ANDRES GARCES</t>
  </si>
  <si>
    <t>3132666458</t>
  </si>
  <si>
    <t>925843555</t>
  </si>
  <si>
    <t>JAIME GARCES</t>
  </si>
  <si>
    <t>3132664458</t>
  </si>
  <si>
    <t>7464813</t>
  </si>
  <si>
    <t>JAIME MELLADO LOPEZ</t>
  </si>
  <si>
    <t>3213392931</t>
  </si>
  <si>
    <t>1098679708</t>
  </si>
  <si>
    <t>JAIME ROBERTO FRANCO RAMOS</t>
  </si>
  <si>
    <t>3132165233</t>
  </si>
  <si>
    <t>91179434</t>
  </si>
  <si>
    <t>JAIME SANDOVAL</t>
  </si>
  <si>
    <t>3012724807</t>
  </si>
  <si>
    <t>1122267404</t>
  </si>
  <si>
    <t>JAIR JESUS CERRON LEON</t>
  </si>
  <si>
    <t>13924603</t>
  </si>
  <si>
    <t>JAIRO ANDRES CARVAJAL NINO</t>
  </si>
  <si>
    <t>3142761359</t>
  </si>
  <si>
    <t>1098649998</t>
  </si>
  <si>
    <t>JAIRO ANDRES PORRAS LOPEZ</t>
  </si>
  <si>
    <t>3508193711</t>
  </si>
  <si>
    <t>91210458</t>
  </si>
  <si>
    <t>JAIRO HERNANDEZ</t>
  </si>
  <si>
    <t>3176386406</t>
  </si>
  <si>
    <t>BARR Terrazas</t>
  </si>
  <si>
    <t>91216379</t>
  </si>
  <si>
    <t>JAIRO HUMBERTO MUÑOZ AGUILERA</t>
  </si>
  <si>
    <t>3185422578</t>
  </si>
  <si>
    <t>1098774042</t>
  </si>
  <si>
    <t>JAIRO MANOSALVA</t>
  </si>
  <si>
    <t>3164318661</t>
  </si>
  <si>
    <t>18050993</t>
  </si>
  <si>
    <t>JAIRO PINTO COELLO</t>
  </si>
  <si>
    <t>15887056</t>
  </si>
  <si>
    <t>JAIRO RAMOS VENTO</t>
  </si>
  <si>
    <t>6140092</t>
  </si>
  <si>
    <t>JAIRO VALENCIA TAMAYO</t>
  </si>
  <si>
    <t>3114909504</t>
  </si>
  <si>
    <t>1095511181</t>
  </si>
  <si>
    <t>JAIR SILVA GOMEZ</t>
  </si>
  <si>
    <t>3234946647</t>
  </si>
  <si>
    <t>1121221947</t>
  </si>
  <si>
    <t>JAKIE MABEL APARCONA SANCHEZ</t>
  </si>
  <si>
    <t>1051634507</t>
  </si>
  <si>
    <t>JANER PABUENA PONCE</t>
  </si>
  <si>
    <t>3184838999</t>
  </si>
  <si>
    <t>BARR Tierradentro</t>
  </si>
  <si>
    <t>1007366251</t>
  </si>
  <si>
    <t>JANET RAMOS</t>
  </si>
  <si>
    <t>1121202539</t>
  </si>
  <si>
    <t>JASMIN CORTES</t>
  </si>
  <si>
    <t>1237688595</t>
  </si>
  <si>
    <t>JAVIER CURICO</t>
  </si>
  <si>
    <t>18050670</t>
  </si>
  <si>
    <t>JAVIER GREGORIO</t>
  </si>
  <si>
    <t>9732570</t>
  </si>
  <si>
    <t>JAVIER MEJIA</t>
  </si>
  <si>
    <t>3102564166</t>
  </si>
  <si>
    <t>BARR Parques De Bogota</t>
  </si>
  <si>
    <t>91273034</t>
  </si>
  <si>
    <t>JAVIER SIERRA</t>
  </si>
  <si>
    <t>3118855208</t>
  </si>
  <si>
    <t>1096253649</t>
  </si>
  <si>
    <t>JEAN DIAZ</t>
  </si>
  <si>
    <t>3001512004</t>
  </si>
  <si>
    <t>1006732625</t>
  </si>
  <si>
    <t>JEANS ESTIVEN FERNANDEZ</t>
  </si>
  <si>
    <t>1098816287</t>
  </si>
  <si>
    <t>JEFERSON BUENAHORA</t>
  </si>
  <si>
    <t>3024675692</t>
  </si>
  <si>
    <t>1095951610</t>
  </si>
  <si>
    <t>JEFERSON MONTOYA</t>
  </si>
  <si>
    <t>3147463628</t>
  </si>
  <si>
    <t>BARR Puerto Rico</t>
  </si>
  <si>
    <t>1102380257</t>
  </si>
  <si>
    <t>JEFFERSON JOHANI QUINTANILLA GOMEZ</t>
  </si>
  <si>
    <t>3005955080</t>
  </si>
  <si>
    <t>63453727</t>
  </si>
  <si>
    <t>JEIMY ALEXANDRA SILVA GOMEZ</t>
  </si>
  <si>
    <t>3142549686</t>
  </si>
  <si>
    <t>1094247206</t>
  </si>
  <si>
    <t>JEIMY CARRILLO ANTOLINEZ</t>
  </si>
  <si>
    <t>3204803902</t>
  </si>
  <si>
    <t>1022337834</t>
  </si>
  <si>
    <t>JEIMY PAOLA ACUNA BLANCO</t>
  </si>
  <si>
    <t>3223191421</t>
  </si>
  <si>
    <t>BARR Pablo Vi</t>
  </si>
  <si>
    <t>1098711114</t>
  </si>
  <si>
    <t>JEISON FABIAN GOMEZ LIEVANO</t>
  </si>
  <si>
    <t>3173370224</t>
  </si>
  <si>
    <t>1121220011</t>
  </si>
  <si>
    <t>JEISON FLORES</t>
  </si>
  <si>
    <t>1098790497</t>
  </si>
  <si>
    <t>JEISON TAPIAS</t>
  </si>
  <si>
    <t>3112327861</t>
  </si>
  <si>
    <t>1032395375</t>
  </si>
  <si>
    <t>JEMY RODRIGUEZ</t>
  </si>
  <si>
    <t>1131534477</t>
  </si>
  <si>
    <t>JENIFER GRANDE</t>
  </si>
  <si>
    <t>1095940655</t>
  </si>
  <si>
    <t>JENNIFER TATIANA GARCIA ARDILA</t>
  </si>
  <si>
    <t>3016884817</t>
  </si>
  <si>
    <t>13513870</t>
  </si>
  <si>
    <t>JENNY AFANADOR</t>
  </si>
  <si>
    <t>3159842000</t>
  </si>
  <si>
    <t>63554120</t>
  </si>
  <si>
    <t>52210925</t>
  </si>
  <si>
    <t>JENNY ALEXANDRA BUSTOS RIVEROS</t>
  </si>
  <si>
    <t>52825983</t>
  </si>
  <si>
    <t>JENNY FLOREZ GRACIA</t>
  </si>
  <si>
    <t>3123683583</t>
  </si>
  <si>
    <t>1098727268</t>
  </si>
  <si>
    <t>JENNY PEREZ RIVERA</t>
  </si>
  <si>
    <t>1098647855</t>
  </si>
  <si>
    <t>JENNY SOFIA SEPULVEDA ROLON</t>
  </si>
  <si>
    <t>3162467147</t>
  </si>
  <si>
    <t>1098357729</t>
  </si>
  <si>
    <t>JENY CHACON</t>
  </si>
  <si>
    <t>3114908133</t>
  </si>
  <si>
    <t>91534252</t>
  </si>
  <si>
    <t>JERONIMO ORTEGA</t>
  </si>
  <si>
    <t>3243796202</t>
  </si>
  <si>
    <t>1098750064</t>
  </si>
  <si>
    <t>JERSON GAMBO</t>
  </si>
  <si>
    <t>3228191163</t>
  </si>
  <si>
    <t>1090431961</t>
  </si>
  <si>
    <t>JESSICA ANDREA PAEZ</t>
  </si>
  <si>
    <t>1095925512</t>
  </si>
  <si>
    <t>JESUS ALBERTO FERNANDEZ</t>
  </si>
  <si>
    <t>15886428</t>
  </si>
  <si>
    <t>JESUS ANTONIO TORRES FLORES</t>
  </si>
  <si>
    <t>1095610961</t>
  </si>
  <si>
    <t>JESUS BAUTISTA</t>
  </si>
  <si>
    <t>3114369321</t>
  </si>
  <si>
    <t>Vichada</t>
  </si>
  <si>
    <t>Puerto Carreño</t>
  </si>
  <si>
    <t>39420180</t>
  </si>
  <si>
    <t>JESUS CASTILLON</t>
  </si>
  <si>
    <t>3180824828</t>
  </si>
  <si>
    <t>BARR Riberas Del Rio</t>
  </si>
  <si>
    <t>1102384551</t>
  </si>
  <si>
    <t>JESUS DAVID JAIMES TAPIAS</t>
  </si>
  <si>
    <t>3228766652</t>
  </si>
  <si>
    <t>BARR La Aurora</t>
  </si>
  <si>
    <t>13815335</t>
  </si>
  <si>
    <t>JESUS DURAN</t>
  </si>
  <si>
    <t>3002022662</t>
  </si>
  <si>
    <t>10986245</t>
  </si>
  <si>
    <t>JESUS FERNANDEZ</t>
  </si>
  <si>
    <t>3125532992</t>
  </si>
  <si>
    <t>1098765367</t>
  </si>
  <si>
    <t>JESUS GONZALES</t>
  </si>
  <si>
    <t>3156443684</t>
  </si>
  <si>
    <t>1096234560</t>
  </si>
  <si>
    <t>JESUS QUIÑONEZ</t>
  </si>
  <si>
    <t>3016914807</t>
  </si>
  <si>
    <t>BARR Recreo</t>
  </si>
  <si>
    <t>6565923</t>
  </si>
  <si>
    <t>JESUS RAMOS</t>
  </si>
  <si>
    <t>1121221878</t>
  </si>
  <si>
    <t>JESUS ROBERTINO MARTINEZ GUZMAN</t>
  </si>
  <si>
    <t>91343246</t>
  </si>
  <si>
    <t>JESUS SERRANO</t>
  </si>
  <si>
    <t>3163395113</t>
  </si>
  <si>
    <t>1121209034</t>
  </si>
  <si>
    <t>JHOANA SOTO</t>
  </si>
  <si>
    <t>91515628</t>
  </si>
  <si>
    <t>JHON ALEXANDER OVIEDO PEDRAZA</t>
  </si>
  <si>
    <t>3154407311</t>
  </si>
  <si>
    <t>88031890</t>
  </si>
  <si>
    <t>JHON ALVEIRO FERNANDEZ GARCIA</t>
  </si>
  <si>
    <t>3222014494</t>
  </si>
  <si>
    <t>Pamplona</t>
  </si>
  <si>
    <t>13749193</t>
  </si>
  <si>
    <t>JHON BALLESTEROS</t>
  </si>
  <si>
    <t>3117113376</t>
  </si>
  <si>
    <t>1057582722</t>
  </si>
  <si>
    <t>JHON BARAJAS</t>
  </si>
  <si>
    <t>3125662051</t>
  </si>
  <si>
    <t>18051589</t>
  </si>
  <si>
    <t>JHON CACERES</t>
  </si>
  <si>
    <t>1129513598</t>
  </si>
  <si>
    <t>JHON CORTES</t>
  </si>
  <si>
    <t>5860955</t>
  </si>
  <si>
    <t>JHON DIAZ</t>
  </si>
  <si>
    <t>3006759670</t>
  </si>
  <si>
    <t>91541622</t>
  </si>
  <si>
    <t>JHON EDINSON ANAYA BERNAL</t>
  </si>
  <si>
    <t>3214118745</t>
  </si>
  <si>
    <t>79384752</t>
  </si>
  <si>
    <t>JHON JAIRO CONDE CARRERA</t>
  </si>
  <si>
    <t>3115418669</t>
  </si>
  <si>
    <t>1149192139</t>
  </si>
  <si>
    <t>JHON MANUYAMA LEON</t>
  </si>
  <si>
    <t>1232890723</t>
  </si>
  <si>
    <t>JHON NAVARRO</t>
  </si>
  <si>
    <t>3241085247</t>
  </si>
  <si>
    <t>1096198272</t>
  </si>
  <si>
    <t>JHONNY ANDRES PEREZ ORTEGA</t>
  </si>
  <si>
    <t>3144938633</t>
  </si>
  <si>
    <t>15904176</t>
  </si>
  <si>
    <t>JHON RAMIREZ</t>
  </si>
  <si>
    <t>91519338</t>
  </si>
  <si>
    <t>JHON WALTER GUEVARA QUIÑONEZ</t>
  </si>
  <si>
    <t>3019509859</t>
  </si>
  <si>
    <t>1098717991</t>
  </si>
  <si>
    <t>JHONY MINA</t>
  </si>
  <si>
    <t>3208090608</t>
  </si>
  <si>
    <t>1121205381</t>
  </si>
  <si>
    <t>JHONY ORTIZ</t>
  </si>
  <si>
    <t>15877768</t>
  </si>
  <si>
    <t>JHONY PACHECO</t>
  </si>
  <si>
    <t>94539544</t>
  </si>
  <si>
    <t>JIMMY ALEJANDRO SUAREZ CARDONA</t>
  </si>
  <si>
    <t>3182762520</t>
  </si>
  <si>
    <t>18917297</t>
  </si>
  <si>
    <t>JOAQUIN EMIRO PACHECO</t>
  </si>
  <si>
    <t>3127904734</t>
  </si>
  <si>
    <t>1121198682</t>
  </si>
  <si>
    <t>JOCTAN PEÑA</t>
  </si>
  <si>
    <t>1005239740</t>
  </si>
  <si>
    <t>JOHALIZ DIAZ</t>
  </si>
  <si>
    <t>3008452659</t>
  </si>
  <si>
    <t>1121217646</t>
  </si>
  <si>
    <t>JOHANA AMIAS SINARAGUA</t>
  </si>
  <si>
    <t>53011971</t>
  </si>
  <si>
    <t>JOHANA FRANCO</t>
  </si>
  <si>
    <t>3133962084</t>
  </si>
  <si>
    <t>1098719391</t>
  </si>
  <si>
    <t>JOHANA HERNANDEZ</t>
  </si>
  <si>
    <t>3182244104</t>
  </si>
  <si>
    <t>63530313</t>
  </si>
  <si>
    <t>JOHANA MARCELA GARCIA</t>
  </si>
  <si>
    <t>3173792328</t>
  </si>
  <si>
    <t>1026294021</t>
  </si>
  <si>
    <t>JOHANA PARRA</t>
  </si>
  <si>
    <t>3209022780</t>
  </si>
  <si>
    <t>63530677</t>
  </si>
  <si>
    <t>JOHANA SANTOS</t>
  </si>
  <si>
    <t>3158788559</t>
  </si>
  <si>
    <t>1007665858</t>
  </si>
  <si>
    <t>JOHAN GUERRERO</t>
  </si>
  <si>
    <t>3232101672</t>
  </si>
  <si>
    <t>1000895939</t>
  </si>
  <si>
    <t>JOHAN ORTEGA</t>
  </si>
  <si>
    <t>3165370983</t>
  </si>
  <si>
    <t>1122270414</t>
  </si>
  <si>
    <t>JOHANSON PINTO SANMCHEZ</t>
  </si>
  <si>
    <t>1001186563</t>
  </si>
  <si>
    <t>JOHAN VARGAS AREVALO</t>
  </si>
  <si>
    <t>3219358047</t>
  </si>
  <si>
    <t>80819396</t>
  </si>
  <si>
    <t>JOHN EDISSON MORENO CASTAÑEDA</t>
  </si>
  <si>
    <t>3142092822</t>
  </si>
  <si>
    <t>9690767</t>
  </si>
  <si>
    <t>JOHN JAIRO GALVAN ROPERO</t>
  </si>
  <si>
    <t>3213116345</t>
  </si>
  <si>
    <t>91495449</t>
  </si>
  <si>
    <t>JOHN ORTIZ</t>
  </si>
  <si>
    <t>3163340943</t>
  </si>
  <si>
    <t>1095803768</t>
  </si>
  <si>
    <t>JONATHAN ALMEIDA</t>
  </si>
  <si>
    <t>3015009945</t>
  </si>
  <si>
    <t>1100890011</t>
  </si>
  <si>
    <t>JONATHAN BARCENAS</t>
  </si>
  <si>
    <t>3179109959</t>
  </si>
  <si>
    <t>13570897</t>
  </si>
  <si>
    <t>JONATHAN JOSE SILVA MELLADO</t>
  </si>
  <si>
    <t>3107673118</t>
  </si>
  <si>
    <t>91539475</t>
  </si>
  <si>
    <t>JONATHAN MONSALVE</t>
  </si>
  <si>
    <t>3223583919</t>
  </si>
  <si>
    <t>1098786315</t>
  </si>
  <si>
    <t>JONATHAN PLATA</t>
  </si>
  <si>
    <t>3021627797</t>
  </si>
  <si>
    <t>1098776120</t>
  </si>
  <si>
    <t>JONATHAN RIAÑO MARTINEZ</t>
  </si>
  <si>
    <t>3177739327</t>
  </si>
  <si>
    <t>1121222030</t>
  </si>
  <si>
    <t>JORGE AHUANARI</t>
  </si>
  <si>
    <t>1095906520</t>
  </si>
  <si>
    <t>JORGE ALEJANDRO DIAZ PRADA</t>
  </si>
  <si>
    <t>3125805673</t>
  </si>
  <si>
    <t>5567225</t>
  </si>
  <si>
    <t>JORGE AYALA</t>
  </si>
  <si>
    <t>3185180273</t>
  </si>
  <si>
    <t>13808448</t>
  </si>
  <si>
    <t>JORGE CASTELLANOS</t>
  </si>
  <si>
    <t>3108080686</t>
  </si>
  <si>
    <t>3149088</t>
  </si>
  <si>
    <t>JORGE CRUZ</t>
  </si>
  <si>
    <t>3044510770</t>
  </si>
  <si>
    <t>1095827467</t>
  </si>
  <si>
    <t>JORGE DEL RIO</t>
  </si>
  <si>
    <t>3159273125</t>
  </si>
  <si>
    <t>19172865</t>
  </si>
  <si>
    <t>JORGE DURAN</t>
  </si>
  <si>
    <t>3138274444</t>
  </si>
  <si>
    <t>1051739281</t>
  </si>
  <si>
    <t>JORGE EMILIO GUTIERREZ NIETO</t>
  </si>
  <si>
    <t>3122192494</t>
  </si>
  <si>
    <t>13540445</t>
  </si>
  <si>
    <t>JORGE ENRIQUE GOMEZ SANTOS</t>
  </si>
  <si>
    <t>3174661161</t>
  </si>
  <si>
    <t>17156808</t>
  </si>
  <si>
    <t>JORGE FLOREZ HERRERA</t>
  </si>
  <si>
    <t>3222655239</t>
  </si>
  <si>
    <t>91516476</t>
  </si>
  <si>
    <t>JORGE GOMEZ</t>
  </si>
  <si>
    <t>3134636082</t>
  </si>
  <si>
    <t>79569995</t>
  </si>
  <si>
    <t>JORGE HENAO</t>
  </si>
  <si>
    <t>3138602337</t>
  </si>
  <si>
    <t>1065995014</t>
  </si>
  <si>
    <t>JORGE LEONARDO AGUILAR GUTIERREZ</t>
  </si>
  <si>
    <t>3133064680</t>
  </si>
  <si>
    <t>19350581</t>
  </si>
  <si>
    <t>JORGE LUIS BARRIGA AFANADOR</t>
  </si>
  <si>
    <t>3107811100</t>
  </si>
  <si>
    <t>1121203533</t>
  </si>
  <si>
    <t>JORGE LUIS CAGUACHE</t>
  </si>
  <si>
    <t>1121211610</t>
  </si>
  <si>
    <t>JORGE LUIS COELLO VELA</t>
  </si>
  <si>
    <t>15877117</t>
  </si>
  <si>
    <t>JORGE PEÑA AHUE</t>
  </si>
  <si>
    <t>15886117</t>
  </si>
  <si>
    <t>1102719211</t>
  </si>
  <si>
    <t>JORGE RAMIREZ</t>
  </si>
  <si>
    <t>3006142263</t>
  </si>
  <si>
    <t>1098659023</t>
  </si>
  <si>
    <t>JORGE YEAID POVEDA</t>
  </si>
  <si>
    <t>3214968327</t>
  </si>
  <si>
    <t>13815040</t>
  </si>
  <si>
    <t>JOSE ABSALON VARGAS TELLEZ</t>
  </si>
  <si>
    <t>3174976057 / 3174976657</t>
  </si>
  <si>
    <t>91533338</t>
  </si>
  <si>
    <t>JOSE ANTONIO RINCON OCHOA</t>
  </si>
  <si>
    <t>3206476851</t>
  </si>
  <si>
    <t>1096242211</t>
  </si>
  <si>
    <t>JOSE BURGOS</t>
  </si>
  <si>
    <t>3123289387</t>
  </si>
  <si>
    <t>1003047719</t>
  </si>
  <si>
    <t>JOSE CAMILO PEREZ BEDOYA</t>
  </si>
  <si>
    <t>15888149</t>
  </si>
  <si>
    <t>JOSE COELLO AHUE</t>
  </si>
  <si>
    <t>91462588</t>
  </si>
  <si>
    <t>JOSE DAVID CELIS</t>
  </si>
  <si>
    <t>3184501612</t>
  </si>
  <si>
    <t>74357518</t>
  </si>
  <si>
    <t>JOSE DEL CARMEN BRICEÑO</t>
  </si>
  <si>
    <t>3167471169</t>
  </si>
  <si>
    <t>1005059812</t>
  </si>
  <si>
    <t>JOSE DIAZ</t>
  </si>
  <si>
    <t>3222415093</t>
  </si>
  <si>
    <t>41057494</t>
  </si>
  <si>
    <t>JOSEFA FLOREZ</t>
  </si>
  <si>
    <t>63461119</t>
  </si>
  <si>
    <t>JOSEFINA CHAVES CAMPO</t>
  </si>
  <si>
    <t>3214811172</t>
  </si>
  <si>
    <t>40176728</t>
  </si>
  <si>
    <t>JOSEFINA PARENTE</t>
  </si>
  <si>
    <t>1121209609</t>
  </si>
  <si>
    <t>JOSEFINA SUAREZ</t>
  </si>
  <si>
    <t>1232884558</t>
  </si>
  <si>
    <t>JOSE GOMEZ</t>
  </si>
  <si>
    <t>3226549777</t>
  </si>
  <si>
    <t>1096253485</t>
  </si>
  <si>
    <t>JOSE GREGORIO TRUJILLO GARCIA</t>
  </si>
  <si>
    <t>3112387956</t>
  </si>
  <si>
    <t>BARR Miradores Del Lago</t>
  </si>
  <si>
    <t>Colegio Tec De Comercio Sede C</t>
  </si>
  <si>
    <t>91293122</t>
  </si>
  <si>
    <t>JOSE HIBARDO</t>
  </si>
  <si>
    <t>3134478741</t>
  </si>
  <si>
    <t>BARR Cafe Madrid</t>
  </si>
  <si>
    <t>1121208934</t>
  </si>
  <si>
    <t>JOSE IGNACIO</t>
  </si>
  <si>
    <t>5653164</t>
  </si>
  <si>
    <t>JOSE IGNASIO BAUTISTA</t>
  </si>
  <si>
    <t>3229102711</t>
  </si>
  <si>
    <t>4082850</t>
  </si>
  <si>
    <t>JOSE LIBARDO DIAZ CASTIBLANCO</t>
  </si>
  <si>
    <t>3125224734</t>
  </si>
  <si>
    <t>1193526575</t>
  </si>
  <si>
    <t>JOSE LUIS ALVES</t>
  </si>
  <si>
    <t>106792001</t>
  </si>
  <si>
    <t>JOSE LUIS ARGUMENDO</t>
  </si>
  <si>
    <t>3204930529</t>
  </si>
  <si>
    <t>91438132</t>
  </si>
  <si>
    <t>JOSE LUIS HERNANDEZ</t>
  </si>
  <si>
    <t>3212617027</t>
  </si>
  <si>
    <t>1095510740</t>
  </si>
  <si>
    <t>JOSE MANUEL PICO</t>
  </si>
  <si>
    <t>3046192966</t>
  </si>
  <si>
    <t>15879445</t>
  </si>
  <si>
    <t>JOSE MARIA MURILLO RUZ</t>
  </si>
  <si>
    <t>91520674</t>
  </si>
  <si>
    <t>JOSE MARTINEZ</t>
  </si>
  <si>
    <t>3158724198</t>
  </si>
  <si>
    <t>8299262</t>
  </si>
  <si>
    <t>1121210128</t>
  </si>
  <si>
    <t>JOSE MONTES</t>
  </si>
  <si>
    <t>1122266091</t>
  </si>
  <si>
    <t>JOSE MURAYARI</t>
  </si>
  <si>
    <t>1093758522</t>
  </si>
  <si>
    <t>JOSE OCHOA</t>
  </si>
  <si>
    <t>3007651852</t>
  </si>
  <si>
    <t>1121447039</t>
  </si>
  <si>
    <t>JOSE REYES</t>
  </si>
  <si>
    <t>1121447031</t>
  </si>
  <si>
    <t>13890285</t>
  </si>
  <si>
    <t>JOSE RINCON</t>
  </si>
  <si>
    <t>3124325128</t>
  </si>
  <si>
    <t>1066063614</t>
  </si>
  <si>
    <t>JOSE SANTIAGO</t>
  </si>
  <si>
    <t>3222695588</t>
  </si>
  <si>
    <t>2105181</t>
  </si>
  <si>
    <t>JOSE SERPA</t>
  </si>
  <si>
    <t>3118090190</t>
  </si>
  <si>
    <t>1121209315</t>
  </si>
  <si>
    <t>JOSE TAMANI</t>
  </si>
  <si>
    <t>1127772095</t>
  </si>
  <si>
    <t>JOSE TRIANA</t>
  </si>
  <si>
    <t>79327928</t>
  </si>
  <si>
    <t>JOSE VICENTE QUINTERO HERRERA</t>
  </si>
  <si>
    <t>3124542672</t>
  </si>
  <si>
    <t>41055007</t>
  </si>
  <si>
    <t>JUANA CASADO</t>
  </si>
  <si>
    <t>1098814911</t>
  </si>
  <si>
    <t>JUAN ACEVEDO</t>
  </si>
  <si>
    <t>3187858128</t>
  </si>
  <si>
    <t>52421728</t>
  </si>
  <si>
    <t>JUANA ISABEL HOYOS RUZ</t>
  </si>
  <si>
    <t>1097783267</t>
  </si>
  <si>
    <t>JUAN ALVARADO</t>
  </si>
  <si>
    <t>3196025730</t>
  </si>
  <si>
    <t>41057926</t>
  </si>
  <si>
    <t>JUANA SUAREZ</t>
  </si>
  <si>
    <t>1000684820</t>
  </si>
  <si>
    <t>JUAN CAMILO ALVAREZ</t>
  </si>
  <si>
    <t>3212403288</t>
  </si>
  <si>
    <t>1093248824</t>
  </si>
  <si>
    <t>JUAN CAMILO RIOS GALVAN</t>
  </si>
  <si>
    <t>1095986008</t>
  </si>
  <si>
    <t>JUAN CAMILO SILVA GOMEZ</t>
  </si>
  <si>
    <t>3111111111</t>
  </si>
  <si>
    <t>1098707198</t>
  </si>
  <si>
    <t>JUAN CARLOS GOMEZ</t>
  </si>
  <si>
    <t>3166307391</t>
  </si>
  <si>
    <t>18050503</t>
  </si>
  <si>
    <t>JUAN COELLO AHUE</t>
  </si>
  <si>
    <t>79628956</t>
  </si>
  <si>
    <t>JUAN DAVID VILLAMIZAR RIOS</t>
  </si>
  <si>
    <t>3153966951</t>
  </si>
  <si>
    <t>1000539910</t>
  </si>
  <si>
    <t>JUAN DAVID ZAPATA</t>
  </si>
  <si>
    <t>3011674583</t>
  </si>
  <si>
    <t>71663144</t>
  </si>
  <si>
    <t>JUAN DIEGO ZAPATA</t>
  </si>
  <si>
    <t>3014811620</t>
  </si>
  <si>
    <t>1098796239</t>
  </si>
  <si>
    <t>JUAN ESTEBAN REY TORRES</t>
  </si>
  <si>
    <t>3213334060</t>
  </si>
  <si>
    <t>13865262</t>
  </si>
  <si>
    <t>JUAN FERNANDO NOVA MARTINEZ</t>
  </si>
  <si>
    <t>3163336129</t>
  </si>
  <si>
    <t>1097491349</t>
  </si>
  <si>
    <t>JUAN GUILLERMO FRANCO</t>
  </si>
  <si>
    <t>3012109892</t>
  </si>
  <si>
    <t>1007366382</t>
  </si>
  <si>
    <t>JUAN IPUCHIMA</t>
  </si>
  <si>
    <t>1007366826</t>
  </si>
  <si>
    <t>1019127575</t>
  </si>
  <si>
    <t>JUANITA BARRIGA ZULOAGA</t>
  </si>
  <si>
    <t>3162716365</t>
  </si>
  <si>
    <t>1010037180</t>
  </si>
  <si>
    <t>JUANITA GALEANO DIAZ</t>
  </si>
  <si>
    <t>1020843118</t>
  </si>
  <si>
    <t>JUAN JOSE DUARTE CONTRERAS</t>
  </si>
  <si>
    <t>3212702400</t>
  </si>
  <si>
    <t>1097095794</t>
  </si>
  <si>
    <t>JUAN JOSE OVIEDO</t>
  </si>
  <si>
    <t>3245207439</t>
  </si>
  <si>
    <t>1004604924</t>
  </si>
  <si>
    <t>JUAN NAVARRETE</t>
  </si>
  <si>
    <t>3213256149</t>
  </si>
  <si>
    <t>1005336686</t>
  </si>
  <si>
    <t>JUAN OVIEDO</t>
  </si>
  <si>
    <t>3223533442</t>
  </si>
  <si>
    <t>1122702056</t>
  </si>
  <si>
    <t>JUAN PABLO</t>
  </si>
  <si>
    <t>1098677898</t>
  </si>
  <si>
    <t>JUAN PABLO PARRA</t>
  </si>
  <si>
    <t>3228505557</t>
  </si>
  <si>
    <t>91235683</t>
  </si>
  <si>
    <t>JUAN PARRA</t>
  </si>
  <si>
    <t>3023470395</t>
  </si>
  <si>
    <t>1097185170</t>
  </si>
  <si>
    <t>JUAN RINCON</t>
  </si>
  <si>
    <t>3145326163</t>
  </si>
  <si>
    <t>1014861779</t>
  </si>
  <si>
    <t>JUAN ROJAS</t>
  </si>
  <si>
    <t>3003008330</t>
  </si>
  <si>
    <t>1014860275</t>
  </si>
  <si>
    <t>JUAN SEBASTIAN AVELLA</t>
  </si>
  <si>
    <t>3160565180</t>
  </si>
  <si>
    <t>1005324416</t>
  </si>
  <si>
    <t>JUAN SEBASTIAN CRISTANCHO</t>
  </si>
  <si>
    <t>3209019281</t>
  </si>
  <si>
    <t>1095823172</t>
  </si>
  <si>
    <t>JUAN SEBASTIAN GUERRERO</t>
  </si>
  <si>
    <t>3156294285</t>
  </si>
  <si>
    <t>1098804266</t>
  </si>
  <si>
    <t>JUAN SEBASTIAN OVIEDO</t>
  </si>
  <si>
    <t>3105019410</t>
  </si>
  <si>
    <t>40151444</t>
  </si>
  <si>
    <t>JUDITH COELLO CARECA</t>
  </si>
  <si>
    <t>49668705</t>
  </si>
  <si>
    <t>JUDITH MADARIAGA</t>
  </si>
  <si>
    <t>3134080688</t>
  </si>
  <si>
    <t>Aguachica</t>
  </si>
  <si>
    <t>40150547</t>
  </si>
  <si>
    <t>JULIA GOMEZ CASTILLO</t>
  </si>
  <si>
    <t>1121202924</t>
  </si>
  <si>
    <t>JULIANA BRENEY TENAZOA LINARES</t>
  </si>
  <si>
    <t>1052957338</t>
  </si>
  <si>
    <t>JULIANA LUCIA VILORIA CAMPO</t>
  </si>
  <si>
    <t>3008428259</t>
  </si>
  <si>
    <t>Envigado</t>
  </si>
  <si>
    <t>BARR Envigado</t>
  </si>
  <si>
    <t>1095786447</t>
  </si>
  <si>
    <t>JULIAN ANDRES SUAREZ RODRIGUEZ</t>
  </si>
  <si>
    <t>3177052847</t>
  </si>
  <si>
    <t>1098775832</t>
  </si>
  <si>
    <t>JULIANA ORTEGA</t>
  </si>
  <si>
    <t>3184732020</t>
  </si>
  <si>
    <t>1151452806</t>
  </si>
  <si>
    <t>JULIAN BARON</t>
  </si>
  <si>
    <t>1133154216</t>
  </si>
  <si>
    <t>JULIAN ENUAR</t>
  </si>
  <si>
    <t>1098812256</t>
  </si>
  <si>
    <t>JULIAN MARTÍNEZ</t>
  </si>
  <si>
    <t>3046409078</t>
  </si>
  <si>
    <t>91500075</t>
  </si>
  <si>
    <t>3105685744</t>
  </si>
  <si>
    <t>26040995</t>
  </si>
  <si>
    <t>JULIA ROSA ARTEAGA</t>
  </si>
  <si>
    <t>63327485</t>
  </si>
  <si>
    <t>JULIA VICTORIA RODRIGUEZ CADENA</t>
  </si>
  <si>
    <t>3158268587</t>
  </si>
  <si>
    <t>1096229859</t>
  </si>
  <si>
    <t>JULIET CAROLINA SIERRA ANAYA</t>
  </si>
  <si>
    <t>3012032582</t>
  </si>
  <si>
    <t>1097184463</t>
  </si>
  <si>
    <t>JULIETH MIRANDA</t>
  </si>
  <si>
    <t>3222904356</t>
  </si>
  <si>
    <t>1098628999</t>
  </si>
  <si>
    <t>JULIETH ORTIZ</t>
  </si>
  <si>
    <t>3182329194</t>
  </si>
  <si>
    <t>91256247</t>
  </si>
  <si>
    <t>JULIO CESAR LUNA</t>
  </si>
  <si>
    <t>3171460989</t>
  </si>
  <si>
    <t>1007682343</t>
  </si>
  <si>
    <t>JULIO JORDAN</t>
  </si>
  <si>
    <t>1098623259</t>
  </si>
  <si>
    <t>JULIO MANUEL LARIOS SUAREZ</t>
  </si>
  <si>
    <t>3181789209</t>
  </si>
  <si>
    <t>BARR Ciudadela Villamil</t>
  </si>
  <si>
    <t>18050255</t>
  </si>
  <si>
    <t>JULIO MORAN</t>
  </si>
  <si>
    <t>1096193241</t>
  </si>
  <si>
    <t>JULIO RAMOS</t>
  </si>
  <si>
    <t>3108515852</t>
  </si>
  <si>
    <t>6565506</t>
  </si>
  <si>
    <t>JULIO SORIA</t>
  </si>
  <si>
    <t>9144757</t>
  </si>
  <si>
    <t>JULIO VILORIA LOPEZ</t>
  </si>
  <si>
    <t>1121218451</t>
  </si>
  <si>
    <t>JUNIOR DAMIAN ROJAS PEÑA</t>
  </si>
  <si>
    <t>1096194858</t>
  </si>
  <si>
    <t>KANNY AYALA</t>
  </si>
  <si>
    <t>3008041303</t>
  </si>
  <si>
    <t>33207824</t>
  </si>
  <si>
    <t>KARELIS JARAMILLO PAYARES</t>
  </si>
  <si>
    <t>1097096640</t>
  </si>
  <si>
    <t>KAREN GALVIS</t>
  </si>
  <si>
    <t>3157231709</t>
  </si>
  <si>
    <t>1072420061</t>
  </si>
  <si>
    <t>KAREN HEREDIA</t>
  </si>
  <si>
    <t>1005186088</t>
  </si>
  <si>
    <t>KAREN LISBETH ARIZA MARTINEZ</t>
  </si>
  <si>
    <t>3112779137</t>
  </si>
  <si>
    <t>BARR El Boston</t>
  </si>
  <si>
    <t>1097187084</t>
  </si>
  <si>
    <t>KAREN LOPEZ GARCIA</t>
  </si>
  <si>
    <t>3169065723</t>
  </si>
  <si>
    <t>1099734119</t>
  </si>
  <si>
    <t>KAREN MARTINEZ</t>
  </si>
  <si>
    <t>3123807778</t>
  </si>
  <si>
    <t>1097185092</t>
  </si>
  <si>
    <t>KAREN PACHECO</t>
  </si>
  <si>
    <t>3143916087</t>
  </si>
  <si>
    <t>1095822376</t>
  </si>
  <si>
    <t>KAREN QUINTERO</t>
  </si>
  <si>
    <t>3162455855</t>
  </si>
  <si>
    <t>1005178087</t>
  </si>
  <si>
    <t>KAREN TAPIAS</t>
  </si>
  <si>
    <t>3214634793</t>
  </si>
  <si>
    <t>1098726305</t>
  </si>
  <si>
    <t>KAREN YULIE LEAL GONZALEZ</t>
  </si>
  <si>
    <t>3219269001</t>
  </si>
  <si>
    <t>BARR Pablo Acuña</t>
  </si>
  <si>
    <t>1006222421</t>
  </si>
  <si>
    <t>KARINA BARDALES</t>
  </si>
  <si>
    <t>1232890103</t>
  </si>
  <si>
    <t>KARINA JERRZ</t>
  </si>
  <si>
    <t>3232473870</t>
  </si>
  <si>
    <t>1095910758</t>
  </si>
  <si>
    <t>KARINA ROBLES</t>
  </si>
  <si>
    <t>3134205811</t>
  </si>
  <si>
    <t>1098677352</t>
  </si>
  <si>
    <t>KARINA TORADO GRAJALES</t>
  </si>
  <si>
    <t>3169720638</t>
  </si>
  <si>
    <t>1121218089</t>
  </si>
  <si>
    <t>KARLY MOZOMBITE</t>
  </si>
  <si>
    <t>1096219133</t>
  </si>
  <si>
    <t>KAROL ANDREA SANCHEZ PATIÑO</t>
  </si>
  <si>
    <t>3178161971</t>
  </si>
  <si>
    <t>1096235544</t>
  </si>
  <si>
    <t>KAROL SEGOVIA</t>
  </si>
  <si>
    <t>3135100443</t>
  </si>
  <si>
    <t>1018484871</t>
  </si>
  <si>
    <t>KASSIDY DEL PILAR BAUTISTA REYES</t>
  </si>
  <si>
    <t>3232062865</t>
  </si>
  <si>
    <t>53073143</t>
  </si>
  <si>
    <t>KATHERIN CRUZ</t>
  </si>
  <si>
    <t>3132776400</t>
  </si>
  <si>
    <t>1098680250</t>
  </si>
  <si>
    <t>KATHERINE GAMBOA</t>
  </si>
  <si>
    <t>3187305452</t>
  </si>
  <si>
    <t>1005334203</t>
  </si>
  <si>
    <t>KATHERINE SANCHEZ</t>
  </si>
  <si>
    <t>3208865782</t>
  </si>
  <si>
    <t>1026250673</t>
  </si>
  <si>
    <t>KATTY JOHANA MIGUEZ CONDE</t>
  </si>
  <si>
    <t>3176645749</t>
  </si>
  <si>
    <t>22589173</t>
  </si>
  <si>
    <t>KATYA ALEJANDRA IBARRA ECHEVERRIA</t>
  </si>
  <si>
    <t>3233215986</t>
  </si>
  <si>
    <t>1006784575</t>
  </si>
  <si>
    <t>KATY TORRES</t>
  </si>
  <si>
    <t>1131534016</t>
  </si>
  <si>
    <t>KEILA RAMOS</t>
  </si>
  <si>
    <t>1121205211</t>
  </si>
  <si>
    <t>KEILY CORDEIRO</t>
  </si>
  <si>
    <t>1005702360</t>
  </si>
  <si>
    <t>KELLY JOHANA ARANGO CASTRILLON</t>
  </si>
  <si>
    <t>3186846346</t>
  </si>
  <si>
    <t>635399957</t>
  </si>
  <si>
    <t>KELLY MONSALVE</t>
  </si>
  <si>
    <t>3002861993</t>
  </si>
  <si>
    <t>BARR Diamante Ii</t>
  </si>
  <si>
    <t>1005633500</t>
  </si>
  <si>
    <t>KELLYS PINEDA</t>
  </si>
  <si>
    <t>3002532004</t>
  </si>
  <si>
    <t>1131534306</t>
  </si>
  <si>
    <t>KELLY TORRES</t>
  </si>
  <si>
    <t>1006784391</t>
  </si>
  <si>
    <t>KELLY VALERIO GOMEZ</t>
  </si>
  <si>
    <t>1007274979</t>
  </si>
  <si>
    <t>KELYS TERAN</t>
  </si>
  <si>
    <t>3223525082</t>
  </si>
  <si>
    <t>49638122</t>
  </si>
  <si>
    <t>KENDY CARDENAS</t>
  </si>
  <si>
    <t>3173778473</t>
  </si>
  <si>
    <t>1098737580</t>
  </si>
  <si>
    <t>KENDY MOLINA</t>
  </si>
  <si>
    <t>3175497295</t>
  </si>
  <si>
    <t>1100889805</t>
  </si>
  <si>
    <t>KESMIN GIL</t>
  </si>
  <si>
    <t>3175650547</t>
  </si>
  <si>
    <t>1121201002</t>
  </si>
  <si>
    <t>KEULI SABRINA CAHUACHE CASTRO</t>
  </si>
  <si>
    <t>109778276</t>
  </si>
  <si>
    <t>KEVIN CARDENAS</t>
  </si>
  <si>
    <t>3154751151</t>
  </si>
  <si>
    <t>BARR Alarcon</t>
  </si>
  <si>
    <t>1005176835</t>
  </si>
  <si>
    <t>KEVIN DIAZ VARGAS</t>
  </si>
  <si>
    <t>3138057636</t>
  </si>
  <si>
    <t>BARR San Francisco</t>
  </si>
  <si>
    <t>1005370337</t>
  </si>
  <si>
    <t>KEVIN GALVIS</t>
  </si>
  <si>
    <t>3153460045</t>
  </si>
  <si>
    <t>1013588933</t>
  </si>
  <si>
    <t>KEVIN GUEVARA</t>
  </si>
  <si>
    <t>3004086491</t>
  </si>
  <si>
    <t>1193149327</t>
  </si>
  <si>
    <t>KEVIN LOPEZ</t>
  </si>
  <si>
    <t>3003486209</t>
  </si>
  <si>
    <t>1006739784</t>
  </si>
  <si>
    <t>KEVIN PINTO JOAQUIN</t>
  </si>
  <si>
    <t>1095798575</t>
  </si>
  <si>
    <t>KEVIN SOLER</t>
  </si>
  <si>
    <t>3504344487</t>
  </si>
  <si>
    <t>1095824882</t>
  </si>
  <si>
    <t>KIMBERLY PICO</t>
  </si>
  <si>
    <t>3226398445</t>
  </si>
  <si>
    <t>205259072</t>
  </si>
  <si>
    <t>LADY JAIMES</t>
  </si>
  <si>
    <t>3125732008</t>
  </si>
  <si>
    <t>1006221918</t>
  </si>
  <si>
    <t>LAMBER ACEVEDO</t>
  </si>
  <si>
    <t>63483997</t>
  </si>
  <si>
    <t>LAUDYS AMPARO MARTINEZ</t>
  </si>
  <si>
    <t>3132353833</t>
  </si>
  <si>
    <t>40175841</t>
  </si>
  <si>
    <t>LAURA ALDANA</t>
  </si>
  <si>
    <t>1232889891</t>
  </si>
  <si>
    <t>LAURA BETANCUR</t>
  </si>
  <si>
    <t>3224518889</t>
  </si>
  <si>
    <t>40178942</t>
  </si>
  <si>
    <t>LAURA CAHUACHE</t>
  </si>
  <si>
    <t>40178754</t>
  </si>
  <si>
    <t>LAURA CURICO</t>
  </si>
  <si>
    <t>1095815652</t>
  </si>
  <si>
    <t>LAURA JEREZ</t>
  </si>
  <si>
    <t>3248795013</t>
  </si>
  <si>
    <t>1110576468</t>
  </si>
  <si>
    <t>LAURA JOHANNA REINA NIÑO</t>
  </si>
  <si>
    <t>3123186819</t>
  </si>
  <si>
    <t>1098802005</t>
  </si>
  <si>
    <t>LAURA JULIANA GARCIA</t>
  </si>
  <si>
    <t>3007916820</t>
  </si>
  <si>
    <t>1006731829</t>
  </si>
  <si>
    <t>LAURA MARCELA CAHUAMARI RIOS</t>
  </si>
  <si>
    <t>1065901766</t>
  </si>
  <si>
    <t>LAURA MELISSA GONZALEZ OTALORA</t>
  </si>
  <si>
    <t>3186871645</t>
  </si>
  <si>
    <t>1083028936</t>
  </si>
  <si>
    <t>LAURA NATALY GALVIS MALDONADO</t>
  </si>
  <si>
    <t>3102610773</t>
  </si>
  <si>
    <t>1098755753</t>
  </si>
  <si>
    <t>LAURA PALACIO</t>
  </si>
  <si>
    <t>3159514897</t>
  </si>
  <si>
    <t>1007917941</t>
  </si>
  <si>
    <t>LAURA RIAÑO</t>
  </si>
  <si>
    <t>3246449808</t>
  </si>
  <si>
    <t>38263843</t>
  </si>
  <si>
    <t>LAURA ROSA NIÑO JIMENEZ</t>
  </si>
  <si>
    <t>3132735032</t>
  </si>
  <si>
    <t>1000470437</t>
  </si>
  <si>
    <t>LAURA SOFIA SEPULVEDA MORENO</t>
  </si>
  <si>
    <t>3115702486</t>
  </si>
  <si>
    <t>1013614889</t>
  </si>
  <si>
    <t>LAURA STEPHENIE BUSTOS OSPINA</t>
  </si>
  <si>
    <t>3102658580</t>
  </si>
  <si>
    <t>1095839667</t>
  </si>
  <si>
    <t>LAURA SUAREZ</t>
  </si>
  <si>
    <t>3002931813</t>
  </si>
  <si>
    <t>1122264940</t>
  </si>
  <si>
    <t>LEDER YOSMIRO YUMBATO AHUE</t>
  </si>
  <si>
    <t>1121223305</t>
  </si>
  <si>
    <t>LEIDY FERREIRA</t>
  </si>
  <si>
    <t>63547748</t>
  </si>
  <si>
    <t>LEIDY GALVIS</t>
  </si>
  <si>
    <t>3164902854</t>
  </si>
  <si>
    <t>1036250964</t>
  </si>
  <si>
    <t>LEIDY JOHANA BURITICA ZULUAGA</t>
  </si>
  <si>
    <t>3233160384</t>
  </si>
  <si>
    <t>Granada</t>
  </si>
  <si>
    <t>1092350</t>
  </si>
  <si>
    <t>LEIDY KATHERINE HERNANDEZ JAIMES</t>
  </si>
  <si>
    <t>3114658978</t>
  </si>
  <si>
    <t>40151445</t>
  </si>
  <si>
    <t>LEIDY MENDOZA</t>
  </si>
  <si>
    <t>1098762291</t>
  </si>
  <si>
    <t>LEIDY PICO</t>
  </si>
  <si>
    <t>3229450102</t>
  </si>
  <si>
    <t>1098613534</t>
  </si>
  <si>
    <t>LEIDY RAMIREZ</t>
  </si>
  <si>
    <t>3194800989</t>
  </si>
  <si>
    <t>1007628508</t>
  </si>
  <si>
    <t>LEIDY SALDAÑA</t>
  </si>
  <si>
    <t>1065806324</t>
  </si>
  <si>
    <t>LEIDYS PAOLA GONZALEZ CORTEZ</t>
  </si>
  <si>
    <t>3023792203</t>
  </si>
  <si>
    <t>1116787996</t>
  </si>
  <si>
    <t>LEIDY TATIANA QUINTANILLA GOMEZ</t>
  </si>
  <si>
    <t>3159252791</t>
  </si>
  <si>
    <t>1005181244</t>
  </si>
  <si>
    <t>LEIDY YUBERLY DIAZ GOMEZ</t>
  </si>
  <si>
    <t>3115646116</t>
  </si>
  <si>
    <t>1122270490</t>
  </si>
  <si>
    <t>LEILA IDALY PEREIRA PERÑA</t>
  </si>
  <si>
    <t>37575522</t>
  </si>
  <si>
    <t>LEILA JACOME</t>
  </si>
  <si>
    <t>3507466488</t>
  </si>
  <si>
    <t>Colegio Camilo Torres Sede D</t>
  </si>
  <si>
    <t>77161161</t>
  </si>
  <si>
    <t>LENNIN GUTIERREZ</t>
  </si>
  <si>
    <t>3163700692</t>
  </si>
  <si>
    <t>BARR Lagos Ii</t>
  </si>
  <si>
    <t>1102357943</t>
  </si>
  <si>
    <t>LEONARDO PEÑA MARIN</t>
  </si>
  <si>
    <t>3023460660</t>
  </si>
  <si>
    <t>13538536</t>
  </si>
  <si>
    <t>LEONEL CORREA</t>
  </si>
  <si>
    <t>3175311954</t>
  </si>
  <si>
    <t>2505859</t>
  </si>
  <si>
    <t>LEONEL SANCHEZ</t>
  </si>
  <si>
    <t>40150487</t>
  </si>
  <si>
    <t>LEONERO COELLO AHUE</t>
  </si>
  <si>
    <t>41795869</t>
  </si>
  <si>
    <t>LEONOR DIAZ FLOREZ</t>
  </si>
  <si>
    <t>3118721889</t>
  </si>
  <si>
    <t>63332728</t>
  </si>
  <si>
    <t>LEONOR HERNANDEZ</t>
  </si>
  <si>
    <t>3103027644</t>
  </si>
  <si>
    <t>1121214685</t>
  </si>
  <si>
    <t>LERIS JIMENA OLARTE FONSECA</t>
  </si>
  <si>
    <t>1005109017</t>
  </si>
  <si>
    <t>LESLY HERRERA</t>
  </si>
  <si>
    <t>3157799214</t>
  </si>
  <si>
    <t>18051014</t>
  </si>
  <si>
    <t>LEVI PEÑA AHUE</t>
  </si>
  <si>
    <t>19396549</t>
  </si>
  <si>
    <t>LEVIS ARMANDO SUAREZ QUIMBAYO</t>
  </si>
  <si>
    <t>3013546184</t>
  </si>
  <si>
    <t>1122266955</t>
  </si>
  <si>
    <t>LEWIS LAULATE GOMEZ</t>
  </si>
  <si>
    <t>1121447573</t>
  </si>
  <si>
    <t>LEXY CASTILLO PEREIRA</t>
  </si>
  <si>
    <t>1131534325</t>
  </si>
  <si>
    <t>LEYDER PINTO PACAYA</t>
  </si>
  <si>
    <t>1096623952</t>
  </si>
  <si>
    <t>LEYDI PEREZ</t>
  </si>
  <si>
    <t>3134362962</t>
  </si>
  <si>
    <t>40178860</t>
  </si>
  <si>
    <t>LEYDY PACAYA</t>
  </si>
  <si>
    <t>1121202268</t>
  </si>
  <si>
    <t>LEYLA PECHIR</t>
  </si>
  <si>
    <t>1064983389</t>
  </si>
  <si>
    <t>LEYVER JOSE CABALLERO LOPEZ</t>
  </si>
  <si>
    <t>3023382746</t>
  </si>
  <si>
    <t>1121212132</t>
  </si>
  <si>
    <t>LIANA YINET CURICO</t>
  </si>
  <si>
    <t>40150434</t>
  </si>
  <si>
    <t>LIDIA JOAQUIN</t>
  </si>
  <si>
    <t>40179650</t>
  </si>
  <si>
    <t>LIGIA MANDUCA</t>
  </si>
  <si>
    <t>28130440</t>
  </si>
  <si>
    <t>LIGIA RUIZ</t>
  </si>
  <si>
    <t>63291309</t>
  </si>
  <si>
    <t>LILIA GOMEZ</t>
  </si>
  <si>
    <t>40178538</t>
  </si>
  <si>
    <t>LILIAN ACOSTA</t>
  </si>
  <si>
    <t>1070329423</t>
  </si>
  <si>
    <t>LILIANA NIETO</t>
  </si>
  <si>
    <t>3133026077</t>
  </si>
  <si>
    <t>1121692786</t>
  </si>
  <si>
    <t>LILIANA REYES</t>
  </si>
  <si>
    <t>32748464</t>
  </si>
  <si>
    <t>LILIAN LENIS</t>
  </si>
  <si>
    <t>3157120849</t>
  </si>
  <si>
    <t>BARR Calima</t>
  </si>
  <si>
    <t>1121216095</t>
  </si>
  <si>
    <t>LILIA RODRIGUEZ</t>
  </si>
  <si>
    <t>63368323</t>
  </si>
  <si>
    <t>LILIA STELLA ARIZA DURAN</t>
  </si>
  <si>
    <t>3016973350</t>
  </si>
  <si>
    <t>1121200934</t>
  </si>
  <si>
    <t>LILI MARILAN JIMENEZ</t>
  </si>
  <si>
    <t>444444</t>
  </si>
  <si>
    <t>LILI STELLA ARIZA DURAN</t>
  </si>
  <si>
    <t>1102369669</t>
  </si>
  <si>
    <t>LINA CABALLERO</t>
  </si>
  <si>
    <t>3164069785</t>
  </si>
  <si>
    <t>1098614946</t>
  </si>
  <si>
    <t>LINA LANDAZABAL</t>
  </si>
  <si>
    <t>3006528797</t>
  </si>
  <si>
    <t>1121214735</t>
  </si>
  <si>
    <t>LINA MONTES</t>
  </si>
  <si>
    <t>1122266849</t>
  </si>
  <si>
    <t>LINDA EMERY PURICHO PEÑA</t>
  </si>
  <si>
    <t>1097495450</t>
  </si>
  <si>
    <t>LINDA ROJAS ARIZA</t>
  </si>
  <si>
    <t>3204467095</t>
  </si>
  <si>
    <t>41060956</t>
  </si>
  <si>
    <t>LINDAURA LONDOÑO</t>
  </si>
  <si>
    <t>15885618</t>
  </si>
  <si>
    <t>LINFOR MOZOMBITE</t>
  </si>
  <si>
    <t>1121205696</t>
  </si>
  <si>
    <t>LINNE EMCISO</t>
  </si>
  <si>
    <t>41057237</t>
  </si>
  <si>
    <t>LISBETH CLAUDIA RUIZ MURAYARI</t>
  </si>
  <si>
    <t>41055869</t>
  </si>
  <si>
    <t>LISBETH MANUYAMA</t>
  </si>
  <si>
    <t>1096204256</t>
  </si>
  <si>
    <t>LISBETH TATIANA JIMENEZ RIZO</t>
  </si>
  <si>
    <t>3105531615</t>
  </si>
  <si>
    <t>1012432737</t>
  </si>
  <si>
    <t>LISETH PEDRAZA</t>
  </si>
  <si>
    <t>3144255211</t>
  </si>
  <si>
    <t>1100889230</t>
  </si>
  <si>
    <t>LISETH REY</t>
  </si>
  <si>
    <t>3168636106</t>
  </si>
  <si>
    <t>1098696454</t>
  </si>
  <si>
    <t>LISETH ROJAS</t>
  </si>
  <si>
    <t>3168102775</t>
  </si>
  <si>
    <t>1005346383</t>
  </si>
  <si>
    <t>LIZETH BELTRAN</t>
  </si>
  <si>
    <t>3166704956</t>
  </si>
  <si>
    <t>1102352462</t>
  </si>
  <si>
    <t>LIZETH CABALLERO</t>
  </si>
  <si>
    <t>37862737</t>
  </si>
  <si>
    <t>LIZETH CAICEDO</t>
  </si>
  <si>
    <t>3152556669</t>
  </si>
  <si>
    <t>1000066129</t>
  </si>
  <si>
    <t>LIZETH FLOREZ HERRER</t>
  </si>
  <si>
    <t>3118883214</t>
  </si>
  <si>
    <t>63454364</t>
  </si>
  <si>
    <t>LIZETH MORALES</t>
  </si>
  <si>
    <t>3004380747</t>
  </si>
  <si>
    <t>Magdalena</t>
  </si>
  <si>
    <t>Santa Marta</t>
  </si>
  <si>
    <t>63452244</t>
  </si>
  <si>
    <t>LIZETH PEÑA</t>
  </si>
  <si>
    <t>3177662237</t>
  </si>
  <si>
    <t>1098706495</t>
  </si>
  <si>
    <t>LIZETH TATIANA SANCHEZ GIL</t>
  </si>
  <si>
    <t>3160448947</t>
  </si>
  <si>
    <t>1096208820</t>
  </si>
  <si>
    <t>LIZETH YESENIA PERES ACOSTA</t>
  </si>
  <si>
    <t>3023087166</t>
  </si>
  <si>
    <t>Col. Diego Hdez De Gallego Sede B</t>
  </si>
  <si>
    <t>1122267877</t>
  </si>
  <si>
    <t>LLOLVI SAMANTA SUAREZ BARREIRO</t>
  </si>
  <si>
    <t>41059083</t>
  </si>
  <si>
    <t>LOURDES BARBOSA</t>
  </si>
  <si>
    <t>63549727</t>
  </si>
  <si>
    <t>LUCELIA RODRIGUES</t>
  </si>
  <si>
    <t>3224677183</t>
  </si>
  <si>
    <t>1007628364</t>
  </si>
  <si>
    <t>LUCELIDA AHUANARI</t>
  </si>
  <si>
    <t>1121201235</t>
  </si>
  <si>
    <t>LUCERO SANDA</t>
  </si>
  <si>
    <t>63502527</t>
  </si>
  <si>
    <t>LUCIA BUENAHORA SALAZAR</t>
  </si>
  <si>
    <t>3102441444</t>
  </si>
  <si>
    <t>1006739888</t>
  </si>
  <si>
    <t>LUCIA COMENA</t>
  </si>
  <si>
    <t>88229076</t>
  </si>
  <si>
    <t>LUCIANA RODRIGUEZ</t>
  </si>
  <si>
    <t>3175752909</t>
  </si>
  <si>
    <t>1121200932</t>
  </si>
  <si>
    <t>LUCIA NORIEGA</t>
  </si>
  <si>
    <t>32492797</t>
  </si>
  <si>
    <t>LUCIA OROZCO DE ZAPATA</t>
  </si>
  <si>
    <t>3193041830</t>
  </si>
  <si>
    <t>1006733315</t>
  </si>
  <si>
    <t>LUCILA GARCIA</t>
  </si>
  <si>
    <t>28448224</t>
  </si>
  <si>
    <t>LUCILA MANTILLA</t>
  </si>
  <si>
    <t>3163503268</t>
  </si>
  <si>
    <t>20237429</t>
  </si>
  <si>
    <t>LUCILA RODRIGUEZ MENDEZ</t>
  </si>
  <si>
    <t>3057727421</t>
  </si>
  <si>
    <t>40177707</t>
  </si>
  <si>
    <t>LUCILA VALENCIA GONGORA</t>
  </si>
  <si>
    <t>41056536</t>
  </si>
  <si>
    <t>LUCIO CAHUACHE</t>
  </si>
  <si>
    <t>1121197695</t>
  </si>
  <si>
    <t>LUCY SANGAMA</t>
  </si>
  <si>
    <t>1098774804</t>
  </si>
  <si>
    <t>LUDWING ANDRES MORALES MANTILLA</t>
  </si>
  <si>
    <t>3154917359</t>
  </si>
  <si>
    <t>91068002</t>
  </si>
  <si>
    <t>LUDWING MORALES REY</t>
  </si>
  <si>
    <t>3158202652</t>
  </si>
  <si>
    <t>1098606217</t>
  </si>
  <si>
    <t>LUDWING RODRIGUEZ DURAN</t>
  </si>
  <si>
    <t>3150636816</t>
  </si>
  <si>
    <t>91252150</t>
  </si>
  <si>
    <t>LUDWING TOLOZA</t>
  </si>
  <si>
    <t>3011554531</t>
  </si>
  <si>
    <t>109820063</t>
  </si>
  <si>
    <t>LUDY CASTELLANOS</t>
  </si>
  <si>
    <t>3003227562</t>
  </si>
  <si>
    <t>63487148</t>
  </si>
  <si>
    <t>LU&lt; HELENA CALDERON</t>
  </si>
  <si>
    <t>3164616860</t>
  </si>
  <si>
    <t>41058446</t>
  </si>
  <si>
    <t>LUISA ALVES</t>
  </si>
  <si>
    <t>1098759774</t>
  </si>
  <si>
    <t>LUISA CAPACHO</t>
  </si>
  <si>
    <t>3222114710</t>
  </si>
  <si>
    <t>91203018</t>
  </si>
  <si>
    <t>LUIS ACEVEDO</t>
  </si>
  <si>
    <t>3157116913</t>
  </si>
  <si>
    <t>1098767756</t>
  </si>
  <si>
    <t>3188682331</t>
  </si>
  <si>
    <t>19230446</t>
  </si>
  <si>
    <t>LUIS AGUILAR</t>
  </si>
  <si>
    <t>3112411626</t>
  </si>
  <si>
    <t>91224016</t>
  </si>
  <si>
    <t>LUIS ALBERTO CAPACHO</t>
  </si>
  <si>
    <t>3155357878</t>
  </si>
  <si>
    <t>1069722329</t>
  </si>
  <si>
    <t>Coordinacion / 0</t>
  </si>
  <si>
    <t>LUIS ALBERTO GONZALEZ LOPEZ</t>
  </si>
  <si>
    <t>3502492839</t>
  </si>
  <si>
    <t>BARR Vereda Las Parrillas</t>
  </si>
  <si>
    <t>6565890</t>
  </si>
  <si>
    <t>LUIS ALBERTO MANUYAMA</t>
  </si>
  <si>
    <t>13846292</t>
  </si>
  <si>
    <t>LUIS ALBERTO POSADA</t>
  </si>
  <si>
    <t>3170368277</t>
  </si>
  <si>
    <t>83168929</t>
  </si>
  <si>
    <t>LUIS ALFONSO CERON CACHAYO</t>
  </si>
  <si>
    <t>3137777222</t>
  </si>
  <si>
    <t>1016034430</t>
  </si>
  <si>
    <t>LUISA MORALES</t>
  </si>
  <si>
    <t>3143070724</t>
  </si>
  <si>
    <t>91155468</t>
  </si>
  <si>
    <t>LUIS ANTONIO HERNANDEZ</t>
  </si>
  <si>
    <t>3178269427</t>
  </si>
  <si>
    <t>15887054</t>
  </si>
  <si>
    <t>LUIS ANTONIO PINTO</t>
  </si>
  <si>
    <t>1006733131</t>
  </si>
  <si>
    <t>LUIS ANTONIO SIERRA</t>
  </si>
  <si>
    <t>1121204628</t>
  </si>
  <si>
    <t>LUIS APOLINAR</t>
  </si>
  <si>
    <t>91465995</t>
  </si>
  <si>
    <t>LUIS ARTURO DIAZ CACERES</t>
  </si>
  <si>
    <t>3186722672</t>
  </si>
  <si>
    <t>91223433</t>
  </si>
  <si>
    <t>LUIS BAUTISTA</t>
  </si>
  <si>
    <t>3045016555</t>
  </si>
  <si>
    <t>91488171</t>
  </si>
  <si>
    <t>LUIS CAICEDO</t>
  </si>
  <si>
    <t>3163721734</t>
  </si>
  <si>
    <t>1121209596</t>
  </si>
  <si>
    <t>LUIS CAYETANO</t>
  </si>
  <si>
    <t>13724546</t>
  </si>
  <si>
    <t>LUIS CORREA</t>
  </si>
  <si>
    <t>3165764470</t>
  </si>
  <si>
    <t>1007899124</t>
  </si>
  <si>
    <t>LUIS EDUARDO RIOS GALVAN</t>
  </si>
  <si>
    <t>13565718</t>
  </si>
  <si>
    <t>LUIS EMEL RAMOS VALDERRAMA</t>
  </si>
  <si>
    <t>3118210216</t>
  </si>
  <si>
    <t>79327239</t>
  </si>
  <si>
    <t>LUIS ENRIQUE PALMAR</t>
  </si>
  <si>
    <t>3044494663</t>
  </si>
  <si>
    <t>19096723</t>
  </si>
  <si>
    <t>LUIS ERNESTO MONTLEALEGRE PORTELA</t>
  </si>
  <si>
    <t>3107651306</t>
  </si>
  <si>
    <t>1097044273</t>
  </si>
  <si>
    <t>LUIS FERNANDO FIGUEROA</t>
  </si>
  <si>
    <t>3150643128</t>
  </si>
  <si>
    <t>7733316</t>
  </si>
  <si>
    <t>LUIS GABRIEL ANDRADE</t>
  </si>
  <si>
    <t>3508580581</t>
  </si>
  <si>
    <t>13642236</t>
  </si>
  <si>
    <t>LUIS GARCIA</t>
  </si>
  <si>
    <t>3118051947</t>
  </si>
  <si>
    <t>91445681</t>
  </si>
  <si>
    <t>LUIS GREGORIO MARTINEZ RINCON</t>
  </si>
  <si>
    <t>3204153556</t>
  </si>
  <si>
    <t>18051304</t>
  </si>
  <si>
    <t>LUIS HERNANDO PEÑA AHE</t>
  </si>
  <si>
    <t>13874785</t>
  </si>
  <si>
    <t>LUIS HUMBERTO SANCHEZ RODRIGUEZ</t>
  </si>
  <si>
    <t>3175022723</t>
  </si>
  <si>
    <t>13816266</t>
  </si>
  <si>
    <t>LUIS JESUS GUARIN NAVARRO</t>
  </si>
  <si>
    <t>3164347935</t>
  </si>
  <si>
    <t>5707043</t>
  </si>
  <si>
    <t>LUIS JOSE BRICENO MARQUEZ</t>
  </si>
  <si>
    <t>3176815472</t>
  </si>
  <si>
    <t>17129662</t>
  </si>
  <si>
    <t>LUIS LEON GALEANO</t>
  </si>
  <si>
    <t>3132295466</t>
  </si>
  <si>
    <t>13882988</t>
  </si>
  <si>
    <t>LUIS LEÓN TRUJILLO</t>
  </si>
  <si>
    <t>3134221173</t>
  </si>
  <si>
    <t>1065650910</t>
  </si>
  <si>
    <t>LUIS LOAIZA</t>
  </si>
  <si>
    <t>3024402197</t>
  </si>
  <si>
    <t>73594780</t>
  </si>
  <si>
    <t>LUIS MADERA</t>
  </si>
  <si>
    <t>3202701053</t>
  </si>
  <si>
    <t>13347471</t>
  </si>
  <si>
    <t>LUIS MORA</t>
  </si>
  <si>
    <t>3212827740</t>
  </si>
  <si>
    <t>91241242</t>
  </si>
  <si>
    <t>LUIS MORALES</t>
  </si>
  <si>
    <t>3176969132</t>
  </si>
  <si>
    <t>BARR Mejoras Publicas</t>
  </si>
  <si>
    <t>1098786766</t>
  </si>
  <si>
    <t>3176410805</t>
  </si>
  <si>
    <t>1122270638</t>
  </si>
  <si>
    <t>LUIS OLIVEIRA</t>
  </si>
  <si>
    <t>91224389</t>
  </si>
  <si>
    <t>LUIS PARRA</t>
  </si>
  <si>
    <t>3152447108</t>
  </si>
  <si>
    <t>BARR Diamante I</t>
  </si>
  <si>
    <t>1121207243</t>
  </si>
  <si>
    <t>LUIS PINTO SANTOS</t>
  </si>
  <si>
    <t>1013649816</t>
  </si>
  <si>
    <t>LUIS PINZON</t>
  </si>
  <si>
    <t>3114617327</t>
  </si>
  <si>
    <t>1098711192</t>
  </si>
  <si>
    <t>LUIS RIAÑO</t>
  </si>
  <si>
    <t>3177167264</t>
  </si>
  <si>
    <t>1121447369</t>
  </si>
  <si>
    <t>LUIS ROJAS</t>
  </si>
  <si>
    <t>1121197962</t>
  </si>
  <si>
    <t>LUIS ROMERO</t>
  </si>
  <si>
    <t>13642068</t>
  </si>
  <si>
    <t>LUIS RUEDA</t>
  </si>
  <si>
    <t>3203177990</t>
  </si>
  <si>
    <t>15888298</t>
  </si>
  <si>
    <t>LUIS RUIZ SANCHEZ</t>
  </si>
  <si>
    <t>1121224682</t>
  </si>
  <si>
    <t>LUIS SANDOVAL</t>
  </si>
  <si>
    <t>91178113</t>
  </si>
  <si>
    <t>LUIS SUAREZ</t>
  </si>
  <si>
    <t>3112435099</t>
  </si>
  <si>
    <t>15886190</t>
  </si>
  <si>
    <t>LUIS VENANCINO</t>
  </si>
  <si>
    <t>1023369459</t>
  </si>
  <si>
    <t>LUNA PAOLA RANGEL CASTRO</t>
  </si>
  <si>
    <t>3108662114</t>
  </si>
  <si>
    <t>63508380</t>
  </si>
  <si>
    <t>LUZ ADRIANA GARCIA HERNANDEZ</t>
  </si>
  <si>
    <t>3152990996</t>
  </si>
  <si>
    <t>1121229809</t>
  </si>
  <si>
    <t>LUZ AIDA MURALLARI</t>
  </si>
  <si>
    <t>52053542</t>
  </si>
  <si>
    <t>LUZ ALDANA</t>
  </si>
  <si>
    <t>3177478497</t>
  </si>
  <si>
    <t>1131534387</t>
  </si>
  <si>
    <t>LUZ CIAS</t>
  </si>
  <si>
    <t>1122269691</t>
  </si>
  <si>
    <t>LUZ COELLO AHUE</t>
  </si>
  <si>
    <t>40151464</t>
  </si>
  <si>
    <t>LUZ DIANA ANGEL PINTO</t>
  </si>
  <si>
    <t>63297670</t>
  </si>
  <si>
    <t>LUZ DIAZ</t>
  </si>
  <si>
    <t>3213553477</t>
  </si>
  <si>
    <t>37862520</t>
  </si>
  <si>
    <t>LUZ DUARTE</t>
  </si>
  <si>
    <t>3004224492</t>
  </si>
  <si>
    <t>42093675</t>
  </si>
  <si>
    <t>LUZ ELENA MUÑOZ BEDOYA</t>
  </si>
  <si>
    <t>63344265</t>
  </si>
  <si>
    <t>LUZ ELISA GAMBOA</t>
  </si>
  <si>
    <t>3155157910</t>
  </si>
  <si>
    <t>32763092</t>
  </si>
  <si>
    <t>LUZ ESTELLA CAMPO RUZ</t>
  </si>
  <si>
    <t>1019003527</t>
  </si>
  <si>
    <t>LUZ ESTELLA SALAMANCA</t>
  </si>
  <si>
    <t>40150970</t>
  </si>
  <si>
    <t>LUZGARDA AHUE COELLO</t>
  </si>
  <si>
    <t>1121218359</t>
  </si>
  <si>
    <t>LUZ GIPA</t>
  </si>
  <si>
    <t>40178460</t>
  </si>
  <si>
    <t>LUZ GUTIERREZ</t>
  </si>
  <si>
    <t>63481855</t>
  </si>
  <si>
    <t>LUZ JAIMES</t>
  </si>
  <si>
    <t>3208307729</t>
  </si>
  <si>
    <t>1121215572</t>
  </si>
  <si>
    <t>LUZ MACEDO</t>
  </si>
  <si>
    <t>41715532</t>
  </si>
  <si>
    <t>LUZ MARINA BENAVIDEZ RODRIGUEZ</t>
  </si>
  <si>
    <t>28168501</t>
  </si>
  <si>
    <t>LUZ MARINA GOMEZ SAAVEDRA</t>
  </si>
  <si>
    <t>3183146324</t>
  </si>
  <si>
    <t>40177046</t>
  </si>
  <si>
    <t>LUZ MARINA PARENTE</t>
  </si>
  <si>
    <t>1122266796</t>
  </si>
  <si>
    <t>LUZ MARINA PEÑA AHUE</t>
  </si>
  <si>
    <t>40176228</t>
  </si>
  <si>
    <t>LUZ MARINA VASQUEZ</t>
  </si>
  <si>
    <t>1096194865</t>
  </si>
  <si>
    <t>LUZ RODRIGUEZ</t>
  </si>
  <si>
    <t>3118348653</t>
  </si>
  <si>
    <t>1123434405</t>
  </si>
  <si>
    <t>41058817</t>
  </si>
  <si>
    <t>LUZ SILVANO</t>
  </si>
  <si>
    <t>37944829</t>
  </si>
  <si>
    <t>LUZ STELLA ATUESTA GARCIA</t>
  </si>
  <si>
    <t>3105651690</t>
  </si>
  <si>
    <t>63511361</t>
  </si>
  <si>
    <t>LUZ STELLA VELASCO GALVIS</t>
  </si>
  <si>
    <t>3170662131</t>
  </si>
  <si>
    <t>1098725266</t>
  </si>
  <si>
    <t>LUZ VELASQUEZ</t>
  </si>
  <si>
    <t>3175208444</t>
  </si>
  <si>
    <t>41057871</t>
  </si>
  <si>
    <t>LUZ VERGARA</t>
  </si>
  <si>
    <t>1007682497</t>
  </si>
  <si>
    <t>MABEL GRANDE</t>
  </si>
  <si>
    <t>63505889</t>
  </si>
  <si>
    <t>MAGDA CLARENA MURILLO LOPEZ</t>
  </si>
  <si>
    <t>3156363843</t>
  </si>
  <si>
    <t>COL NTRA SRA DEL ROSARIO SEDE PRIMARIA</t>
  </si>
  <si>
    <t>52409223</t>
  </si>
  <si>
    <t>MAGDA DUEÑAS</t>
  </si>
  <si>
    <t>3115168820</t>
  </si>
  <si>
    <t>CENTRO COMERCIAL HACIENDA SANTA BARBARA</t>
  </si>
  <si>
    <t>1006733068</t>
  </si>
  <si>
    <t>MAICOL SILVANO MEDINA</t>
  </si>
  <si>
    <t>1005734248</t>
  </si>
  <si>
    <t>MAICOL VERA</t>
  </si>
  <si>
    <t>3187200129</t>
  </si>
  <si>
    <t>1096237131</t>
  </si>
  <si>
    <t>MAIGER ANDRES TAPIA</t>
  </si>
  <si>
    <t>3103075721</t>
  </si>
  <si>
    <t>SEMINARIO SAN PEDRO CLAVER</t>
  </si>
  <si>
    <t>1098733939</t>
  </si>
  <si>
    <t>MAIRA GARCIA</t>
  </si>
  <si>
    <t>1007628293</t>
  </si>
  <si>
    <t>MAIRA MONTES</t>
  </si>
  <si>
    <t>1013650697</t>
  </si>
  <si>
    <t>MAIRON CACUA</t>
  </si>
  <si>
    <t>3213012700</t>
  </si>
  <si>
    <t>Cumaribo</t>
  </si>
  <si>
    <t>1122266954</t>
  </si>
  <si>
    <t>MAITE HUANIRI</t>
  </si>
  <si>
    <t>1121200791</t>
  </si>
  <si>
    <t>MALAQUIAS TENAZOA</t>
  </si>
  <si>
    <t>16617719</t>
  </si>
  <si>
    <t>MALQUIADES DOMINGUEZ</t>
  </si>
  <si>
    <t>3166220710</t>
  </si>
  <si>
    <t>UNIVERSIDAD AUTONOMA DE BUCARAMANGA</t>
  </si>
  <si>
    <t>1121201733</t>
  </si>
  <si>
    <t>MANUELA IPUCHIMA</t>
  </si>
  <si>
    <t>15879157</t>
  </si>
  <si>
    <t>MANUEL ANDRES NOGUERA RODRIGUEZ</t>
  </si>
  <si>
    <t>1096237288</t>
  </si>
  <si>
    <t>MANUEL FERNANDO LLORENTE CORREA</t>
  </si>
  <si>
    <t>3154917430</t>
  </si>
  <si>
    <t>BARR Buenavista</t>
  </si>
  <si>
    <t>COL EL CASTILLO SEDE C  LAS NIEVES</t>
  </si>
  <si>
    <t>1122270205</t>
  </si>
  <si>
    <t>MANUEL OLIVEIRA PEÑA</t>
  </si>
  <si>
    <t>18050106</t>
  </si>
  <si>
    <t>MANUEL PACAYA MACUYAMA</t>
  </si>
  <si>
    <t>1005210087</t>
  </si>
  <si>
    <t>MANUEL STEVEN</t>
  </si>
  <si>
    <t>3212246256</t>
  </si>
  <si>
    <t>1098629326</t>
  </si>
  <si>
    <t>MARCELA AGUIRRE</t>
  </si>
  <si>
    <t>3007648142</t>
  </si>
  <si>
    <t>1005162668</t>
  </si>
  <si>
    <t>MARCELA CACERES BUENO</t>
  </si>
  <si>
    <t>3123459848</t>
  </si>
  <si>
    <t>1098690774</t>
  </si>
  <si>
    <t>MARCELA CASTILLO</t>
  </si>
  <si>
    <t>3207649243</t>
  </si>
  <si>
    <t>IE CAMACHO CARREÑO</t>
  </si>
  <si>
    <t>1065826590</t>
  </si>
  <si>
    <t>MARCELA GONZALEZ</t>
  </si>
  <si>
    <t>3001407646</t>
  </si>
  <si>
    <t>Valledup¿ar</t>
  </si>
  <si>
    <t>I.E. BELLO HORIZONTE</t>
  </si>
  <si>
    <t>1098761479</t>
  </si>
  <si>
    <t>MARCELA PAEZ LACHE</t>
  </si>
  <si>
    <t>3214820900</t>
  </si>
  <si>
    <t>1050546422</t>
  </si>
  <si>
    <t>MARCELA TAPIAS</t>
  </si>
  <si>
    <t>3213502040</t>
  </si>
  <si>
    <t>COL EL CASTILLO SD E MIS PRIMERAS LETRAS</t>
  </si>
  <si>
    <t>18070042</t>
  </si>
  <si>
    <t>MARCELINO MANDUCA</t>
  </si>
  <si>
    <t>1121203190</t>
  </si>
  <si>
    <t>MARCIA VASQUEZ</t>
  </si>
  <si>
    <t>13743945</t>
  </si>
  <si>
    <t>MARCOS FIDEL</t>
  </si>
  <si>
    <t>3505182188</t>
  </si>
  <si>
    <t>1095934093</t>
  </si>
  <si>
    <t>MARCOS MARQUEZ</t>
  </si>
  <si>
    <t>3220698654</t>
  </si>
  <si>
    <t>COLEGIO FACUNDO NAVAS MANTILLA</t>
  </si>
  <si>
    <t>18050463</t>
  </si>
  <si>
    <t>MARCULINO COELLO AHUE</t>
  </si>
  <si>
    <t>1006784351</t>
  </si>
  <si>
    <t>MARDEN OLIVEIRA</t>
  </si>
  <si>
    <t>63345486</t>
  </si>
  <si>
    <t>MARGOTH CORTEZ</t>
  </si>
  <si>
    <t>3101090456</t>
  </si>
  <si>
    <t>I.E. LAS AMERICAS</t>
  </si>
  <si>
    <t>40150441</t>
  </si>
  <si>
    <t>MARIA AHUE PEÑA</t>
  </si>
  <si>
    <t>1005280381</t>
  </si>
  <si>
    <t>MARIA ALEJANDRA ACEVEDO</t>
  </si>
  <si>
    <t>3164141624</t>
  </si>
  <si>
    <t>1000834155</t>
  </si>
  <si>
    <t>MARIA ALEJANDRA GONZALEZ MARTINEZ</t>
  </si>
  <si>
    <t>3208153445</t>
  </si>
  <si>
    <t>1005338366</t>
  </si>
  <si>
    <t>MARIA ALEJANDRA PALOMINO</t>
  </si>
  <si>
    <t>3044896744</t>
  </si>
  <si>
    <t>40179289</t>
  </si>
  <si>
    <t>MARIA AYAMBO</t>
  </si>
  <si>
    <t>1102382458</t>
  </si>
  <si>
    <t>MARIA CABALLERO</t>
  </si>
  <si>
    <t>3178476894</t>
  </si>
  <si>
    <t>63445882</t>
  </si>
  <si>
    <t>MARIA CARMEN HERNANDEZ</t>
  </si>
  <si>
    <t>3138158999</t>
  </si>
  <si>
    <t>1005186151</t>
  </si>
  <si>
    <t>MARIA CATALINA RINCON BECENA</t>
  </si>
  <si>
    <t>Tec Industrial Sede G</t>
  </si>
  <si>
    <t>41057457</t>
  </si>
  <si>
    <t>MARIA CEBALLOS</t>
  </si>
  <si>
    <t>40178442</t>
  </si>
  <si>
    <t>MARIA CLEOFE TORRES</t>
  </si>
  <si>
    <t>37748304</t>
  </si>
  <si>
    <t>MARIA CRISTINA ACEVEDO</t>
  </si>
  <si>
    <t>3144118097</t>
  </si>
  <si>
    <t>40177988</t>
  </si>
  <si>
    <t>MARIA DEL CARMEN CABALCANTE</t>
  </si>
  <si>
    <t>28532380</t>
  </si>
  <si>
    <t>MARIA DEL CARMEN JIMENEZ</t>
  </si>
  <si>
    <t>37541335</t>
  </si>
  <si>
    <t>MARIA DEL CARMEN RODRIGUEZ</t>
  </si>
  <si>
    <t>3185204606</t>
  </si>
  <si>
    <t>40176710</t>
  </si>
  <si>
    <t>MARIA DEL CARMEN SANCHEZ NUÑEZ</t>
  </si>
  <si>
    <t>28162013</t>
  </si>
  <si>
    <t>MARIA DE LOS ANGELES GARCIA</t>
  </si>
  <si>
    <t>3183007119</t>
  </si>
  <si>
    <t>1099367132</t>
  </si>
  <si>
    <t>MARIA DURAN</t>
  </si>
  <si>
    <t>3024740830</t>
  </si>
  <si>
    <t>28168934</t>
  </si>
  <si>
    <t>MARIA ELISA ARDILA POVEDA</t>
  </si>
  <si>
    <t>3115819274</t>
  </si>
  <si>
    <t>1098740525</t>
  </si>
  <si>
    <t>MARIA EPITIA</t>
  </si>
  <si>
    <t>3134485846</t>
  </si>
  <si>
    <t>63440159</t>
  </si>
  <si>
    <t>MARIA EUGENIA JAIMES</t>
  </si>
  <si>
    <t>3183328445</t>
  </si>
  <si>
    <t>63293085</t>
  </si>
  <si>
    <t>MARIA EUGENIA LOPEZ MURILLO</t>
  </si>
  <si>
    <t>3155185225</t>
  </si>
  <si>
    <t>63322813</t>
  </si>
  <si>
    <t>MARIA EUGENIA RODRIGUEZ</t>
  </si>
  <si>
    <t>3135723003</t>
  </si>
  <si>
    <t>37747715</t>
  </si>
  <si>
    <t>MARIA EUGENIA ROJAS</t>
  </si>
  <si>
    <t>3175734955</t>
  </si>
  <si>
    <t>1098829843</t>
  </si>
  <si>
    <t>MARIAEXIS ROJAS</t>
  </si>
  <si>
    <t>3015610329</t>
  </si>
  <si>
    <t>1121219932</t>
  </si>
  <si>
    <t>MARIA FERNANDA ALVES</t>
  </si>
  <si>
    <t>1000836532</t>
  </si>
  <si>
    <t>MARIA FERNANDA PIRA LARROTTA</t>
  </si>
  <si>
    <t>3134800490</t>
  </si>
  <si>
    <t>1075689197</t>
  </si>
  <si>
    <t>MARIA FERNANDA SANTAMARIA BARON</t>
  </si>
  <si>
    <t>3202648179</t>
  </si>
  <si>
    <t>Zipaquira</t>
  </si>
  <si>
    <t>31200535</t>
  </si>
  <si>
    <t>MARIA GARCIA</t>
  </si>
  <si>
    <t>60407954</t>
  </si>
  <si>
    <t>MARIA GRACIELA HERNANDEZ GOMEZ</t>
  </si>
  <si>
    <t>3123510775</t>
  </si>
  <si>
    <t>40179629</t>
  </si>
  <si>
    <t>MARIA HERNANDEZ</t>
  </si>
  <si>
    <t>1095837951</t>
  </si>
  <si>
    <t>3005258830</t>
  </si>
  <si>
    <t>37630046</t>
  </si>
  <si>
    <t>MARIA ISABEL JAIMES</t>
  </si>
  <si>
    <t>3164391550</t>
  </si>
  <si>
    <t>1122266683</t>
  </si>
  <si>
    <t>MARIA ISABEL PEÑA</t>
  </si>
  <si>
    <t>51659285</t>
  </si>
  <si>
    <t>MARIA JAQUELINE LOPEZ PALMAR</t>
  </si>
  <si>
    <t>3138415604</t>
  </si>
  <si>
    <t>40180128</t>
  </si>
  <si>
    <t>MARIAL SANTANA</t>
  </si>
  <si>
    <t>40177822</t>
  </si>
  <si>
    <t>MARIA MANDUCA</t>
  </si>
  <si>
    <t>40178117</t>
  </si>
  <si>
    <t>MARIA MANRIQUE</t>
  </si>
  <si>
    <t>1016595477</t>
  </si>
  <si>
    <t>MARIA MARTINEZ</t>
  </si>
  <si>
    <t>3202011800</t>
  </si>
  <si>
    <t>60442456</t>
  </si>
  <si>
    <t>MARIA MILENA RODRIGUEZ</t>
  </si>
  <si>
    <t>3044083437</t>
  </si>
  <si>
    <t>41060240</t>
  </si>
  <si>
    <t>MARIA MOJICA</t>
  </si>
  <si>
    <t>37792410</t>
  </si>
  <si>
    <t>MARIA MUÑOZ</t>
  </si>
  <si>
    <t>1121210126</t>
  </si>
  <si>
    <t>MARIANA MONTES</t>
  </si>
  <si>
    <t>40179735</t>
  </si>
  <si>
    <t>MARIA NATALIA LAUREANO CARECA</t>
  </si>
  <si>
    <t>1121199796</t>
  </si>
  <si>
    <t>MARIA NATALIA LEONARDO CARECA</t>
  </si>
  <si>
    <t>37760295</t>
  </si>
  <si>
    <t>MARIA NELLY SAMACA</t>
  </si>
  <si>
    <t>3104534664</t>
  </si>
  <si>
    <t>52527659</t>
  </si>
  <si>
    <t>MARIA NIÑO</t>
  </si>
  <si>
    <t>3138880693</t>
  </si>
  <si>
    <t>1022396034</t>
  </si>
  <si>
    <t>MARIANITA BUESAQUILLO</t>
  </si>
  <si>
    <t>3107060165</t>
  </si>
  <si>
    <t>41059903</t>
  </si>
  <si>
    <t>MARIA PIÑA</t>
  </si>
  <si>
    <t>1098797991</t>
  </si>
  <si>
    <t>MARIA PRADA</t>
  </si>
  <si>
    <t>3171302787</t>
  </si>
  <si>
    <t>30041378</t>
  </si>
  <si>
    <t>MARIA RODRIGUEZ</t>
  </si>
  <si>
    <t>28150397</t>
  </si>
  <si>
    <t>MARIA SIERRA</t>
  </si>
  <si>
    <t>3135617146</t>
  </si>
  <si>
    <t>27877383</t>
  </si>
  <si>
    <t>MARIA SOCORRO</t>
  </si>
  <si>
    <t>3124798014</t>
  </si>
  <si>
    <t>28061163</t>
  </si>
  <si>
    <t>MARIA SOLEDAD PACHECO CORZO</t>
  </si>
  <si>
    <t>3188215811</t>
  </si>
  <si>
    <t>40179723</t>
  </si>
  <si>
    <t>MARIA TENAZOA</t>
  </si>
  <si>
    <t>1121198889</t>
  </si>
  <si>
    <t>MARIA TERESA SILVA</t>
  </si>
  <si>
    <t>40176201</t>
  </si>
  <si>
    <t>MARIA VICENTA FERRER GOMEZ</t>
  </si>
  <si>
    <t>43729111</t>
  </si>
  <si>
    <t>MARIA VICTORIA ZAPATA OROZCO</t>
  </si>
  <si>
    <t>6044372911</t>
  </si>
  <si>
    <t>40177565</t>
  </si>
  <si>
    <t>MARIA YEDMI UNI</t>
  </si>
  <si>
    <t>1107056612</t>
  </si>
  <si>
    <t>MARIBEL MORENO</t>
  </si>
  <si>
    <t>63552446</t>
  </si>
  <si>
    <t>MARIBEL PEÑA MARIN</t>
  </si>
  <si>
    <t>3183567491</t>
  </si>
  <si>
    <t>1096200421</t>
  </si>
  <si>
    <t>MARIBEL VARGAS MEJIA</t>
  </si>
  <si>
    <t>3643492015</t>
  </si>
  <si>
    <t>BARR Villa Esperanza</t>
  </si>
  <si>
    <t>Colegio Ciudadela Educativa Sede B</t>
  </si>
  <si>
    <t>1148216992</t>
  </si>
  <si>
    <t>MARIEL AMEZQUITA</t>
  </si>
  <si>
    <t>3022990862</t>
  </si>
  <si>
    <t>BARR La Salle</t>
  </si>
  <si>
    <t>1007445778</t>
  </si>
  <si>
    <t>MARIELA OSPINO</t>
  </si>
  <si>
    <t>3164817097</t>
  </si>
  <si>
    <t>1097098898</t>
  </si>
  <si>
    <t>MARIELA RODRIGUEZ</t>
  </si>
  <si>
    <t>3002022622</t>
  </si>
  <si>
    <t>63478411</t>
  </si>
  <si>
    <t>MARIELA TORRES</t>
  </si>
  <si>
    <t>3504206668</t>
  </si>
  <si>
    <t>1098757158</t>
  </si>
  <si>
    <t>MARIELENA ALVAREZ</t>
  </si>
  <si>
    <t>3187336458</t>
  </si>
  <si>
    <t>40150466</t>
  </si>
  <si>
    <t>MARILUZ ANGEL</t>
  </si>
  <si>
    <t>41606380</t>
  </si>
  <si>
    <t>MARILUZ BERNAL</t>
  </si>
  <si>
    <t>3204525271</t>
  </si>
  <si>
    <t>1098787288</t>
  </si>
  <si>
    <t>MARILYN BUENAHORA</t>
  </si>
  <si>
    <t>3104890566</t>
  </si>
  <si>
    <t>41324357</t>
  </si>
  <si>
    <t>MARINA CONDE</t>
  </si>
  <si>
    <t>3134678840</t>
  </si>
  <si>
    <t>51731250</t>
  </si>
  <si>
    <t>MARINA PARRA</t>
  </si>
  <si>
    <t>3125696056</t>
  </si>
  <si>
    <t>27991765</t>
  </si>
  <si>
    <t>MARINA RIVERO BUENO</t>
  </si>
  <si>
    <t>36457692</t>
  </si>
  <si>
    <t>MARINA VEGA</t>
  </si>
  <si>
    <t>3013063012</t>
  </si>
  <si>
    <t>15876060</t>
  </si>
  <si>
    <t>MARINO JAFAITEQUE</t>
  </si>
  <si>
    <t>1098662015</t>
  </si>
  <si>
    <t>MARIO AVALOS ORTEGA</t>
  </si>
  <si>
    <t>3013587909</t>
  </si>
  <si>
    <t>41061141</t>
  </si>
  <si>
    <t>MARITZA CUELLAR LUCIANO</t>
  </si>
  <si>
    <t>41058045</t>
  </si>
  <si>
    <t>MARITZA MANUYAMA</t>
  </si>
  <si>
    <t>1121202245</t>
  </si>
  <si>
    <t>MARITZA ORACO</t>
  </si>
  <si>
    <t>28005825</t>
  </si>
  <si>
    <t>MARLENE BARROS NIETO</t>
  </si>
  <si>
    <t>3174863221</t>
  </si>
  <si>
    <t>63445340</t>
  </si>
  <si>
    <t>MARLENE GOMEZ</t>
  </si>
  <si>
    <t>3185857946</t>
  </si>
  <si>
    <t>28016448</t>
  </si>
  <si>
    <t>MARLENE LEON</t>
  </si>
  <si>
    <t>3012802885</t>
  </si>
  <si>
    <t>1096247452</t>
  </si>
  <si>
    <t>MARLENY MONTES PINEDA</t>
  </si>
  <si>
    <t>3112292412</t>
  </si>
  <si>
    <t>BARR La Union</t>
  </si>
  <si>
    <t>63470632</t>
  </si>
  <si>
    <t>MARLENY PINEDA MARIN</t>
  </si>
  <si>
    <t>3118753599</t>
  </si>
  <si>
    <t>26675047</t>
  </si>
  <si>
    <t>MARLENY POVEDA</t>
  </si>
  <si>
    <t>3157192300</t>
  </si>
  <si>
    <t>1098759827</t>
  </si>
  <si>
    <t>MARLON CARREÑO</t>
  </si>
  <si>
    <t>3155702904</t>
  </si>
  <si>
    <t>13511151</t>
  </si>
  <si>
    <t>MARLON ELIECER CARREÑO</t>
  </si>
  <si>
    <t>3142747833</t>
  </si>
  <si>
    <t>1006431979</t>
  </si>
  <si>
    <t>MARLON EPIA</t>
  </si>
  <si>
    <t>222222</t>
  </si>
  <si>
    <t>MARLON TOMMI QUINTERO VANEGAS</t>
  </si>
  <si>
    <t>3227933289</t>
  </si>
  <si>
    <t>1095916209</t>
  </si>
  <si>
    <t>MARLUZ CABARCAS</t>
  </si>
  <si>
    <t>3150707856</t>
  </si>
  <si>
    <t>40177712</t>
  </si>
  <si>
    <t>MARTA ARAMBULA</t>
  </si>
  <si>
    <t>40150473</t>
  </si>
  <si>
    <t>MARTA LUZ ANGEL</t>
  </si>
  <si>
    <t>1098657028</t>
  </si>
  <si>
    <t>MARTHA CASTELLANOS</t>
  </si>
  <si>
    <t>63321542</t>
  </si>
  <si>
    <t>MARTHA CECILIA OLAYA ANDRADE</t>
  </si>
  <si>
    <t>3167842170</t>
  </si>
  <si>
    <t>1122297068</t>
  </si>
  <si>
    <t>MARTHA CUBEO</t>
  </si>
  <si>
    <t>63313390</t>
  </si>
  <si>
    <t>MARTHA FUENTES</t>
  </si>
  <si>
    <t>63363479</t>
  </si>
  <si>
    <t>MARTHA HERNANDEZ</t>
  </si>
  <si>
    <t>3013902131</t>
  </si>
  <si>
    <t>52910705</t>
  </si>
  <si>
    <t>MARTHA LILIANA ALDANA LAMPREA</t>
  </si>
  <si>
    <t>3016446807</t>
  </si>
  <si>
    <t>28262198</t>
  </si>
  <si>
    <t>MARTHA LUCIA GOMEZ SAAVEDRA</t>
  </si>
  <si>
    <t>3175410555</t>
  </si>
  <si>
    <t>63487031</t>
  </si>
  <si>
    <t>MARTHA VALENCIA</t>
  </si>
  <si>
    <t>3154589422</t>
  </si>
  <si>
    <t>63482031</t>
  </si>
  <si>
    <t>3154584222</t>
  </si>
  <si>
    <t>63349015</t>
  </si>
  <si>
    <t>MARTHA VEGA</t>
  </si>
  <si>
    <t>3102758216</t>
  </si>
  <si>
    <t>2364017</t>
  </si>
  <si>
    <t>MARTINA PARRA</t>
  </si>
  <si>
    <t>3012038225</t>
  </si>
  <si>
    <t>1122268511</t>
  </si>
  <si>
    <t>MARTIZA PINTO</t>
  </si>
  <si>
    <t>37393207</t>
  </si>
  <si>
    <t>MARY HENAO</t>
  </si>
  <si>
    <t>3103480366</t>
  </si>
  <si>
    <t>1121220844</t>
  </si>
  <si>
    <t>MARYINE ANDREA ROJAS LEON</t>
  </si>
  <si>
    <t>35378739</t>
  </si>
  <si>
    <t>MARY LEILA OCAMPO CERQUERA</t>
  </si>
  <si>
    <t>3115955407</t>
  </si>
  <si>
    <t>63338752</t>
  </si>
  <si>
    <t>MARY LUZ JAIMES</t>
  </si>
  <si>
    <t>3134899664</t>
  </si>
  <si>
    <t>1006732593</t>
  </si>
  <si>
    <t>MARYURI ELIZABETH GONZALEZ</t>
  </si>
  <si>
    <t>1127050212</t>
  </si>
  <si>
    <t>MARYURI NATHALY GUILLEN RINCON</t>
  </si>
  <si>
    <t>3014121263</t>
  </si>
  <si>
    <t>1097497628</t>
  </si>
  <si>
    <t>MARYURY RODRIGUEZ</t>
  </si>
  <si>
    <t>3043100361</t>
  </si>
  <si>
    <t>18070085</t>
  </si>
  <si>
    <t>MATEO AHUANARI</t>
  </si>
  <si>
    <t>40150535</t>
  </si>
  <si>
    <t>MATILDE AHUE PEÑA</t>
  </si>
  <si>
    <t>1121199145</t>
  </si>
  <si>
    <t>MATILDE MANDUCA MANUEL</t>
  </si>
  <si>
    <t>15877675</t>
  </si>
  <si>
    <t>MATUSALEN RAMOS</t>
  </si>
  <si>
    <t>80352927</t>
  </si>
  <si>
    <t>Lider / 294</t>
  </si>
  <si>
    <t>MAURICIO ACEVEDO</t>
  </si>
  <si>
    <t>3188700708</t>
  </si>
  <si>
    <t>71184166</t>
  </si>
  <si>
    <t>MAURICIO CORREA</t>
  </si>
  <si>
    <t>3172316967</t>
  </si>
  <si>
    <t>BARR Santa Cruz</t>
  </si>
  <si>
    <t>1098711531</t>
  </si>
  <si>
    <t>MAURICIO DOMINGUEZ</t>
  </si>
  <si>
    <t>3219082721</t>
  </si>
  <si>
    <t>13569082</t>
  </si>
  <si>
    <t>MAURICIO MEJÍA ZAPATA</t>
  </si>
  <si>
    <t>3202346141</t>
  </si>
  <si>
    <t>1113153458</t>
  </si>
  <si>
    <t>MAXIMILIANO FALCON MANIHUARI</t>
  </si>
  <si>
    <t>1098721812</t>
  </si>
  <si>
    <t>MAYERLY CASTELLANOS</t>
  </si>
  <si>
    <t>3177535489</t>
  </si>
  <si>
    <t>1124292515</t>
  </si>
  <si>
    <t>MAYERLY RAMOS</t>
  </si>
  <si>
    <t>1122267297</t>
  </si>
  <si>
    <t>MAYNELY BASTOS</t>
  </si>
  <si>
    <t>1032938265</t>
  </si>
  <si>
    <t>MELANY PENA</t>
  </si>
  <si>
    <t>3504508126</t>
  </si>
  <si>
    <t>40176047</t>
  </si>
  <si>
    <t>MELBA ESTRELLA</t>
  </si>
  <si>
    <t>1098765825</t>
  </si>
  <si>
    <t>MELINA DIAZ</t>
  </si>
  <si>
    <t>3103258311</t>
  </si>
  <si>
    <t>1121219783</t>
  </si>
  <si>
    <t>MELISA CUELLAR</t>
  </si>
  <si>
    <t>1121207586</t>
  </si>
  <si>
    <t>MELQUICEDEC DIAZ</t>
  </si>
  <si>
    <t>38786270</t>
  </si>
  <si>
    <t>MERCEDES MARIN</t>
  </si>
  <si>
    <t>3167834738</t>
  </si>
  <si>
    <t>41056436</t>
  </si>
  <si>
    <t>MERCEDES PAREDES</t>
  </si>
  <si>
    <t>63446585</t>
  </si>
  <si>
    <t>MERCEDES RODRIGUEZ</t>
  </si>
  <si>
    <t>3173720236</t>
  </si>
  <si>
    <t>63307562</t>
  </si>
  <si>
    <t>MERY GARCIA</t>
  </si>
  <si>
    <t>3187733629</t>
  </si>
  <si>
    <t>1121134502</t>
  </si>
  <si>
    <t>MERY NORIEGA</t>
  </si>
  <si>
    <t>1121218960</t>
  </si>
  <si>
    <t>MICHAEL DIAZ</t>
  </si>
  <si>
    <t>1096253997</t>
  </si>
  <si>
    <t>Lider / 20</t>
  </si>
  <si>
    <t>MICHAELLE DAYANA SANCHEZ SILVA</t>
  </si>
  <si>
    <t>3125740389 / 3133687942</t>
  </si>
  <si>
    <t>Colegio Camilo Torres</t>
  </si>
  <si>
    <t>1098804712</t>
  </si>
  <si>
    <t>MICHELLE BARRERA OVIEDO</t>
  </si>
  <si>
    <t>3162426112 / 3208041159</t>
  </si>
  <si>
    <t>1122269874</t>
  </si>
  <si>
    <t>MICHEL VALERIO AHUE</t>
  </si>
  <si>
    <t>1006739750</t>
  </si>
  <si>
    <t>MICHEL ZAPATA</t>
  </si>
  <si>
    <t>91236980</t>
  </si>
  <si>
    <t>MIGUEL ANGEL SUAREZ</t>
  </si>
  <si>
    <t>3027143057</t>
  </si>
  <si>
    <t>91257350</t>
  </si>
  <si>
    <t>3229175940</t>
  </si>
  <si>
    <t>7343932</t>
  </si>
  <si>
    <t>MIGUEL FAJARDO CORREDOR</t>
  </si>
  <si>
    <t>13877336</t>
  </si>
  <si>
    <t>MIGUEL MARTINEZ</t>
  </si>
  <si>
    <t>6076990093</t>
  </si>
  <si>
    <t>91214623</t>
  </si>
  <si>
    <t>MIGUEL OROZCO</t>
  </si>
  <si>
    <t>3044779944</t>
  </si>
  <si>
    <t>13848235</t>
  </si>
  <si>
    <t>MIGUEL PEÑA HERRERA</t>
  </si>
  <si>
    <t>3022651248</t>
  </si>
  <si>
    <t>912364900</t>
  </si>
  <si>
    <t>MIGUEL SUAREZ</t>
  </si>
  <si>
    <t>3027430519</t>
  </si>
  <si>
    <t>8404244</t>
  </si>
  <si>
    <t>MIGUEL SUAREZ CUADO</t>
  </si>
  <si>
    <t>3018298749</t>
  </si>
  <si>
    <t>15886086</t>
  </si>
  <si>
    <t>MILCIADES NORIEGA</t>
  </si>
  <si>
    <t>1005176242</t>
  </si>
  <si>
    <t>MILLER ANDRES SIERRA CARREÑO</t>
  </si>
  <si>
    <t>3133470672</t>
  </si>
  <si>
    <t>BARR Planada Del Cerro</t>
  </si>
  <si>
    <t>1096230353</t>
  </si>
  <si>
    <t>MILLER PAEZ</t>
  </si>
  <si>
    <t>3209630128</t>
  </si>
  <si>
    <t>18051249</t>
  </si>
  <si>
    <t>MILTON COELLO AHUE</t>
  </si>
  <si>
    <t>1007462801</t>
  </si>
  <si>
    <t>MILTON JAIR ORJUELA CHAVES</t>
  </si>
  <si>
    <t>3152651171</t>
  </si>
  <si>
    <t>7167069</t>
  </si>
  <si>
    <t>MILTON ORJUELA PRIETO</t>
  </si>
  <si>
    <t>3214799669</t>
  </si>
  <si>
    <t>1385323</t>
  </si>
  <si>
    <t>MILTON RIAÑO</t>
  </si>
  <si>
    <t>3126479218</t>
  </si>
  <si>
    <t>63554695</t>
  </si>
  <si>
    <t>MIREYA NIEVES</t>
  </si>
  <si>
    <t>3156365957</t>
  </si>
  <si>
    <t>1121202394</t>
  </si>
  <si>
    <t>MIREYA NORIEGA</t>
  </si>
  <si>
    <t>1121200394</t>
  </si>
  <si>
    <t>1122266560</t>
  </si>
  <si>
    <t>MIRIAM MACHOA</t>
  </si>
  <si>
    <t>41702576</t>
  </si>
  <si>
    <t>MIRIAM PARENTE CURICO</t>
  </si>
  <si>
    <t>1121222324</t>
  </si>
  <si>
    <t>MIRIAM SALDAÑA</t>
  </si>
  <si>
    <t>27959506</t>
  </si>
  <si>
    <t>MIRIAN MUTIS</t>
  </si>
  <si>
    <t>6077807896</t>
  </si>
  <si>
    <t>112113933</t>
  </si>
  <si>
    <t>MIRTHA SIAS</t>
  </si>
  <si>
    <t>1095834862</t>
  </si>
  <si>
    <t>MONICA BUENAHORA</t>
  </si>
  <si>
    <t>63363151</t>
  </si>
  <si>
    <t>MONICA DUENAS CONTRERAS</t>
  </si>
  <si>
    <t>3105772479</t>
  </si>
  <si>
    <t>1121219886</t>
  </si>
  <si>
    <t>MONICA FLROES</t>
  </si>
  <si>
    <t>1095926657</t>
  </si>
  <si>
    <t>MONICA PEREZ</t>
  </si>
  <si>
    <t>3134616191</t>
  </si>
  <si>
    <t>1006190532</t>
  </si>
  <si>
    <t>MONICA QUINTERO</t>
  </si>
  <si>
    <t>3105811359</t>
  </si>
  <si>
    <t>1121214688</t>
  </si>
  <si>
    <t>MONICA SILVA</t>
  </si>
  <si>
    <t>1121201357</t>
  </si>
  <si>
    <t>NAIR IPUCHIMA</t>
  </si>
  <si>
    <t>37921115</t>
  </si>
  <si>
    <t>NANCI TRUJILLO</t>
  </si>
  <si>
    <t>3008185924</t>
  </si>
  <si>
    <t>COL LAS BETHLEMITAS</t>
  </si>
  <si>
    <t>31196943</t>
  </si>
  <si>
    <t>NANCY CALLEJAS</t>
  </si>
  <si>
    <t>3017619973</t>
  </si>
  <si>
    <t>Tulua</t>
  </si>
  <si>
    <t>I.E.A.L.P SEDE RUBEN CRUZ VELEZ</t>
  </si>
  <si>
    <t>63504693</t>
  </si>
  <si>
    <t>NANCY NARIÑO</t>
  </si>
  <si>
    <t>3123050937</t>
  </si>
  <si>
    <t>ORDEN DE LOS CLÉRIGOS REG SOMASCOS</t>
  </si>
  <si>
    <t>6000983599</t>
  </si>
  <si>
    <t>NANCY SANTOS</t>
  </si>
  <si>
    <t>1121202545</t>
  </si>
  <si>
    <t>NANCY YASMIN AUGUSTO FOMSECA</t>
  </si>
  <si>
    <t>41055057</t>
  </si>
  <si>
    <t>NANITA RAMOS MARTINEZ</t>
  </si>
  <si>
    <t>1098711271</t>
  </si>
  <si>
    <t>NATALIA CAROLINA ESTEVES CACERES</t>
  </si>
  <si>
    <t>3182190616</t>
  </si>
  <si>
    <t>Cucuta</t>
  </si>
  <si>
    <t>COL JULIO PEREZ FERRERO</t>
  </si>
  <si>
    <t>1097099018</t>
  </si>
  <si>
    <t>NATALIA JEREZ CORREA</t>
  </si>
  <si>
    <t>3243883192</t>
  </si>
  <si>
    <t>1121446895</t>
  </si>
  <si>
    <t>NATALIA OSORIO</t>
  </si>
  <si>
    <t>1098778523</t>
  </si>
  <si>
    <t>NATALIA PAREDES MANTILLA</t>
  </si>
  <si>
    <t>3168729494</t>
  </si>
  <si>
    <t>Los Santos</t>
  </si>
  <si>
    <t>1143840818</t>
  </si>
  <si>
    <t>NATALIA SUAREZ SANIN</t>
  </si>
  <si>
    <t>3152948917</t>
  </si>
  <si>
    <t>COLEGIO HISPANOAMERICANO</t>
  </si>
  <si>
    <t>1072194795</t>
  </si>
  <si>
    <t>NATIVIDAD NIETO</t>
  </si>
  <si>
    <t>3225520420</t>
  </si>
  <si>
    <t>Sibate</t>
  </si>
  <si>
    <t xml:space="preserve"> IED GRAL SANTANDER SEDE PRIMARIA</t>
  </si>
  <si>
    <t>73021427</t>
  </si>
  <si>
    <t>NEHEMIAS LOZANO</t>
  </si>
  <si>
    <t>3012374900</t>
  </si>
  <si>
    <t>1006876176</t>
  </si>
  <si>
    <t>NEIDER GRANADOS</t>
  </si>
  <si>
    <t>3027297170</t>
  </si>
  <si>
    <t>Villavicencio</t>
  </si>
  <si>
    <t xml:space="preserve"> IE LICEO MAYOR JAIME TRIANA RESTREPO</t>
  </si>
  <si>
    <t>41414808</t>
  </si>
  <si>
    <t>NELLY GARCIA SERRANO</t>
  </si>
  <si>
    <t>3133634022</t>
  </si>
  <si>
    <t>CENTRO CRECER</t>
  </si>
  <si>
    <t>40175608</t>
  </si>
  <si>
    <t>NELLY MARIA MANUEL</t>
  </si>
  <si>
    <t>52070646</t>
  </si>
  <si>
    <t>NELLY OSPINA FRANCO</t>
  </si>
  <si>
    <t>COLEGIO NUEVA CASTILLA</t>
  </si>
  <si>
    <t>1121199394</t>
  </si>
  <si>
    <t>NELLY RUBI GUERRA SIQUIBA</t>
  </si>
  <si>
    <t>1131534304</t>
  </si>
  <si>
    <t>NELLY TORRES</t>
  </si>
  <si>
    <t>1092342509</t>
  </si>
  <si>
    <t>NELSON DANIELA GRAJALES GUTIERREZ</t>
  </si>
  <si>
    <t>MEGA COLEGIO  LA FRONTERA</t>
  </si>
  <si>
    <t>1026277711</t>
  </si>
  <si>
    <t>NELSON RODRIGUEZ</t>
  </si>
  <si>
    <t>3167031004</t>
  </si>
  <si>
    <t>SALON COMUNAL SANTA ISABEL</t>
  </si>
  <si>
    <t>91256337</t>
  </si>
  <si>
    <t>NELSON SOLER</t>
  </si>
  <si>
    <t>3123607162</t>
  </si>
  <si>
    <t>INSTITUTO LA CUMBRE</t>
  </si>
  <si>
    <t>1006784843</t>
  </si>
  <si>
    <t>NERCY OLIVEIRA</t>
  </si>
  <si>
    <t>28069693</t>
  </si>
  <si>
    <t>NERLY YEPEZ CAMAÑO</t>
  </si>
  <si>
    <t>3202738384</t>
  </si>
  <si>
    <t>BARR Kennedy</t>
  </si>
  <si>
    <t>1096800079</t>
  </si>
  <si>
    <t>NESTOR FABIAN GARCIA</t>
  </si>
  <si>
    <t>3019554611</t>
  </si>
  <si>
    <t>DIEGO HDEZ DE GALLEGOS SEDE E</t>
  </si>
  <si>
    <t>1122267965</t>
  </si>
  <si>
    <t>NESTOR MARCIANO COELLO MORENO</t>
  </si>
  <si>
    <t>1097183504</t>
  </si>
  <si>
    <t>NEYLEN TARIFA</t>
  </si>
  <si>
    <t>3021246819</t>
  </si>
  <si>
    <t>COL JUAN FRANCISCO SARASTI MEGACOLEGIO</t>
  </si>
  <si>
    <t>37876012</t>
  </si>
  <si>
    <t>NIBIA PARRA</t>
  </si>
  <si>
    <t>3170770374</t>
  </si>
  <si>
    <t>IE JOAQUIN PARIS</t>
  </si>
  <si>
    <t>1000143239</t>
  </si>
  <si>
    <t>NICOLAS CARREÑO LOPEZ</t>
  </si>
  <si>
    <t>3004797232</t>
  </si>
  <si>
    <t>COLEGIO SAN FRANCISCO CL 186</t>
  </si>
  <si>
    <t>1005450678</t>
  </si>
  <si>
    <t>NICOLAS FORERO</t>
  </si>
  <si>
    <t>3143914406</t>
  </si>
  <si>
    <t xml:space="preserve"> COL LA PRESENTACION</t>
  </si>
  <si>
    <t>1028482994</t>
  </si>
  <si>
    <t>NICOLAS GARCIA</t>
  </si>
  <si>
    <t>3016034134</t>
  </si>
  <si>
    <t xml:space="preserve"> BOSQUE POPULAR</t>
  </si>
  <si>
    <t>15886795</t>
  </si>
  <si>
    <t>NICOLAS PARENTE</t>
  </si>
  <si>
    <t>1098780424</t>
  </si>
  <si>
    <t>NICOLE QUINTERO</t>
  </si>
  <si>
    <t>3043396502</t>
  </si>
  <si>
    <t>1006732212</t>
  </si>
  <si>
    <t>NICOL PLAZAS</t>
  </si>
  <si>
    <t>41060646</t>
  </si>
  <si>
    <t>NIDIA ARIMUYA</t>
  </si>
  <si>
    <t>1122267210</t>
  </si>
  <si>
    <t>NIDIA STELLA PEÑA AHUE</t>
  </si>
  <si>
    <t>1005321386</t>
  </si>
  <si>
    <t>NIKOL GAMBOA</t>
  </si>
  <si>
    <t>3244507992</t>
  </si>
  <si>
    <t>1098797004</t>
  </si>
  <si>
    <t>NIKOL JULIANA GUTIERREZ GOMEZ</t>
  </si>
  <si>
    <t>3113087403</t>
  </si>
  <si>
    <t xml:space="preserve"> INSTITUTO JOSE ANTONIO GALAN SEDE B</t>
  </si>
  <si>
    <t>40179467</t>
  </si>
  <si>
    <t>NILA DA SILVA</t>
  </si>
  <si>
    <t>1122266789</t>
  </si>
  <si>
    <t>NILO PALOMA VALERIO</t>
  </si>
  <si>
    <t>1125878071</t>
  </si>
  <si>
    <t>NILSON RODRIGUEZ</t>
  </si>
  <si>
    <t>1121218715</t>
  </si>
  <si>
    <t>NILSON SILVA MARTIN</t>
  </si>
  <si>
    <t>63348393</t>
  </si>
  <si>
    <t>NINFA GUERRERO</t>
  </si>
  <si>
    <t>3173067634</t>
  </si>
  <si>
    <t>1125472883</t>
  </si>
  <si>
    <t>NIVER REYES</t>
  </si>
  <si>
    <t>1006784210</t>
  </si>
  <si>
    <t>NIXON GOMEZ KAN</t>
  </si>
  <si>
    <t>60363056</t>
  </si>
  <si>
    <t>NOHEMI HENAO</t>
  </si>
  <si>
    <t>3102978968</t>
  </si>
  <si>
    <t>15890165</t>
  </si>
  <si>
    <t>NOLBERTO HERNANDEZ</t>
  </si>
  <si>
    <t>41056382</t>
  </si>
  <si>
    <t>NOLY APAGUEÑO</t>
  </si>
  <si>
    <t>1193068567</t>
  </si>
  <si>
    <t>NORA YUCUNA</t>
  </si>
  <si>
    <t>1006784142</t>
  </si>
  <si>
    <t>NORJA JADIT SUAREZ VALERIO</t>
  </si>
  <si>
    <t>69801615</t>
  </si>
  <si>
    <t>NORMA MONTAÑA</t>
  </si>
  <si>
    <t>37182621</t>
  </si>
  <si>
    <t>NOYRA DURAN</t>
  </si>
  <si>
    <t>3219863404</t>
  </si>
  <si>
    <t>60420673</t>
  </si>
  <si>
    <t>NUBIA CONTRERAS BLANCO</t>
  </si>
  <si>
    <t>3118143999</t>
  </si>
  <si>
    <t>COL NUESTRA SEÑORA DEL ROSARIO</t>
  </si>
  <si>
    <t>1006762828</t>
  </si>
  <si>
    <t>NUBIA DIONICIO QUIRINO</t>
  </si>
  <si>
    <t>1129507817</t>
  </si>
  <si>
    <t>ODINIS PONCE RODELO</t>
  </si>
  <si>
    <t>3014670273</t>
  </si>
  <si>
    <t>Soledad</t>
  </si>
  <si>
    <t>BARR Manuela Beltran</t>
  </si>
  <si>
    <t xml:space="preserve"> INSTITUTO LUIS SANCHEZ PORTO</t>
  </si>
  <si>
    <t>65566134</t>
  </si>
  <si>
    <t>OLEGARIO SANCHEZ</t>
  </si>
  <si>
    <t>41693794</t>
  </si>
  <si>
    <t>OLGA ESPERANZA PULIDO</t>
  </si>
  <si>
    <t>3002843928</t>
  </si>
  <si>
    <t>CARULLA 140</t>
  </si>
  <si>
    <t>51938247</t>
  </si>
  <si>
    <t>OLGA LUCIA MARTINEZ</t>
  </si>
  <si>
    <t>3212032133</t>
  </si>
  <si>
    <t>51611440</t>
  </si>
  <si>
    <t>OLGA LUCIA RAMIREZ PALOMINO</t>
  </si>
  <si>
    <t>3124651016</t>
  </si>
  <si>
    <t>QUIRIGUA</t>
  </si>
  <si>
    <t>52088187</t>
  </si>
  <si>
    <t>OLGA LUCIA TORRES</t>
  </si>
  <si>
    <t>3132088187</t>
  </si>
  <si>
    <t>CENTRO COMERCIAL CEDRITOS 151</t>
  </si>
  <si>
    <t>43528044</t>
  </si>
  <si>
    <t>OLGA LUCIA ZAPATA</t>
  </si>
  <si>
    <t>3167593285</t>
  </si>
  <si>
    <t>SECRETARIA DE OBRAS PUBLICAS DE ENVIGADO</t>
  </si>
  <si>
    <t>26636302</t>
  </si>
  <si>
    <t>OLGA MONTENEGRO</t>
  </si>
  <si>
    <t>57925855</t>
  </si>
  <si>
    <t>OLIVERIO HERNANDEZ</t>
  </si>
  <si>
    <t>3174126900</t>
  </si>
  <si>
    <t>No se encuentra cedula en el censo</t>
  </si>
  <si>
    <t>1121213480</t>
  </si>
  <si>
    <t>OMAR BARRIOS</t>
  </si>
  <si>
    <t>1005150203</t>
  </si>
  <si>
    <t>OMAR FELIPE MORALES MANTILLA</t>
  </si>
  <si>
    <t>3153577106</t>
  </si>
  <si>
    <t>1121219072</t>
  </si>
  <si>
    <t>OMAR FIGUEREDO FLOREZ</t>
  </si>
  <si>
    <t>13885415</t>
  </si>
  <si>
    <t>OMAR GABRIEL ESTRADA RUEDA</t>
  </si>
  <si>
    <t>3174784215</t>
  </si>
  <si>
    <t>1005337836</t>
  </si>
  <si>
    <t>OMAR JULIAN</t>
  </si>
  <si>
    <t>3044184674</t>
  </si>
  <si>
    <t>1098791114</t>
  </si>
  <si>
    <t>OMAR MORALES</t>
  </si>
  <si>
    <t>3165764204</t>
  </si>
  <si>
    <t xml:space="preserve"> CEN DE SERVICIOS UNIVERSITARIOS CSU UNAB</t>
  </si>
  <si>
    <t>79462901</t>
  </si>
  <si>
    <t>OMAR ORLANDO QUINTERO HERRERA</t>
  </si>
  <si>
    <t>3177603838</t>
  </si>
  <si>
    <t>MODELIA SUR</t>
  </si>
  <si>
    <t>1005325370</t>
  </si>
  <si>
    <t>OMAR STEVEN AMOROCHO CASTRO</t>
  </si>
  <si>
    <t>3168589326</t>
  </si>
  <si>
    <t>INST LUIS CARLOS GALAN SEDE D</t>
  </si>
  <si>
    <t>1095788424</t>
  </si>
  <si>
    <t>OMAR VEGA</t>
  </si>
  <si>
    <t>3158204345</t>
  </si>
  <si>
    <t xml:space="preserve"> INSTITUTO FE Y ALEGRIA</t>
  </si>
  <si>
    <t>1121211565</t>
  </si>
  <si>
    <t>ORBES ZIAS</t>
  </si>
  <si>
    <t>1099734309</t>
  </si>
  <si>
    <t>ORLANDO ARENILLA</t>
  </si>
  <si>
    <t>3142586878</t>
  </si>
  <si>
    <t>1096182231</t>
  </si>
  <si>
    <t>ORLANDO MONTERO</t>
  </si>
  <si>
    <t>3124972367</t>
  </si>
  <si>
    <t>INST TEC SUP. DE COMERCIO SD C LA BELEN</t>
  </si>
  <si>
    <t>1122268519</t>
  </si>
  <si>
    <t>ORLANDO OLIVEIRA PEREIRA</t>
  </si>
  <si>
    <t>51783289</t>
  </si>
  <si>
    <t>ORLINDA MONTOYA</t>
  </si>
  <si>
    <t>3132771309</t>
  </si>
  <si>
    <t>El colegio</t>
  </si>
  <si>
    <t xml:space="preserve"> EL TRIUNFO</t>
  </si>
  <si>
    <t>1095788200</t>
  </si>
  <si>
    <t>OSCAR CASTRO QUINTERO</t>
  </si>
  <si>
    <t>3212519160</t>
  </si>
  <si>
    <t>Palmar</t>
  </si>
  <si>
    <t>1006784796</t>
  </si>
  <si>
    <t>OSCAR COELLO MORENO</t>
  </si>
  <si>
    <t>13375527</t>
  </si>
  <si>
    <t>OSCAR CONTRERAS</t>
  </si>
  <si>
    <t>3015992332</t>
  </si>
  <si>
    <t>91292400</t>
  </si>
  <si>
    <t>OSCAR FERNANDO NINO PINZON</t>
  </si>
  <si>
    <t>3108880593</t>
  </si>
  <si>
    <t>98378641</t>
  </si>
  <si>
    <t>OSCAR GIOVANNY ROSERO BURBANO</t>
  </si>
  <si>
    <t>3232522173</t>
  </si>
  <si>
    <t>BARR La Floresta</t>
  </si>
  <si>
    <t>75073528</t>
  </si>
  <si>
    <t>OSCAR GONZALEZ</t>
  </si>
  <si>
    <t>3176681741</t>
  </si>
  <si>
    <t>91510368</t>
  </si>
  <si>
    <t>OSCAR HERNANDEZ</t>
  </si>
  <si>
    <t>3123867062</t>
  </si>
  <si>
    <t>1097095815</t>
  </si>
  <si>
    <t>OSCAR IVAN MENDEZ</t>
  </si>
  <si>
    <t>3167032964</t>
  </si>
  <si>
    <t>1094266992</t>
  </si>
  <si>
    <t>OSCAR MORA</t>
  </si>
  <si>
    <t>E PROVENZA</t>
  </si>
  <si>
    <t>1098659402</t>
  </si>
  <si>
    <t>OSCAR NIÑO</t>
  </si>
  <si>
    <t>3168813868</t>
  </si>
  <si>
    <t>91539846</t>
  </si>
  <si>
    <t>OSCAR RENGIFO</t>
  </si>
  <si>
    <t>3229572131</t>
  </si>
  <si>
    <t>91297157</t>
  </si>
  <si>
    <t>OSCAR RIOS</t>
  </si>
  <si>
    <t>3134233449</t>
  </si>
  <si>
    <t>BARR La Concordia</t>
  </si>
  <si>
    <t>COL DE LAS AMERICAS</t>
  </si>
  <si>
    <t>13870476</t>
  </si>
  <si>
    <t>OSCAR SEGURA</t>
  </si>
  <si>
    <t>3165137528</t>
  </si>
  <si>
    <t>C.NTR.SRA.DE LAS MERCEDES SA</t>
  </si>
  <si>
    <t>1148960039</t>
  </si>
  <si>
    <t>OSCAR VASQUEZ</t>
  </si>
  <si>
    <t>63463684</t>
  </si>
  <si>
    <t>Lider / 17</t>
  </si>
  <si>
    <t>OSIRIS ORTEGA MONTOYA</t>
  </si>
  <si>
    <t>3142878284</t>
  </si>
  <si>
    <t>BARR Progreso</t>
  </si>
  <si>
    <t>18051265</t>
  </si>
  <si>
    <t>OSMAR MARTIN AHUE COELLO</t>
  </si>
  <si>
    <t>17032508</t>
  </si>
  <si>
    <t>OSWALDO AVILA MARTINEZ</t>
  </si>
  <si>
    <t>17340423</t>
  </si>
  <si>
    <t>OSWALDO ERASMO AVILA</t>
  </si>
  <si>
    <t>63463227</t>
  </si>
  <si>
    <t>OTILIA RASERO PAREJA</t>
  </si>
  <si>
    <t>3213086527</t>
  </si>
  <si>
    <t>BARR Terrazas Del Puerto</t>
  </si>
  <si>
    <t>1130592064</t>
  </si>
  <si>
    <t>PABLO ANDRES ESCOBAR VALENCIA</t>
  </si>
  <si>
    <t>3022542130</t>
  </si>
  <si>
    <t>ESC. URBANA JOSE CELESTINO MUTIS No 31</t>
  </si>
  <si>
    <t>15878842</t>
  </si>
  <si>
    <t>PABLO FANOR</t>
  </si>
  <si>
    <t>15885850</t>
  </si>
  <si>
    <t>PABLO MORENO</t>
  </si>
  <si>
    <t>1098639738</t>
  </si>
  <si>
    <t>PAOLA ANDREA POVEDA</t>
  </si>
  <si>
    <t>3153382193</t>
  </si>
  <si>
    <t>: COL NUESTRA SEÑORA DE FATIMA</t>
  </si>
  <si>
    <t>1098687469</t>
  </si>
  <si>
    <t>PAOLA JAIMES</t>
  </si>
  <si>
    <t>3155076861</t>
  </si>
  <si>
    <t>1126586802</t>
  </si>
  <si>
    <t>PAOLA NUÑEZ</t>
  </si>
  <si>
    <t>3054701407</t>
  </si>
  <si>
    <t xml:space="preserve"> GIMNASIO CAMPESTRE SAN SEBASTIAN</t>
  </si>
  <si>
    <t>40177056</t>
  </si>
  <si>
    <t>PASTORA MOSACO</t>
  </si>
  <si>
    <t>15887366</t>
  </si>
  <si>
    <t>PASTOR VALDERRAMA</t>
  </si>
  <si>
    <t>1121446529</t>
  </si>
  <si>
    <t>PATRICIA SALDAÑA</t>
  </si>
  <si>
    <t>1101682221</t>
  </si>
  <si>
    <t>PAULA ALEJANDRA RINCON RUEDA</t>
  </si>
  <si>
    <t>3153088087</t>
  </si>
  <si>
    <t>1098627263</t>
  </si>
  <si>
    <t>PAULA ANDREA BARRERA SILVA</t>
  </si>
  <si>
    <t>3223799970</t>
  </si>
  <si>
    <t>1091357240</t>
  </si>
  <si>
    <t>PAULA ANDREA RAMIREZ</t>
  </si>
  <si>
    <t>3115800463</t>
  </si>
  <si>
    <t xml:space="preserve"> I.E.EL RODEO</t>
  </si>
  <si>
    <t>1095826916</t>
  </si>
  <si>
    <t>PAULA ANDREA TOLOZA GARCIA</t>
  </si>
  <si>
    <t>3188623053</t>
  </si>
  <si>
    <t>41058685</t>
  </si>
  <si>
    <t>PAULA CANDRE</t>
  </si>
  <si>
    <t>1005290307</t>
  </si>
  <si>
    <t>PAULA CASTRO</t>
  </si>
  <si>
    <t>3164536688</t>
  </si>
  <si>
    <t>1123088731</t>
  </si>
  <si>
    <t>PAULA PERALTA</t>
  </si>
  <si>
    <t>3209690359</t>
  </si>
  <si>
    <t>Guamal</t>
  </si>
  <si>
    <t>BARR Villa Maria</t>
  </si>
  <si>
    <t>1122268379</t>
  </si>
  <si>
    <t>PEDRO CURICO AHUE</t>
  </si>
  <si>
    <t>91448161</t>
  </si>
  <si>
    <t>PEDRO DIAZ</t>
  </si>
  <si>
    <t>3046700198</t>
  </si>
  <si>
    <t>1121219885</t>
  </si>
  <si>
    <t>PEDRO FLORES</t>
  </si>
  <si>
    <t>1121207371</t>
  </si>
  <si>
    <t>PEDRO IPUCHIMA</t>
  </si>
  <si>
    <t>78747552</t>
  </si>
  <si>
    <t>PEDRO JOSE NIEVES MARTINEZ</t>
  </si>
  <si>
    <t xml:space="preserve"> CENSO - COLEGIO LA SALLE</t>
  </si>
  <si>
    <t>1121213935</t>
  </si>
  <si>
    <t>PEDRO ORACO</t>
  </si>
  <si>
    <t>5674142</t>
  </si>
  <si>
    <t>PEDRO SANCHEZ</t>
  </si>
  <si>
    <t>3224628247</t>
  </si>
  <si>
    <t>BARR Los Canelos</t>
  </si>
  <si>
    <t>28296315</t>
  </si>
  <si>
    <t>PERPETUA ARDILA</t>
  </si>
  <si>
    <t>3043138353</t>
  </si>
  <si>
    <t>COL CEDECO</t>
  </si>
  <si>
    <t>26965839</t>
  </si>
  <si>
    <t>POLARIS MELO DE RESTREPO</t>
  </si>
  <si>
    <t>3166563703</t>
  </si>
  <si>
    <t>79308421</t>
  </si>
  <si>
    <t>RAFAEL ANTONIO PALMAR CELIS</t>
  </si>
  <si>
    <t>3022571853</t>
  </si>
  <si>
    <t>LAS AMERICAS SEDE A</t>
  </si>
  <si>
    <t>40178697</t>
  </si>
  <si>
    <t>RAFAELA VARGAS</t>
  </si>
  <si>
    <t>1097782563</t>
  </si>
  <si>
    <t>RAFAEL FABIAN</t>
  </si>
  <si>
    <t>3177606645</t>
  </si>
  <si>
    <t>13543169</t>
  </si>
  <si>
    <t>RAFAEL OGLIASTRI QUIJANO</t>
  </si>
  <si>
    <t>3112281107</t>
  </si>
  <si>
    <t>13748154</t>
  </si>
  <si>
    <t>RAFAEL PINILLA JAIMES</t>
  </si>
  <si>
    <t>3167422641</t>
  </si>
  <si>
    <t>40176889</t>
  </si>
  <si>
    <t>RAIMUNDA ALVES</t>
  </si>
  <si>
    <t>40170143</t>
  </si>
  <si>
    <t>RAIMUNDA YUCUNA</t>
  </si>
  <si>
    <t>1006784217</t>
  </si>
  <si>
    <t>RAMELIS BENITEZ</t>
  </si>
  <si>
    <t>17628769</t>
  </si>
  <si>
    <t>RAMIRO ENCINALES</t>
  </si>
  <si>
    <t>13883477</t>
  </si>
  <si>
    <t>RAUL HUGO RODRIGUEZ RANGEL</t>
  </si>
  <si>
    <t>3164675122</t>
  </si>
  <si>
    <t>IE INFANTAS</t>
  </si>
  <si>
    <t>19451176</t>
  </si>
  <si>
    <t>RAUL MUSTAFA FIERRO</t>
  </si>
  <si>
    <t>3226506394</t>
  </si>
  <si>
    <t>COLEGIO DISTRITAL DIANA TURBAY SEDE B</t>
  </si>
  <si>
    <t>15886410</t>
  </si>
  <si>
    <t>RAUL RAMOS</t>
  </si>
  <si>
    <t>1131544950</t>
  </si>
  <si>
    <t>91489024</t>
  </si>
  <si>
    <t>RAULR RODRIGUEZ GUALDRON</t>
  </si>
  <si>
    <t>3186201729</t>
  </si>
  <si>
    <t>COL LICEO NUEVA GENERACION</t>
  </si>
  <si>
    <t>410593339</t>
  </si>
  <si>
    <t>REGINA FRANCELINO</t>
  </si>
  <si>
    <t>72004216</t>
  </si>
  <si>
    <t>REINALDO BERMUDEZ SIERRA</t>
  </si>
  <si>
    <t>3165756879</t>
  </si>
  <si>
    <t>DIEGO HDEZ DE GALLEGOS SD G LA FLORESTA</t>
  </si>
  <si>
    <t>13802907</t>
  </si>
  <si>
    <t>REINALDO PALACIOS</t>
  </si>
  <si>
    <t>cedula no se encuentra en el censo</t>
  </si>
  <si>
    <t>18223475</t>
  </si>
  <si>
    <t>REINALDO RODRIGUEZ</t>
  </si>
  <si>
    <t>1122267495</t>
  </si>
  <si>
    <t>RENE PEREIRA PEÑA</t>
  </si>
  <si>
    <t>91516658</t>
  </si>
  <si>
    <t>REYNALDO ACEVEDO CARDENAS</t>
  </si>
  <si>
    <t>3205896499</t>
  </si>
  <si>
    <t>UNIVERSIDAD ANTONIO NARIÑO</t>
  </si>
  <si>
    <t>1192715367</t>
  </si>
  <si>
    <t>RICARDO AHUE</t>
  </si>
  <si>
    <t>1096228070</t>
  </si>
  <si>
    <t>RICARDO ANDRES TRIANA CARDENAS</t>
  </si>
  <si>
    <t>3187947383</t>
  </si>
  <si>
    <t>BARR Ciudad Bolivar</t>
  </si>
  <si>
    <t>COL JOSE ANTONIO GALAN</t>
  </si>
  <si>
    <t>1196226055</t>
  </si>
  <si>
    <t>RICARDO AURELIO MADERA POLANCO</t>
  </si>
  <si>
    <t>3127193476</t>
  </si>
  <si>
    <t>1013614846</t>
  </si>
  <si>
    <t>RICARDO JARAMILLO</t>
  </si>
  <si>
    <t>3134154213</t>
  </si>
  <si>
    <t>LOS SAUCES</t>
  </si>
  <si>
    <t>1096249079</t>
  </si>
  <si>
    <t>RICARDO PATIÑO</t>
  </si>
  <si>
    <t>3167675562</t>
  </si>
  <si>
    <t>1096211231</t>
  </si>
  <si>
    <t>RICARDO SALAS URIBE</t>
  </si>
  <si>
    <t>3102819519</t>
  </si>
  <si>
    <t>BARR Altos De Israel</t>
  </si>
  <si>
    <t xml:space="preserve"> IE INFANTAS SEDE MIRAMAR</t>
  </si>
  <si>
    <t>1122269080</t>
  </si>
  <si>
    <t>RICHARD NIXON COELLO AHUE</t>
  </si>
  <si>
    <t>1098812633</t>
  </si>
  <si>
    <t>RICK GEOVANNY LINARES</t>
  </si>
  <si>
    <t>3156097867</t>
  </si>
  <si>
    <t>INST DE PROM SOC DEL NORTE SEDE A</t>
  </si>
  <si>
    <t>40177991</t>
  </si>
  <si>
    <t>RITA ALBA</t>
  </si>
  <si>
    <t>1006784760</t>
  </si>
  <si>
    <t>RITA SILVA</t>
  </si>
  <si>
    <t>1006784639</t>
  </si>
  <si>
    <t>ROBERT ARTURS RAMOS RIOS</t>
  </si>
  <si>
    <t>1098749513</t>
  </si>
  <si>
    <t>ROBERT IVAN</t>
  </si>
  <si>
    <t>3163519220</t>
  </si>
  <si>
    <t>15890106</t>
  </si>
  <si>
    <t>ROBERTO ELVIRA</t>
  </si>
  <si>
    <t>79544485</t>
  </si>
  <si>
    <t>ROBERTO RUIZ MUÑOZ</t>
  </si>
  <si>
    <t>3115478885</t>
  </si>
  <si>
    <t>BOLIVIA</t>
  </si>
  <si>
    <t>91443382</t>
  </si>
  <si>
    <t>ROBINSON ALDANA ROMERO</t>
  </si>
  <si>
    <t>3016195884</t>
  </si>
  <si>
    <t xml:space="preserve"> INST TEC SUP. INDUST. SD E GRAL CORDOBA</t>
  </si>
  <si>
    <t>1121206377</t>
  </si>
  <si>
    <t>ROCIO ARIRAMA</t>
  </si>
  <si>
    <t>51895692</t>
  </si>
  <si>
    <t>ROCIO BUSTOS RIVEROS</t>
  </si>
  <si>
    <t>3235737547</t>
  </si>
  <si>
    <t>40179290</t>
  </si>
  <si>
    <t>ROCIO CASTILLO</t>
  </si>
  <si>
    <t>40178217</t>
  </si>
  <si>
    <t>ROCIO FILO</t>
  </si>
  <si>
    <t>91262477</t>
  </si>
  <si>
    <t>RODOLFO EDUARDO JAIMES</t>
  </si>
  <si>
    <t>3158867740</t>
  </si>
  <si>
    <t>: COL SAN PEDRITO</t>
  </si>
  <si>
    <t>1122266334</t>
  </si>
  <si>
    <t>RODOLFO MACEDO AHUE</t>
  </si>
  <si>
    <t>7336011</t>
  </si>
  <si>
    <t>RODOLFO PARRA</t>
  </si>
  <si>
    <t>3167422817</t>
  </si>
  <si>
    <t>Saragoa</t>
  </si>
  <si>
    <t>18050490</t>
  </si>
  <si>
    <t>ROGELIO COELLO CERRON</t>
  </si>
  <si>
    <t>13850227</t>
  </si>
  <si>
    <t>ROGELIO OVIEDO SIERRA</t>
  </si>
  <si>
    <t>3246838568</t>
  </si>
  <si>
    <t>BARR Los Corales</t>
  </si>
  <si>
    <t>15877549</t>
  </si>
  <si>
    <t>ROLIN GERSON YUNCA</t>
  </si>
  <si>
    <t>13853346</t>
  </si>
  <si>
    <t>RONALD ARDILA</t>
  </si>
  <si>
    <t>3011188245</t>
  </si>
  <si>
    <t>37723876</t>
  </si>
  <si>
    <t>RONAL ORTIZ</t>
  </si>
  <si>
    <t>3337179430</t>
  </si>
  <si>
    <t>63447579</t>
  </si>
  <si>
    <t>ROSA BAUTISTA</t>
  </si>
  <si>
    <t>3185741549</t>
  </si>
  <si>
    <t>INSTITUTO DOMINGO SABIO</t>
  </si>
  <si>
    <t>633443763</t>
  </si>
  <si>
    <t>ROSA CABALLERO</t>
  </si>
  <si>
    <t>3168004706</t>
  </si>
  <si>
    <t>Cedula no se encuentra en el censo</t>
  </si>
  <si>
    <t>63430633</t>
  </si>
  <si>
    <t>ROSALBA HERNANDEZ</t>
  </si>
  <si>
    <t>3112797185</t>
  </si>
  <si>
    <t>COLEGIO JOSE ELIAS PUYANA SEDE C</t>
  </si>
  <si>
    <t>1121220824</t>
  </si>
  <si>
    <t>ROSALBA PINTO</t>
  </si>
  <si>
    <t>28168226</t>
  </si>
  <si>
    <t>ROSALIA PICO POVEDA</t>
  </si>
  <si>
    <t>3108769830</t>
  </si>
  <si>
    <t>41363697</t>
  </si>
  <si>
    <t>ROSA MARIA DUARTE</t>
  </si>
  <si>
    <t>3177876501</t>
  </si>
  <si>
    <t>1121208821</t>
  </si>
  <si>
    <t>ROSA MONTES</t>
  </si>
  <si>
    <t>27964685</t>
  </si>
  <si>
    <t>ROSAURA CASTILLO DE DIAZ</t>
  </si>
  <si>
    <t>3235374475</t>
  </si>
  <si>
    <t>El Guacamayo</t>
  </si>
  <si>
    <t>1122270280</t>
  </si>
  <si>
    <t>ROSLENY PEÑA AHUE</t>
  </si>
  <si>
    <t>1122268056</t>
  </si>
  <si>
    <t>ROSY MACEDO</t>
  </si>
  <si>
    <t>15875806</t>
  </si>
  <si>
    <t>ROUMALDO CURICO</t>
  </si>
  <si>
    <t>91244113</t>
  </si>
  <si>
    <t>RUBEN ACEVEDO</t>
  </si>
  <si>
    <t>3185287261</t>
  </si>
  <si>
    <t xml:space="preserve"> COLEGIO COMFANDI</t>
  </si>
  <si>
    <t>1007472470</t>
  </si>
  <si>
    <t>RUBEN DARIO SILVA</t>
  </si>
  <si>
    <t>4451941</t>
  </si>
  <si>
    <t>RUBEN ECHEVERRY</t>
  </si>
  <si>
    <t>18910654</t>
  </si>
  <si>
    <t>RUBEN SARMIENTO</t>
  </si>
  <si>
    <t>41059294</t>
  </si>
  <si>
    <t>RUBIELA SAMPAYO</t>
  </si>
  <si>
    <t>51729145</t>
  </si>
  <si>
    <t>RUBY ESTER VELEZ RUZ</t>
  </si>
  <si>
    <t>3214005434</t>
  </si>
  <si>
    <t>COL CUMBRES</t>
  </si>
  <si>
    <t>52210503</t>
  </si>
  <si>
    <t>RUBY PATRICIA BUSTOS RIVEROS</t>
  </si>
  <si>
    <t>41060487</t>
  </si>
  <si>
    <t>RUBY SINARAGUA</t>
  </si>
  <si>
    <t>1051475179</t>
  </si>
  <si>
    <t>RUCHARD PEÑARANDA CASTILLO</t>
  </si>
  <si>
    <t>Aquitania</t>
  </si>
  <si>
    <t>IET RAMON IGNACIO AVELLA PRIMARIA URBANA</t>
  </si>
  <si>
    <t>1131534476</t>
  </si>
  <si>
    <t>RUDY MARAPARA</t>
  </si>
  <si>
    <t>40145109</t>
  </si>
  <si>
    <t>RUTH CUELLAR QUINTERO</t>
  </si>
  <si>
    <t>37921415</t>
  </si>
  <si>
    <t>RUTH LEON</t>
  </si>
  <si>
    <t>3166475681</t>
  </si>
  <si>
    <t xml:space="preserve"> UNIVERSIDAD AUTONOMA DE BUCARAMANGA</t>
  </si>
  <si>
    <t>1098758825</t>
  </si>
  <si>
    <t>RUTH PEREZ</t>
  </si>
  <si>
    <t>3187806610</t>
  </si>
  <si>
    <t>Italia</t>
  </si>
  <si>
    <t>Roma - Consulado</t>
  </si>
  <si>
    <t>1121205486</t>
  </si>
  <si>
    <t>RUTH VALENCIA</t>
  </si>
  <si>
    <t>41058621</t>
  </si>
  <si>
    <t>SALOME CAISARA</t>
  </si>
  <si>
    <t>37915743</t>
  </si>
  <si>
    <t>SALOME SANTAMARIA MEJIA</t>
  </si>
  <si>
    <t>3024891589</t>
  </si>
  <si>
    <t>1098643312</t>
  </si>
  <si>
    <t>SALOMON NIÑO GALVIS</t>
  </si>
  <si>
    <t>3167309936</t>
  </si>
  <si>
    <t>1121199071</t>
  </si>
  <si>
    <t>SAMIRA CURICO</t>
  </si>
  <si>
    <t>1073973309</t>
  </si>
  <si>
    <t>SAMIT MESTRA</t>
  </si>
  <si>
    <t>3214375991</t>
  </si>
  <si>
    <t>COLEGIO VICENTE AZUERO SEDE C</t>
  </si>
  <si>
    <t>1095954777</t>
  </si>
  <si>
    <t>SANDRA AFRICANO</t>
  </si>
  <si>
    <t>3153684098</t>
  </si>
  <si>
    <t>63548296</t>
  </si>
  <si>
    <t>SANDRA ALVARADO</t>
  </si>
  <si>
    <t>3135989431</t>
  </si>
  <si>
    <t>1121200888</t>
  </si>
  <si>
    <t>SANDRA ALVEAR FERREIRA</t>
  </si>
  <si>
    <t>28336487</t>
  </si>
  <si>
    <t>SANDRA BERNAL RAMIREZ</t>
  </si>
  <si>
    <t>3156543075</t>
  </si>
  <si>
    <t>HOGAR INF.LA ALEGRIA DE VIVIR</t>
  </si>
  <si>
    <t>1121196274</t>
  </si>
  <si>
    <t>SANDRA CAGUACHE</t>
  </si>
  <si>
    <t>1121217772</t>
  </si>
  <si>
    <t>SANDRA ENCINALES CARVAJAL</t>
  </si>
  <si>
    <t>63458953</t>
  </si>
  <si>
    <t>SANDRA MILENA JIMENEZ FORERO</t>
  </si>
  <si>
    <t>3003603471</t>
  </si>
  <si>
    <t>1096205690</t>
  </si>
  <si>
    <t>SANDRA MILENA QUESADA RICO</t>
  </si>
  <si>
    <t>3124624365</t>
  </si>
  <si>
    <t xml:space="preserve"> COL CAMILO TORRES</t>
  </si>
  <si>
    <t>37579625</t>
  </si>
  <si>
    <t>SANDRA PAOLA FORTICH TORRES</t>
  </si>
  <si>
    <t>3125509081</t>
  </si>
  <si>
    <t>63471946</t>
  </si>
  <si>
    <t>SANDRA PATRICIA BARBOSA SANABRIA</t>
  </si>
  <si>
    <t>3124269934</t>
  </si>
  <si>
    <t>COL CIUDADELA EDUC. SD G NUEVA GRANADA</t>
  </si>
  <si>
    <t>1121203391</t>
  </si>
  <si>
    <t>SANDRA RAMOS</t>
  </si>
  <si>
    <t>63473948</t>
  </si>
  <si>
    <t>SANDRA SANABRIA MUÑOZ</t>
  </si>
  <si>
    <t>3223567830</t>
  </si>
  <si>
    <t>COL CIUDADELA EDUC. SD C CAMPESTRE</t>
  </si>
  <si>
    <t>1121220764</t>
  </si>
  <si>
    <t>SANDRA SYLVANA CAMDRE</t>
  </si>
  <si>
    <t>1121218063</t>
  </si>
  <si>
    <t>SANDRA TAMANI</t>
  </si>
  <si>
    <t>1121206032</t>
  </si>
  <si>
    <t>SANDRA VARGAS</t>
  </si>
  <si>
    <t>1121205118</t>
  </si>
  <si>
    <t>SANDY JHOANA VARGAS</t>
  </si>
  <si>
    <t>1031645916</t>
  </si>
  <si>
    <t>SANTIAGO AMADOR</t>
  </si>
  <si>
    <t>3206392629</t>
  </si>
  <si>
    <t>CENTRO COMERCIAL CENTRO SUBA</t>
  </si>
  <si>
    <t>63295595</t>
  </si>
  <si>
    <t>SANTIAGO ANGLO</t>
  </si>
  <si>
    <t>3155081410</t>
  </si>
  <si>
    <t>1131534475</t>
  </si>
  <si>
    <t>SANTIAGO ARIMUYA</t>
  </si>
  <si>
    <t>1141316066</t>
  </si>
  <si>
    <t>SANTIAGO ORJUELA</t>
  </si>
  <si>
    <t>3125456301</t>
  </si>
  <si>
    <t>CC PLAZA DE LAS AMERICAS</t>
  </si>
  <si>
    <t>91068623</t>
  </si>
  <si>
    <t>Lider / 24</t>
  </si>
  <si>
    <t>SANTIAGO RUEDA</t>
  </si>
  <si>
    <t>3153715836</t>
  </si>
  <si>
    <t>18051147</t>
  </si>
  <si>
    <t>SANTOS BARDALES</t>
  </si>
  <si>
    <t>1097498092</t>
  </si>
  <si>
    <t>SARA JULIANA ROJAS</t>
  </si>
  <si>
    <t>3156042225</t>
  </si>
  <si>
    <t>41056815</t>
  </si>
  <si>
    <t>SARA SIQUIBA</t>
  </si>
  <si>
    <t>1097495690</t>
  </si>
  <si>
    <t>SARAY QUINTERO</t>
  </si>
  <si>
    <t>3176045109</t>
  </si>
  <si>
    <t>1095305384</t>
  </si>
  <si>
    <t>SARAY SNEYLI GUEVARA OSMA</t>
  </si>
  <si>
    <t>3246892405</t>
  </si>
  <si>
    <t>SENA - CSET - COLISEO</t>
  </si>
  <si>
    <t>91443502</t>
  </si>
  <si>
    <t>SARID LOPEZ ACEVEDO</t>
  </si>
  <si>
    <t>3212037759</t>
  </si>
  <si>
    <t>IE INFANTAS SEDE MIRAMAR</t>
  </si>
  <si>
    <t>1122270967</t>
  </si>
  <si>
    <t>SAUDITA PEÑA AHUE</t>
  </si>
  <si>
    <t>34040535</t>
  </si>
  <si>
    <t>SAUDY SUAREZ OSORIO</t>
  </si>
  <si>
    <t>91263963</t>
  </si>
  <si>
    <t>SAUL CAVANZO</t>
  </si>
  <si>
    <t>3155275919</t>
  </si>
  <si>
    <t>1099368102</t>
  </si>
  <si>
    <t>SAULO EDUARDO SANCHEZ</t>
  </si>
  <si>
    <t>27607179</t>
  </si>
  <si>
    <t>SAULO SANCHEZ</t>
  </si>
  <si>
    <t>No se encuentra cedula en el centro</t>
  </si>
  <si>
    <t>1005161800</t>
  </si>
  <si>
    <t>SEBASTIAN CHAVES</t>
  </si>
  <si>
    <t>3166189400</t>
  </si>
  <si>
    <t>1021664381</t>
  </si>
  <si>
    <t>SEBASTIAN RONCANCIO</t>
  </si>
  <si>
    <t>3005230212</t>
  </si>
  <si>
    <t>ESCUELA LA VICTORIA B</t>
  </si>
  <si>
    <t>1018464236</t>
  </si>
  <si>
    <t>SEBASTIAN RUIZ OSPINILLA</t>
  </si>
  <si>
    <t>3026634734</t>
  </si>
  <si>
    <t>UNIVERSIDAD DISTRITAL</t>
  </si>
  <si>
    <t>4907466</t>
  </si>
  <si>
    <t>SERAFIN CARDOSSO</t>
  </si>
  <si>
    <t>1101597588</t>
  </si>
  <si>
    <t>SERGIO ANDRES DELGADO CAMARGO</t>
  </si>
  <si>
    <t>3165365532</t>
  </si>
  <si>
    <t>1095944704</t>
  </si>
  <si>
    <t>SERGIO ANDRES VESGA SILVA</t>
  </si>
  <si>
    <t>3152810203</t>
  </si>
  <si>
    <t>1098620733</t>
  </si>
  <si>
    <t>SERGIO BARAJAS</t>
  </si>
  <si>
    <t>3164541474</t>
  </si>
  <si>
    <t xml:space="preserve"> IE TEC RAFAEL GARCIA HERREROS</t>
  </si>
  <si>
    <t>1095790868</t>
  </si>
  <si>
    <t>SERGIO BARON</t>
  </si>
  <si>
    <t>3244652327</t>
  </si>
  <si>
    <t>91239472</t>
  </si>
  <si>
    <t>SERGIO CASTELLANOS MANTILLA</t>
  </si>
  <si>
    <t>3112511463</t>
  </si>
  <si>
    <t>1102722388</t>
  </si>
  <si>
    <t>SERGIO JAIMES</t>
  </si>
  <si>
    <t>3186901985</t>
  </si>
  <si>
    <t>San vicente de chucuri</t>
  </si>
  <si>
    <t>COL NUESTRA SEÑORA DE LA PAZ COLNUPAZ</t>
  </si>
  <si>
    <t>1117946480</t>
  </si>
  <si>
    <t>SERGIO MURCIA OLAYA</t>
  </si>
  <si>
    <t>3002242986</t>
  </si>
  <si>
    <t>13721310</t>
  </si>
  <si>
    <t>SERGIO SANDOVAL</t>
  </si>
  <si>
    <t>3103011175</t>
  </si>
  <si>
    <t>COL.NIÑO JESUS DE PRAGA</t>
  </si>
  <si>
    <t>40179661</t>
  </si>
  <si>
    <t>SERMILIA SANCHEZ</t>
  </si>
  <si>
    <t>1121201227</t>
  </si>
  <si>
    <t>SHARIK VELASQUEZ</t>
  </si>
  <si>
    <t>1097097425</t>
  </si>
  <si>
    <t>SHARITH VARGAS</t>
  </si>
  <si>
    <t>3237976909</t>
  </si>
  <si>
    <t>1005282360</t>
  </si>
  <si>
    <t>SHAROK VANESSA TRIANA GARZON</t>
  </si>
  <si>
    <t>3112583009</t>
  </si>
  <si>
    <t xml:space="preserve"> IE JORGE ARDILA DUARTE SEDE A</t>
  </si>
  <si>
    <t>1121201286</t>
  </si>
  <si>
    <t>SHARON PEÑA</t>
  </si>
  <si>
    <t>1005190482</t>
  </si>
  <si>
    <t>SHEILA OSPINA</t>
  </si>
  <si>
    <t>3234809909</t>
  </si>
  <si>
    <t>COL DIVINO NIÑO JESUS</t>
  </si>
  <si>
    <t>1121198257</t>
  </si>
  <si>
    <t>SHIRLEY CRUZ HOLANDA</t>
  </si>
  <si>
    <t>1022980566</t>
  </si>
  <si>
    <t>SHIRLEY GARCIA</t>
  </si>
  <si>
    <t>3204624599</t>
  </si>
  <si>
    <t>EL BOSQUE</t>
  </si>
  <si>
    <t>1005448712</t>
  </si>
  <si>
    <t>SHIRLEY PEREZ</t>
  </si>
  <si>
    <t>3227391419</t>
  </si>
  <si>
    <t>1007344397</t>
  </si>
  <si>
    <t>SILVERIA CACERES</t>
  </si>
  <si>
    <t>1098672187</t>
  </si>
  <si>
    <t>SILVIA AYALA</t>
  </si>
  <si>
    <t>3188311313</t>
  </si>
  <si>
    <t>FRANCISCO JOSE DE CALDAS/INST MINCA SD B</t>
  </si>
  <si>
    <t>41214625</t>
  </si>
  <si>
    <t>SILVIA PACAYA JORDAN</t>
  </si>
  <si>
    <t>1098818323</t>
  </si>
  <si>
    <t>SILVIA PARRA</t>
  </si>
  <si>
    <t>3176587812</t>
  </si>
  <si>
    <t>1098733245</t>
  </si>
  <si>
    <t>SILVIA ROJAS</t>
  </si>
  <si>
    <t>3177670802</t>
  </si>
  <si>
    <t xml:space="preserve"> IE ANDRES PAEZ DE SOTOMAYOR</t>
  </si>
  <si>
    <t>1099737603</t>
  </si>
  <si>
    <t>SINTIA GALVIS</t>
  </si>
  <si>
    <t>3144911842</t>
  </si>
  <si>
    <t>1121216049</t>
  </si>
  <si>
    <t>SINTIA TALMIRA VALERIO</t>
  </si>
  <si>
    <t>1005325005</t>
  </si>
  <si>
    <t>SLENDY PAOLA CASTILLO TORRES</t>
  </si>
  <si>
    <t>3243915301</t>
  </si>
  <si>
    <t>BARR Estoraques 2</t>
  </si>
  <si>
    <t>1098108961</t>
  </si>
  <si>
    <t>SNEYDER ORTIZ</t>
  </si>
  <si>
    <t>3154639005</t>
  </si>
  <si>
    <t>BARR Buenos Aires</t>
  </si>
  <si>
    <t>1098708907</t>
  </si>
  <si>
    <t>SNEYDER ORTIZ CASTILLO</t>
  </si>
  <si>
    <t>1005150047</t>
  </si>
  <si>
    <t>SNEYDER ROJAS</t>
  </si>
  <si>
    <t>3150761907</t>
  </si>
  <si>
    <t>41057274</t>
  </si>
  <si>
    <t>SOFIA DOLORES VAZQUES</t>
  </si>
  <si>
    <t>1121221833</t>
  </si>
  <si>
    <t>SOLEDAD FERNANDEZ</t>
  </si>
  <si>
    <t>63347692</t>
  </si>
  <si>
    <t>SOL MARINA QUIÑONEZ</t>
  </si>
  <si>
    <t>3142523112</t>
  </si>
  <si>
    <t>44161203</t>
  </si>
  <si>
    <t>SOLMELINA GOMEZ ARDILA</t>
  </si>
  <si>
    <t>3007102254</t>
  </si>
  <si>
    <t>NUEVO COLEGIO MARIA MONTESSORI</t>
  </si>
  <si>
    <t>38262242</t>
  </si>
  <si>
    <t>SONIA FRANCO</t>
  </si>
  <si>
    <t>3153152024</t>
  </si>
  <si>
    <t>63501421</t>
  </si>
  <si>
    <t>SONIA GOMEZ</t>
  </si>
  <si>
    <t>3043454682</t>
  </si>
  <si>
    <t>1098633280</t>
  </si>
  <si>
    <t>SONIA LUCIA MURILLO RUEDA</t>
  </si>
  <si>
    <t>3133356281</t>
  </si>
  <si>
    <t>1122266628</t>
  </si>
  <si>
    <t>SORAINA LAULATE GOMEZ</t>
  </si>
  <si>
    <t>1096184208</t>
  </si>
  <si>
    <t>SOR BRIGGIT VEGA</t>
  </si>
  <si>
    <t>3145862384</t>
  </si>
  <si>
    <t>COL CAMILO TORRES</t>
  </si>
  <si>
    <t>1098799964</t>
  </si>
  <si>
    <t>STEFANNY ACOSTA</t>
  </si>
  <si>
    <t>3214927331</t>
  </si>
  <si>
    <t>1006733108</t>
  </si>
  <si>
    <t>STEFANY ARDILA</t>
  </si>
  <si>
    <t>91506355</t>
  </si>
  <si>
    <t>STEFANY AVILA</t>
  </si>
  <si>
    <t>3222479709</t>
  </si>
  <si>
    <t>1053820302</t>
  </si>
  <si>
    <t>STIVEN DIAZ</t>
  </si>
  <si>
    <t>1026595845</t>
  </si>
  <si>
    <t>SULEYMI RAMIREZ</t>
  </si>
  <si>
    <t>3227884565</t>
  </si>
  <si>
    <t xml:space="preserve"> SALON COMUNAL SANTA ISABEL</t>
  </si>
  <si>
    <t>1121215454</t>
  </si>
  <si>
    <t>SUSANA MARQUEZ</t>
  </si>
  <si>
    <t>1007769264</t>
  </si>
  <si>
    <t>SUSANA PINTO</t>
  </si>
  <si>
    <t>1121204376</t>
  </si>
  <si>
    <t>TAHIZ LEIVA</t>
  </si>
  <si>
    <t>1193446814</t>
  </si>
  <si>
    <t>TAIO ORTEGAQ DAVILA</t>
  </si>
  <si>
    <t>1096184761</t>
  </si>
  <si>
    <t>TALIA DIAZ GARCIA</t>
  </si>
  <si>
    <t>3508295560</t>
  </si>
  <si>
    <t>COL CIUDAD. EDUC. SD D LA INDEPENDENCIA</t>
  </si>
  <si>
    <t>1121206095</t>
  </si>
  <si>
    <t>TANIA LONDOÑO</t>
  </si>
  <si>
    <t>40178139</t>
  </si>
  <si>
    <t>TANIA MARIA PINTO</t>
  </si>
  <si>
    <t>1005180522</t>
  </si>
  <si>
    <t>TANIA MAYLEN DEHOYOS CASTILLO</t>
  </si>
  <si>
    <t>3203149552</t>
  </si>
  <si>
    <t>1007682211</t>
  </si>
  <si>
    <t>TANIA SANTOS SANTOS</t>
  </si>
  <si>
    <t>40179693</t>
  </si>
  <si>
    <t>TANIA VARGAS</t>
  </si>
  <si>
    <t>1122267539</t>
  </si>
  <si>
    <t>TATIA JOHANA CURICO AHUE</t>
  </si>
  <si>
    <t>1093781200</t>
  </si>
  <si>
    <t>TATIANA GOMEZ</t>
  </si>
  <si>
    <t>3186385440</t>
  </si>
  <si>
    <t>1095810293</t>
  </si>
  <si>
    <t>TATIANA GONZALEZ GAMBOA</t>
  </si>
  <si>
    <t>3183929188</t>
  </si>
  <si>
    <t>1098693191</t>
  </si>
  <si>
    <t>TATIANA RODRIGUEZ</t>
  </si>
  <si>
    <t>3023098877</t>
  </si>
  <si>
    <t>Matanza</t>
  </si>
  <si>
    <t>1121220649</t>
  </si>
  <si>
    <t>TATIANA VARGAS</t>
  </si>
  <si>
    <t>63277938</t>
  </si>
  <si>
    <t>TEOFILA PEDRAZA</t>
  </si>
  <si>
    <t>3172805043</t>
  </si>
  <si>
    <t>40150291</t>
  </si>
  <si>
    <t>TEOLINDA PINTO COELLO</t>
  </si>
  <si>
    <t>40176457</t>
  </si>
  <si>
    <t>TERESA BAUTISTA</t>
  </si>
  <si>
    <t>28016449</t>
  </si>
  <si>
    <t>TERESA LEON</t>
  </si>
  <si>
    <t>3007283354</t>
  </si>
  <si>
    <t>BARR El Cerro</t>
  </si>
  <si>
    <t>41059271</t>
  </si>
  <si>
    <t>TERMIRIA RAMOS BAUTISTA</t>
  </si>
  <si>
    <t>1098670290</t>
  </si>
  <si>
    <t>TILCIA CHAPARRO</t>
  </si>
  <si>
    <t>3246319862</t>
  </si>
  <si>
    <t>BARR Colorados</t>
  </si>
  <si>
    <t>1020736235</t>
  </si>
  <si>
    <t>TOMAS MORENO</t>
  </si>
  <si>
    <t>3112592376</t>
  </si>
  <si>
    <t>BIBLIOTECA VIRGILIO BARCO</t>
  </si>
  <si>
    <t>6566868</t>
  </si>
  <si>
    <t>TOMAS SANTILLAN</t>
  </si>
  <si>
    <t>27956235</t>
  </si>
  <si>
    <t>TRINIDAD PRADA</t>
  </si>
  <si>
    <t>1006221558</t>
  </si>
  <si>
    <t>URIEL ACEVEDO</t>
  </si>
  <si>
    <t>18051628</t>
  </si>
  <si>
    <t>URIEL AHUE COELLO</t>
  </si>
  <si>
    <t>91509746</t>
  </si>
  <si>
    <t>USBALDO BENAVIDES BELTRAN</t>
  </si>
  <si>
    <t>3214302359</t>
  </si>
  <si>
    <t>Ocaña</t>
  </si>
  <si>
    <t>SEDE SIMON BOLIVAR No 1</t>
  </si>
  <si>
    <t>1053587624</t>
  </si>
  <si>
    <t>VALENTINA CACERES</t>
  </si>
  <si>
    <t>3202625784</t>
  </si>
  <si>
    <t>1020836646</t>
  </si>
  <si>
    <t>VALENTINA CONDE BUSTOS</t>
  </si>
  <si>
    <t>3025429518</t>
  </si>
  <si>
    <t>1121197446</t>
  </si>
  <si>
    <t>VALENTINA DOSANTOS</t>
  </si>
  <si>
    <t>3112036819</t>
  </si>
  <si>
    <t>U. SANTO TOMAS CLAUSTRO</t>
  </si>
  <si>
    <t>1097184515</t>
  </si>
  <si>
    <t>VALENTINA LORA</t>
  </si>
  <si>
    <t>3105367048</t>
  </si>
  <si>
    <t>1097182459</t>
  </si>
  <si>
    <t>VALENTINA ROMO PONCE</t>
  </si>
  <si>
    <t>1096184058</t>
  </si>
  <si>
    <t>VALERIA NUNEZ</t>
  </si>
  <si>
    <t>3143688662</t>
  </si>
  <si>
    <t xml:space="preserve"> COL DIVINO NIÑO JESUS</t>
  </si>
  <si>
    <t>1006784761</t>
  </si>
  <si>
    <t>VALERIA SILVA</t>
  </si>
  <si>
    <t>1121200599</t>
  </si>
  <si>
    <t>VALLES CAMILO ARAUJO</t>
  </si>
  <si>
    <t>1121205583</t>
  </si>
  <si>
    <t>VANESA EGUREN RODRIGUEZ</t>
  </si>
  <si>
    <t>1098604672</t>
  </si>
  <si>
    <t>VANESA MONSALVE</t>
  </si>
  <si>
    <t>3175355549</t>
  </si>
  <si>
    <t>1098738231</t>
  </si>
  <si>
    <t>VANESSA HENANDEZ</t>
  </si>
  <si>
    <t>3177774037</t>
  </si>
  <si>
    <t>1085043223</t>
  </si>
  <si>
    <t>VERONICA OSPINO LOPEZ</t>
  </si>
  <si>
    <t>3132326799</t>
  </si>
  <si>
    <t>Sabana de torres</t>
  </si>
  <si>
    <t>ESC COMUNEROS CIME SEDE G</t>
  </si>
  <si>
    <t>1007769114</t>
  </si>
  <si>
    <t>VERSENI RAMOS OLARTE</t>
  </si>
  <si>
    <t>40150574</t>
  </si>
  <si>
    <t>VICENTA JORDAN</t>
  </si>
  <si>
    <t>1121221535</t>
  </si>
  <si>
    <t>VICTOR CASTRO</t>
  </si>
  <si>
    <t>91430865</t>
  </si>
  <si>
    <t>VICTOR DORANCE GRANADOS GODOY</t>
  </si>
  <si>
    <t>3124231903</t>
  </si>
  <si>
    <t>COL EL CASTILLO</t>
  </si>
  <si>
    <t>1121205173</t>
  </si>
  <si>
    <t>VICTORIA CASTRO FERREIRA</t>
  </si>
  <si>
    <t>91246913</t>
  </si>
  <si>
    <t>VICTOR ORTEGA BAUTISTA</t>
  </si>
  <si>
    <t>3162792458</t>
  </si>
  <si>
    <t>91496792</t>
  </si>
  <si>
    <t>VILLIAM CELIS</t>
  </si>
  <si>
    <t>3168748253</t>
  </si>
  <si>
    <t>41058526</t>
  </si>
  <si>
    <t>VILMA GARCIA</t>
  </si>
  <si>
    <t>1098779913</t>
  </si>
  <si>
    <t>VIOLETA CAMACHO</t>
  </si>
  <si>
    <t>3133751349</t>
  </si>
  <si>
    <t xml:space="preserve"> COLEGIO PANAMERICANO</t>
  </si>
  <si>
    <t>1122270349</t>
  </si>
  <si>
    <t>VIRGELINA PEREZ</t>
  </si>
  <si>
    <t>1121210446</t>
  </si>
  <si>
    <t>VIVIANA AMIAS</t>
  </si>
  <si>
    <t>1007863084</t>
  </si>
  <si>
    <t>VIVIANA CARVAJAL</t>
  </si>
  <si>
    <t>63563329</t>
  </si>
  <si>
    <t>VIVIANA MANRIQUE</t>
  </si>
  <si>
    <t>3004237530</t>
  </si>
  <si>
    <t>37861479</t>
  </si>
  <si>
    <t>VIVIANA MURILLO</t>
  </si>
  <si>
    <t>3005270704</t>
  </si>
  <si>
    <t>I.E.D COMUNITARIA METROPOLITANA</t>
  </si>
  <si>
    <t>1098733336</t>
  </si>
  <si>
    <t>VIVIANA PAREDES</t>
  </si>
  <si>
    <t>3152949355</t>
  </si>
  <si>
    <t>No eiste cedula en el censo</t>
  </si>
  <si>
    <t>1193599722</t>
  </si>
  <si>
    <t>VIVIANA YUCUNA</t>
  </si>
  <si>
    <t>1121204322</t>
  </si>
  <si>
    <t>WAINER TANIMUCA</t>
  </si>
  <si>
    <t>1006733289</t>
  </si>
  <si>
    <t>WALDIR PEREZ</t>
  </si>
  <si>
    <t>91473089</t>
  </si>
  <si>
    <t>WALTER ALVAREZ QUEVEDO</t>
  </si>
  <si>
    <t>3004157872</t>
  </si>
  <si>
    <t>IE TEC DAMASO ZAPATA SEDE A</t>
  </si>
  <si>
    <t>1102578413</t>
  </si>
  <si>
    <t>WALTER JOSE</t>
  </si>
  <si>
    <t>1149192145</t>
  </si>
  <si>
    <t>WANDA MONTES</t>
  </si>
  <si>
    <t>15889061</t>
  </si>
  <si>
    <t>WANDERLEY ALVES</t>
  </si>
  <si>
    <t>1006222513</t>
  </si>
  <si>
    <t>WENDY CAHUACHE</t>
  </si>
  <si>
    <t>1097183495</t>
  </si>
  <si>
    <t>WENDY CAROLINA RODRIGUEZ JAIMES</t>
  </si>
  <si>
    <t>3027048934</t>
  </si>
  <si>
    <t>1095819328</t>
  </si>
  <si>
    <t>WENDY CARVAJAL</t>
  </si>
  <si>
    <t>3007475556</t>
  </si>
  <si>
    <t>1104698794</t>
  </si>
  <si>
    <t>WENDY GARCIA</t>
  </si>
  <si>
    <t>15879709</t>
  </si>
  <si>
    <t>WILDER ALEXANDER CHUÑA</t>
  </si>
  <si>
    <t>1098702210</t>
  </si>
  <si>
    <t>WILFER CACERES BUENO</t>
  </si>
  <si>
    <t>3183595942</t>
  </si>
  <si>
    <t>91434430</t>
  </si>
  <si>
    <t>WILFREDO MORA LOBO</t>
  </si>
  <si>
    <t>3174297404</t>
  </si>
  <si>
    <t>Magangue</t>
  </si>
  <si>
    <t>IE LICEO MODERNO</t>
  </si>
  <si>
    <t>1006951111</t>
  </si>
  <si>
    <t>WILFREDO PEREZ</t>
  </si>
  <si>
    <t>70906575</t>
  </si>
  <si>
    <t>WILLIAM ADOLFO</t>
  </si>
  <si>
    <t>13510866</t>
  </si>
  <si>
    <t>WILLIAM BUENAHORA</t>
  </si>
  <si>
    <t>3187657082</t>
  </si>
  <si>
    <t>15879187</t>
  </si>
  <si>
    <t>WILLIAM CAGUACHE</t>
  </si>
  <si>
    <t>6028126</t>
  </si>
  <si>
    <t>WILLIAM CASTELLANOS LLANOS</t>
  </si>
  <si>
    <t>3122805048</t>
  </si>
  <si>
    <t>IE INEM JOSE EUSTACIO RIVERA</t>
  </si>
  <si>
    <t>6566149</t>
  </si>
  <si>
    <t>WILLIAM CASTRO SUAREZ</t>
  </si>
  <si>
    <t>1098790760</t>
  </si>
  <si>
    <t>WILLIAM GARCIA</t>
  </si>
  <si>
    <t>3156468644</t>
  </si>
  <si>
    <t>1006733326</t>
  </si>
  <si>
    <t>WILLIAM MARTIN DIONISIO</t>
  </si>
  <si>
    <t>91269462</t>
  </si>
  <si>
    <t>WILLIAM OVIEDO RICO</t>
  </si>
  <si>
    <t>3163986832</t>
  </si>
  <si>
    <t>BARR Simon Bolivar</t>
  </si>
  <si>
    <t>1006784512</t>
  </si>
  <si>
    <t>WILLIAM RICARDO COELLO AHUE</t>
  </si>
  <si>
    <t>1001035676</t>
  </si>
  <si>
    <t>WILLIAM URREGO</t>
  </si>
  <si>
    <t>1122270669</t>
  </si>
  <si>
    <t>WILLINTON REINALDO YUMBATO AHUE</t>
  </si>
  <si>
    <t>1098717827</t>
  </si>
  <si>
    <t>WILMER HERNAN BASTO</t>
  </si>
  <si>
    <t>3914824356</t>
  </si>
  <si>
    <t>COLEGIO SAN JUAN DE GIRON SEDE B</t>
  </si>
  <si>
    <t>93128597</t>
  </si>
  <si>
    <t>WILSON GIOVANNI REINA RODRIGUEZ</t>
  </si>
  <si>
    <t>3176591195</t>
  </si>
  <si>
    <t>1056411921</t>
  </si>
  <si>
    <t>WILSON JAVIER PEDROZO</t>
  </si>
  <si>
    <t>3506598810</t>
  </si>
  <si>
    <t>COUNTRY SUR</t>
  </si>
  <si>
    <t>1095922215</t>
  </si>
  <si>
    <t>WILSON LEON SEPULVEDA</t>
  </si>
  <si>
    <t>3172708863</t>
  </si>
  <si>
    <t xml:space="preserve"> I.E. SANTO ANGEL</t>
  </si>
  <si>
    <t>1122270647</t>
  </si>
  <si>
    <t>WILSON MARICAGUA AHUE</t>
  </si>
  <si>
    <t>18050595</t>
  </si>
  <si>
    <t>WILSON MARICAGUA LAULATE</t>
  </si>
  <si>
    <t>79828981</t>
  </si>
  <si>
    <t>WILSON PUENTES</t>
  </si>
  <si>
    <t>3209682345</t>
  </si>
  <si>
    <t xml:space="preserve"> CENTRO EDUCATIVO SCALAS</t>
  </si>
  <si>
    <t>91155506</t>
  </si>
  <si>
    <t>WIMAR DIAZ</t>
  </si>
  <si>
    <t>3016382926</t>
  </si>
  <si>
    <t>1096182999</t>
  </si>
  <si>
    <t>XIOMARA VILLAREAL MARIN</t>
  </si>
  <si>
    <t>3125160406</t>
  </si>
  <si>
    <t>BARR La Liga</t>
  </si>
  <si>
    <t>Colegio El Castillo</t>
  </si>
  <si>
    <t>1122269659</t>
  </si>
  <si>
    <t>YADELY HUANIRI</t>
  </si>
  <si>
    <t>1100891318</t>
  </si>
  <si>
    <t>YADIR BARCENAS</t>
  </si>
  <si>
    <t>3177632290</t>
  </si>
  <si>
    <t>Rio negro</t>
  </si>
  <si>
    <t>63445072</t>
  </si>
  <si>
    <t>YADURA VARGAS</t>
  </si>
  <si>
    <t>3187270351</t>
  </si>
  <si>
    <t>27589276</t>
  </si>
  <si>
    <t>YAMANDU MARTINEZ</t>
  </si>
  <si>
    <t>3126252444</t>
  </si>
  <si>
    <t>COL VICTOR FELIX GOMEZ SEDE B</t>
  </si>
  <si>
    <t>1152206426</t>
  </si>
  <si>
    <t>YANK MARTINEZ</t>
  </si>
  <si>
    <t>3213918157</t>
  </si>
  <si>
    <t>SANTA TERESA</t>
  </si>
  <si>
    <t>1131534305</t>
  </si>
  <si>
    <t>YANNY TORRES</t>
  </si>
  <si>
    <t>1098764216</t>
  </si>
  <si>
    <t>YARITZA FERNANDEZ</t>
  </si>
  <si>
    <t>3108012513</t>
  </si>
  <si>
    <t>1006739532</t>
  </si>
  <si>
    <t>YARITZA MACEDO OLARTE</t>
  </si>
  <si>
    <t>1234340951</t>
  </si>
  <si>
    <t>YAROD SOLER</t>
  </si>
  <si>
    <t>3008353049</t>
  </si>
  <si>
    <t xml:space="preserve"> INSTITUTO LA CUMBRE</t>
  </si>
  <si>
    <t>37556912</t>
  </si>
  <si>
    <t>YASMIN CARDENAS BARRETO</t>
  </si>
  <si>
    <t>3156557499</t>
  </si>
  <si>
    <t>63468360</t>
  </si>
  <si>
    <t>YASMITH BARBOSA SANABRIA</t>
  </si>
  <si>
    <t>3206077199</t>
  </si>
  <si>
    <t>BARR Alcazar</t>
  </si>
  <si>
    <t>1095793774</t>
  </si>
  <si>
    <t>YEBELIS ESTRADA</t>
  </si>
  <si>
    <t>3005688540</t>
  </si>
  <si>
    <t>1006222515</t>
  </si>
  <si>
    <t>YEFREY PEÑA</t>
  </si>
  <si>
    <t>1064187165</t>
  </si>
  <si>
    <t>YEIDER ANDRES YANES ARTEAGA</t>
  </si>
  <si>
    <t>LA MANTA</t>
  </si>
  <si>
    <t>1032247458</t>
  </si>
  <si>
    <t>YEIDER GOES</t>
  </si>
  <si>
    <t>3214748439</t>
  </si>
  <si>
    <t>COL MIGUEL ANTONIO CARO</t>
  </si>
  <si>
    <t>1122267337</t>
  </si>
  <si>
    <t>YEIMI PAOLA PEÑA</t>
  </si>
  <si>
    <t>1098614413</t>
  </si>
  <si>
    <t>YEIMI RIVERO</t>
  </si>
  <si>
    <t>3228854795</t>
  </si>
  <si>
    <t>1098071706</t>
  </si>
  <si>
    <t>YEIMI VANESA PUENTES</t>
  </si>
  <si>
    <t>3125549300</t>
  </si>
  <si>
    <t>1096223804</t>
  </si>
  <si>
    <t>YEIMY ESTEFANY TARIFA SIERRA</t>
  </si>
  <si>
    <t>3108107369</t>
  </si>
  <si>
    <t xml:space="preserve"> COL JOHN F KENNEDY SD D PREESCOLAR SDER</t>
  </si>
  <si>
    <t>1096614418</t>
  </si>
  <si>
    <t>YEIMY RIVERO RODRIGUEZ</t>
  </si>
  <si>
    <t>3159663955</t>
  </si>
  <si>
    <t>1121197402</t>
  </si>
  <si>
    <t>YEIMY YADIRA SAMUEL</t>
  </si>
  <si>
    <t>63538204</t>
  </si>
  <si>
    <t>YEISI YOHANA GUEVARA</t>
  </si>
  <si>
    <t>3197984216</t>
  </si>
  <si>
    <t>IE CENTRO PILOTO SIMON BOLIVAR</t>
  </si>
  <si>
    <t>1104696467</t>
  </si>
  <si>
    <t>YEISON ALEJANDRO ZAPATA RIOS</t>
  </si>
  <si>
    <t>3207279608</t>
  </si>
  <si>
    <t>Ventaquemada</t>
  </si>
  <si>
    <t>86047617</t>
  </si>
  <si>
    <t>YEISON AVILA RAMIREZ</t>
  </si>
  <si>
    <t>1121209787</t>
  </si>
  <si>
    <t>YEISY TORRES</t>
  </si>
  <si>
    <t>1121197496</t>
  </si>
  <si>
    <t>YELI ANGELICA MANDUCA</t>
  </si>
  <si>
    <t>1121199137</t>
  </si>
  <si>
    <t>YELI ELIZABETH COELLO AHUE</t>
  </si>
  <si>
    <t>41056964</t>
  </si>
  <si>
    <t>YENI CASTELO</t>
  </si>
  <si>
    <t>1125410636</t>
  </si>
  <si>
    <t>YENICA YURIE MARIN CARMONA</t>
  </si>
  <si>
    <t>3188264779</t>
  </si>
  <si>
    <t>IE LUIS EDUARDO DIAZ SECCION PRIMARIA</t>
  </si>
  <si>
    <t>1121199863</t>
  </si>
  <si>
    <t>YENIFER RAMOS MANDUCA</t>
  </si>
  <si>
    <t>22820124</t>
  </si>
  <si>
    <t>YEN ISABEL PONCE RODELO</t>
  </si>
  <si>
    <t>6218903</t>
  </si>
  <si>
    <t>1121203516</t>
  </si>
  <si>
    <t>YENIUDO ROBERTINO MARTIN</t>
  </si>
  <si>
    <t>1121216816</t>
  </si>
  <si>
    <t>YENI ZAPATA</t>
  </si>
  <si>
    <t>1099363810</t>
  </si>
  <si>
    <t>YENNI TOSCANO</t>
  </si>
  <si>
    <t>3166052005</t>
  </si>
  <si>
    <t>BARR El Rocio</t>
  </si>
  <si>
    <t>1095798114</t>
  </si>
  <si>
    <t>YENNY AGUDELO</t>
  </si>
  <si>
    <t>3143953985</t>
  </si>
  <si>
    <t>1077463643</t>
  </si>
  <si>
    <t>YENSI RODRIGUEZ</t>
  </si>
  <si>
    <t>1121199314</t>
  </si>
  <si>
    <t>YENY JORDAN</t>
  </si>
  <si>
    <t>91428504</t>
  </si>
  <si>
    <t>YENY PEREZ ORTIZ</t>
  </si>
  <si>
    <t>3202978348</t>
  </si>
  <si>
    <t>BARR 22 De Marzo</t>
  </si>
  <si>
    <t xml:space="preserve"> COL JOHN F KENNEDY SD F PRIMERO DE MAYO</t>
  </si>
  <si>
    <t>1121216826</t>
  </si>
  <si>
    <t>YENY ZAPATA</t>
  </si>
  <si>
    <t>1065876610</t>
  </si>
  <si>
    <t>YERALDIN CIODARO</t>
  </si>
  <si>
    <t>3227104312</t>
  </si>
  <si>
    <t>LA CASONA-UNIVERSIDAD PAMPLON</t>
  </si>
  <si>
    <t>41058780</t>
  </si>
  <si>
    <t>YERLEY BRAGA</t>
  </si>
  <si>
    <t>1098730865</t>
  </si>
  <si>
    <t>YERLY JOHANA SILVA</t>
  </si>
  <si>
    <t>3156607863</t>
  </si>
  <si>
    <t>28020995</t>
  </si>
  <si>
    <t>YESENIA YUBERLY GOMEZ MANTILLA</t>
  </si>
  <si>
    <t>1121212131</t>
  </si>
  <si>
    <t>YESICA PAOLA PARENTE</t>
  </si>
  <si>
    <t>1047479</t>
  </si>
  <si>
    <t>YESICA PUELLO</t>
  </si>
  <si>
    <t>13565251</t>
  </si>
  <si>
    <t>YESID JARAMILLO</t>
  </si>
  <si>
    <t>3152184562</t>
  </si>
  <si>
    <t>IE INEM CUSTODIO GARCIA ROV SEDE E</t>
  </si>
  <si>
    <t>1096225740</t>
  </si>
  <si>
    <t>YESSICA ISAZA MUÑOZ</t>
  </si>
  <si>
    <t>3143639803</t>
  </si>
  <si>
    <t>COL BLANCA DURAN DE PADILLA SEDE A</t>
  </si>
  <si>
    <t>1096220408</t>
  </si>
  <si>
    <t>YESSICA PAOLA LOZANO GIL</t>
  </si>
  <si>
    <t>3014993721</t>
  </si>
  <si>
    <t>1098718080</t>
  </si>
  <si>
    <t>YIBETH GONZALES SILVA</t>
  </si>
  <si>
    <t>3105722390</t>
  </si>
  <si>
    <t>Barrio Provenza</t>
  </si>
  <si>
    <t>1096197837</t>
  </si>
  <si>
    <t>YINA PAOLA BOHORQUEZ VILLAMIZAR</t>
  </si>
  <si>
    <t>3114982720</t>
  </si>
  <si>
    <t>37555581</t>
  </si>
  <si>
    <t>YOBANA BUENAHORA</t>
  </si>
  <si>
    <t>3173322671</t>
  </si>
  <si>
    <t>40145199</t>
  </si>
  <si>
    <t>YOLANDA ANDOQUE</t>
  </si>
  <si>
    <t>41057693</t>
  </si>
  <si>
    <t>YOLANDA CHEIVA</t>
  </si>
  <si>
    <t>42646378</t>
  </si>
  <si>
    <t>YOLANDA EDID ZULUAGA GARCIA</t>
  </si>
  <si>
    <t>3105949086</t>
  </si>
  <si>
    <t>22820363</t>
  </si>
  <si>
    <t>YOLEIDIS PONCE RODELO</t>
  </si>
  <si>
    <t>3012500905</t>
  </si>
  <si>
    <t>1007769391</t>
  </si>
  <si>
    <t>YOLEIDY NAZARIO</t>
  </si>
  <si>
    <t>1121214976</t>
  </si>
  <si>
    <t>YOLIMA SILVA</t>
  </si>
  <si>
    <t>1122267922</t>
  </si>
  <si>
    <t>YOLY PTRICIA CASTILLO</t>
  </si>
  <si>
    <t>1121202892</t>
  </si>
  <si>
    <t>YOLY RIVAS</t>
  </si>
  <si>
    <t>1005176871</t>
  </si>
  <si>
    <t>YORDAN SILVA</t>
  </si>
  <si>
    <t>3219283299</t>
  </si>
  <si>
    <t>1097638416</t>
  </si>
  <si>
    <t>YORGUIN AUGUSTO RODRIGUEZ GORDILLO</t>
  </si>
  <si>
    <t>3222662229</t>
  </si>
  <si>
    <t>COLEGIO MICROEMPRESARIAL EL CARME SEDE C</t>
  </si>
  <si>
    <t>63553337</t>
  </si>
  <si>
    <t>YOSMERY VARGAS FIGUEROA</t>
  </si>
  <si>
    <t>3019508975</t>
  </si>
  <si>
    <t>1013611460</t>
  </si>
  <si>
    <t>YUBER QUINTERO</t>
  </si>
  <si>
    <t>3134801089</t>
  </si>
  <si>
    <t xml:space="preserve">SANTA MATILDE	</t>
  </si>
  <si>
    <t>69023355</t>
  </si>
  <si>
    <t>YUDY MARCELA JIMENEZ YEPEZ</t>
  </si>
  <si>
    <t>1095813387</t>
  </si>
  <si>
    <t>YULENA TARAZONA</t>
  </si>
  <si>
    <t>3015913811</t>
  </si>
  <si>
    <t>NSTITUTO CARACOLI</t>
  </si>
  <si>
    <t>1121210050</t>
  </si>
  <si>
    <t>YULIANA OLIVEIRA</t>
  </si>
  <si>
    <t>1098790933</t>
  </si>
  <si>
    <t>YULI ANDREA SIERRA</t>
  </si>
  <si>
    <t>1121219559</t>
  </si>
  <si>
    <t>YULI CORDEIRO</t>
  </si>
  <si>
    <t>1098635656</t>
  </si>
  <si>
    <t>YULIETH BANCO</t>
  </si>
  <si>
    <t>3157468589</t>
  </si>
  <si>
    <t>1095931596</t>
  </si>
  <si>
    <t>YULIETH DURAN</t>
  </si>
  <si>
    <t>3143320140</t>
  </si>
  <si>
    <t>COL.ROBERTO GARCIA PEÑA/SEDE A</t>
  </si>
  <si>
    <t>1096200818</t>
  </si>
  <si>
    <t>YULIETH INES SILVA MELLADO</t>
  </si>
  <si>
    <t>3208540951</t>
  </si>
  <si>
    <t>Colegio 26 De Marzo Sede D (Alcaza</t>
  </si>
  <si>
    <t>1098666960</t>
  </si>
  <si>
    <t>YULI JAIMES</t>
  </si>
  <si>
    <t>3184242621</t>
  </si>
  <si>
    <t>1232988272</t>
  </si>
  <si>
    <t>YULISA GUERRERO</t>
  </si>
  <si>
    <t>3005580085</t>
  </si>
  <si>
    <t>1098716018</t>
  </si>
  <si>
    <t>YULI TATIANA CASTILLO TORRES</t>
  </si>
  <si>
    <t>3167317515</t>
  </si>
  <si>
    <t>I.E. LUIS CARLOS GALAN SARMIENTO</t>
  </si>
  <si>
    <t>1129536818</t>
  </si>
  <si>
    <t>YULNEIDER MENDOZA</t>
  </si>
  <si>
    <t>3246062603</t>
  </si>
  <si>
    <t>Sitionuevo</t>
  </si>
  <si>
    <t>PALERMO</t>
  </si>
  <si>
    <t>1098661979</t>
  </si>
  <si>
    <t>YULY GELVES JAIMES</t>
  </si>
  <si>
    <t>3177405161</t>
  </si>
  <si>
    <t>1122267075</t>
  </si>
  <si>
    <t>YURANY JIMENEZ</t>
  </si>
  <si>
    <t>1100889076</t>
  </si>
  <si>
    <t>YURITH YASNAYA SANGUINO SARABIA</t>
  </si>
  <si>
    <t>Santa Cruz</t>
  </si>
  <si>
    <t>1098739207</t>
  </si>
  <si>
    <t>YURLEY CACERES BUENO</t>
  </si>
  <si>
    <t>3142598152</t>
  </si>
  <si>
    <t>1095820900</t>
  </si>
  <si>
    <t>YURLEY RAMIREZ</t>
  </si>
  <si>
    <t>3167387634</t>
  </si>
  <si>
    <t>España</t>
  </si>
  <si>
    <t>Valladolid</t>
  </si>
  <si>
    <t>1098688688</t>
  </si>
  <si>
    <t>YURLY FRANCENY GARCIA RODRIGUEZ</t>
  </si>
  <si>
    <t>3137171319</t>
  </si>
  <si>
    <t>Col Ciudadela Educativa Sede G</t>
  </si>
  <si>
    <t>63537179</t>
  </si>
  <si>
    <t>YURY MARTINEZ</t>
  </si>
  <si>
    <t>3004753774</t>
  </si>
  <si>
    <t>1095935870</t>
  </si>
  <si>
    <t>ZENAIDA ROJAS</t>
  </si>
  <si>
    <t>3103667710</t>
  </si>
  <si>
    <t>40179680</t>
  </si>
  <si>
    <t>ZOILA VELA LINARES</t>
  </si>
  <si>
    <t>63554781</t>
  </si>
  <si>
    <t>ZORAIDA CASTELLANOS GARCIA</t>
  </si>
  <si>
    <t>3182429864</t>
  </si>
  <si>
    <t>41056567</t>
  </si>
  <si>
    <t>ZORAIDA CHEIVA IRIARTE</t>
  </si>
  <si>
    <t>28236632</t>
  </si>
  <si>
    <t>ZORAIDA FLOREZ</t>
  </si>
  <si>
    <t>HAYUELOS CENTRO COMERCIAL</t>
  </si>
  <si>
    <t>37793977</t>
  </si>
  <si>
    <t>ZORAIDA ORDOÑEZ MEJIA</t>
  </si>
  <si>
    <t>3229177692</t>
  </si>
  <si>
    <t>Colegio El Castillo Sede E</t>
  </si>
  <si>
    <t>378321393</t>
  </si>
  <si>
    <t>ZORAIDA PRADA</t>
  </si>
  <si>
    <t>3187616000</t>
  </si>
  <si>
    <t>63319650</t>
  </si>
  <si>
    <t>ZULAY SUAREZ</t>
  </si>
  <si>
    <t>3225119886</t>
  </si>
  <si>
    <t>1030595114</t>
  </si>
  <si>
    <t>ZULMA JULIETH CRUZ</t>
  </si>
  <si>
    <t>3504787622</t>
  </si>
  <si>
    <t>COLEGIO LA AMISTAD</t>
  </si>
  <si>
    <t>1098647255</t>
  </si>
  <si>
    <t>ZULY ZARAY RUIZ AMADO</t>
  </si>
  <si>
    <t>3222240285</t>
  </si>
  <si>
    <t>I.E LA JUVENTUD SEDE A</t>
  </si>
  <si>
    <t>capitanes</t>
  </si>
  <si>
    <t>transporte</t>
  </si>
  <si>
    <t>almuerzos</t>
  </si>
  <si>
    <t>total</t>
  </si>
  <si>
    <t xml:space="preserve">Betty </t>
  </si>
  <si>
    <t>mauricio</t>
  </si>
  <si>
    <t>gustavo</t>
  </si>
  <si>
    <t>Fernando</t>
  </si>
  <si>
    <t>yen</t>
  </si>
  <si>
    <t>Mauricio</t>
  </si>
  <si>
    <t>Gustavo</t>
  </si>
  <si>
    <t>transaccion mañana</t>
  </si>
  <si>
    <t>capitan</t>
  </si>
  <si>
    <t xml:space="preserve">almuerzo </t>
  </si>
  <si>
    <t>TOTAL</t>
  </si>
  <si>
    <t>Haladores</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</si>
</sst>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libri"/>
      <scheme val="minor"/>
    </font>
    <font>
      <sz val="11.0"/>
      <color theme="1"/>
      <name val="Calibri"/>
    </font>
    <font>
      <sz val="12.0"/>
      <color rgb="FF000000"/>
      <name val="Calibri"/>
    </font>
    <font>
      <sz val="12.0"/>
      <color theme="1"/>
      <name val="Calibri"/>
    </font>
    <font>
      <color theme="1"/>
      <name val="Calibri"/>
      <scheme val="minor"/>
    </font>
    <font>
      <color theme="1"/>
      <name val="Arial"/>
    </font>
    <font>
      <b/>
      <sz val="11.0"/>
      <color theme="1"/>
      <name val="Calibri"/>
    </font>
    <font>
      <i/>
      <color theme="1"/>
      <name val="Calibri"/>
      <scheme val="minor"/>
    </font>
    <font>
      <b/>
      <i/>
      <color theme="1"/>
      <name val="Calibri"/>
      <scheme val="minor"/>
    </font>
    <font>
      <i/>
      <sz val="11.0"/>
      <color theme="1"/>
      <name val="Calibri"/>
    </font>
    <font>
      <b/>
      <i/>
      <sz val="11.0"/>
      <color theme="1"/>
      <name val="Calibri"/>
    </font>
  </fonts>
  <fills count="5">
    <fill>
      <patternFill patternType="none"/>
    </fill>
    <fill>
      <patternFill patternType="lightGray"/>
    </fill>
    <fill>
      <patternFill patternType="solid">
        <fgColor rgb="FFFFFFFF"/>
        <bgColor rgb="FFFFFFFF"/>
      </patternFill>
    </fill>
    <fill>
      <patternFill patternType="solid">
        <fgColor rgb="FF6AA84F"/>
        <bgColor rgb="FF6AA84F"/>
      </patternFill>
    </fill>
    <fill>
      <patternFill patternType="solid">
        <fgColor rgb="FFFF0000"/>
        <bgColor rgb="FFFF0000"/>
      </patternFill>
    </fill>
  </fills>
  <borders count="2">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1" xfId="0" applyAlignment="1" applyFont="1" applyNumberFormat="1">
      <alignment horizontal="right" vertical="bottom"/>
    </xf>
    <xf borderId="0" fillId="0" fontId="1" numFmtId="0" xfId="0" applyAlignment="1" applyFont="1">
      <alignment vertical="bottom"/>
    </xf>
    <xf borderId="0" fillId="0" fontId="1" numFmtId="49" xfId="0" applyAlignment="1" applyFont="1" applyNumberFormat="1">
      <alignment vertical="bottom"/>
    </xf>
    <xf borderId="1" fillId="2" fontId="2" numFmtId="0" xfId="0" applyAlignment="1" applyBorder="1" applyFill="1" applyFont="1">
      <alignment readingOrder="0" vertical="bottom"/>
    </xf>
    <xf borderId="0" fillId="0" fontId="3" numFmtId="0" xfId="0" applyAlignment="1" applyFont="1">
      <alignment readingOrder="0" vertical="bottom"/>
    </xf>
    <xf borderId="1" fillId="2" fontId="4" numFmtId="0" xfId="0" applyAlignment="1" applyBorder="1" applyFont="1">
      <alignment readingOrder="0" vertical="bottom"/>
    </xf>
    <xf borderId="0" fillId="0" fontId="1" numFmtId="0" xfId="0" applyAlignment="1" applyFont="1">
      <alignment horizontal="right" vertical="bottom"/>
    </xf>
    <xf borderId="0" fillId="0" fontId="1" numFmtId="0" xfId="0" applyAlignment="1" applyFont="1">
      <alignment vertical="bottom"/>
    </xf>
    <xf borderId="0" fillId="0" fontId="4" numFmtId="0" xfId="0" applyFont="1"/>
    <xf borderId="0" fillId="0" fontId="5" numFmtId="0" xfId="0" applyAlignment="1" applyFont="1">
      <alignment vertical="bottom"/>
    </xf>
    <xf borderId="0" fillId="0" fontId="4" numFmtId="0" xfId="0" applyAlignment="1" applyFont="1">
      <alignment readingOrder="0"/>
    </xf>
    <xf borderId="0" fillId="0" fontId="4" numFmtId="0" xfId="0" applyAlignment="1" applyFont="1">
      <alignment readingOrder="0"/>
    </xf>
    <xf borderId="1" fillId="2" fontId="2" numFmtId="49" xfId="0" applyAlignment="1" applyBorder="1" applyFont="1" applyNumberFormat="1">
      <alignment readingOrder="0" vertical="bottom"/>
    </xf>
    <xf borderId="1" fillId="2" fontId="4" numFmtId="0" xfId="0" applyAlignment="1" applyBorder="1" applyFont="1">
      <alignment vertical="bottom"/>
    </xf>
    <xf borderId="0" fillId="3" fontId="1" numFmtId="0" xfId="0" applyAlignment="1" applyFill="1" applyFont="1">
      <alignment vertical="bottom"/>
    </xf>
    <xf borderId="0" fillId="3" fontId="5" numFmtId="0" xfId="0" applyAlignment="1" applyFont="1">
      <alignment vertical="bottom"/>
    </xf>
    <xf borderId="0" fillId="4" fontId="1" numFmtId="0" xfId="0" applyAlignment="1" applyFill="1" applyFont="1">
      <alignment vertical="bottom"/>
    </xf>
    <xf borderId="0" fillId="4" fontId="5" numFmtId="0" xfId="0" applyAlignment="1" applyFont="1">
      <alignment vertical="bottom"/>
    </xf>
    <xf borderId="0" fillId="3" fontId="1" numFmtId="0" xfId="0" applyAlignment="1" applyFont="1">
      <alignment vertical="bottom"/>
    </xf>
    <xf borderId="0" fillId="3" fontId="5" numFmtId="0" xfId="0" applyAlignment="1" applyFont="1">
      <alignment vertical="bottom"/>
    </xf>
    <xf borderId="0" fillId="4" fontId="1" numFmtId="0" xfId="0" applyAlignment="1" applyFont="1">
      <alignment vertical="bottom"/>
    </xf>
    <xf borderId="0" fillId="0" fontId="1" numFmtId="0" xfId="0" applyAlignment="1" applyFont="1">
      <alignment horizontal="right" vertical="bottom"/>
    </xf>
    <xf borderId="0" fillId="0" fontId="5" numFmtId="0" xfId="0" applyAlignment="1" applyFont="1">
      <alignment readingOrder="0" vertical="bottom"/>
    </xf>
    <xf borderId="0" fillId="4" fontId="5" numFmtId="0" xfId="0" applyAlignment="1" applyFont="1">
      <alignment vertical="bottom"/>
    </xf>
    <xf borderId="0" fillId="0" fontId="1" numFmtId="0" xfId="0" applyAlignment="1" applyFont="1">
      <alignment horizontal="right" readingOrder="0" vertical="bottom"/>
    </xf>
    <xf borderId="0" fillId="0" fontId="6" numFmtId="0" xfId="0" applyAlignment="1" applyFont="1">
      <alignment vertical="bottom"/>
    </xf>
    <xf borderId="0" fillId="0" fontId="1" numFmtId="0" xfId="0" applyAlignment="1" applyFont="1">
      <alignment readingOrder="0" vertical="bottom"/>
    </xf>
    <xf borderId="0" fillId="0" fontId="7" numFmtId="0" xfId="0" applyFont="1"/>
    <xf borderId="0" fillId="0" fontId="7" numFmtId="0" xfId="0" applyAlignment="1" applyFont="1">
      <alignment readingOrder="0"/>
    </xf>
    <xf borderId="1" fillId="2" fontId="4" numFmtId="0" xfId="0" applyAlignment="1" applyBorder="1" applyFont="1">
      <alignment vertical="bottom"/>
    </xf>
    <xf borderId="0" fillId="0" fontId="8" numFmtId="0" xfId="0" applyAlignment="1" applyFont="1">
      <alignment readingOrder="0"/>
    </xf>
    <xf borderId="0" fillId="0" fontId="9" numFmtId="0" xfId="0" applyAlignment="1" applyFont="1">
      <alignment vertical="bottom"/>
    </xf>
    <xf borderId="0" fillId="3" fontId="9" numFmtId="0" xfId="0" applyAlignment="1" applyFont="1">
      <alignment vertical="bottom"/>
    </xf>
    <xf borderId="0" fillId="4" fontId="9" numFmtId="0" xfId="0" applyAlignment="1" applyFont="1">
      <alignment vertical="bottom"/>
    </xf>
    <xf borderId="0" fillId="0" fontId="10" numFmtId="0" xfId="0" applyAlignment="1" applyFont="1">
      <alignment vertical="bottom"/>
    </xf>
    <xf borderId="1" fillId="2" fontId="5" numFmtId="0" xfId="0" applyAlignment="1" applyBorder="1" applyFont="1">
      <alignment vertical="bottom"/>
    </xf>
    <xf borderId="1" fillId="2" fontId="3" numFmtId="0" xfId="0" applyAlignment="1" applyBorder="1" applyFont="1">
      <alignment vertical="bottom"/>
    </xf>
    <xf borderId="0" fillId="0" fontId="1" numFmtId="1" xfId="0" applyAlignment="1" applyFont="1" applyNumberFormat="1">
      <alignment horizontal="left" readingOrder="0" vertical="bottom"/>
    </xf>
    <xf borderId="0" fillId="0" fontId="1" numFmtId="1" xfId="0" applyAlignment="1" applyFont="1" applyNumberFormat="1">
      <alignment horizontal="right" readingOrder="0" vertical="bottom"/>
    </xf>
    <xf borderId="1" fillId="2" fontId="5" numFmtId="0" xfId="0" applyAlignment="1" applyBorder="1" applyFont="1">
      <alignment vertical="bottom"/>
    </xf>
    <xf borderId="1" fillId="4" fontId="5" numFmtId="0" xfId="0" applyAlignment="1" applyBorder="1" applyFont="1">
      <alignment vertical="bottom"/>
    </xf>
    <xf borderId="1" fillId="2" fontId="3" numFmtId="0" xfId="0" applyAlignment="1" applyBorder="1" applyFont="1">
      <alignment readingOrder="0" vertical="bottom"/>
    </xf>
    <xf borderId="1" fillId="3" fontId="3" numFmtId="0" xfId="0" applyAlignment="1" applyBorder="1" applyFont="1">
      <alignment vertical="bottom"/>
    </xf>
    <xf borderId="1" fillId="3" fontId="5" numFmtId="0" xfId="0" applyAlignment="1" applyBorder="1" applyFont="1">
      <alignment vertical="bottom"/>
    </xf>
    <xf borderId="1" fillId="4" fontId="3" numFmtId="0" xfId="0" applyAlignment="1" applyBorder="1" applyFont="1">
      <alignment vertical="bottom"/>
    </xf>
    <xf borderId="1" fillId="4" fontId="5" numFmtId="0" xfId="0" applyAlignment="1" applyBorder="1" applyFont="1">
      <alignment vertical="bottom"/>
    </xf>
    <xf borderId="1" fillId="3" fontId="5" numFmtId="0" xfId="0" applyAlignment="1" applyBorder="1" applyFont="1">
      <alignment vertical="bottom"/>
    </xf>
  </cellXfs>
  <cellStyles count="1">
    <cellStyle xfId="0" name="Normal" builtinId="0"/>
  </cellStyles>
  <dxfs count="3">
    <dxf>
      <font>
        <color rgb="FF000000"/>
      </font>
      <fill>
        <patternFill patternType="solid">
          <fgColor rgb="FF6AA84F"/>
          <bgColor rgb="FF6AA84F"/>
        </patternFill>
      </fill>
      <border/>
    </dxf>
    <dxf>
      <font/>
      <fill>
        <patternFill patternType="solid">
          <fgColor rgb="FFFF0000"/>
          <bgColor rgb="FFFF00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14"/>
    <col customWidth="1" min="2" max="2" width="20.0"/>
    <col customWidth="1" min="3" max="3" width="20.57"/>
    <col customWidth="1" min="4" max="4" width="41.14"/>
    <col customWidth="1" min="5" max="5" width="28.14"/>
    <col customWidth="1" min="6" max="6" width="22.29"/>
    <col customWidth="1" min="7" max="7" width="21.14"/>
    <col customWidth="1" min="8" max="9" width="37.71"/>
    <col customWidth="1" min="10" max="10" width="45.86"/>
    <col customWidth="1" min="11" max="11" width="15.86"/>
    <col customWidth="1" min="12" max="12" width="22.71"/>
    <col customWidth="1" min="13" max="13" width="11.0"/>
    <col customWidth="1" min="14" max="14" width="13.86"/>
    <col customWidth="1" min="15" max="15" width="19.29"/>
    <col customWidth="1" min="16" max="16" width="19.86"/>
    <col customWidth="1" min="17" max="25" width="16.43"/>
    <col customWidth="1" min="26" max="26" width="17.57"/>
  </cols>
  <sheetData>
    <row r="1" ht="14.25" customHeight="1">
      <c r="A1" s="1" t="s">
        <v>0</v>
      </c>
      <c r="B1" s="2" t="s">
        <v>1</v>
      </c>
      <c r="C1" s="2" t="s">
        <v>2</v>
      </c>
      <c r="D1" s="2" t="s">
        <v>3</v>
      </c>
      <c r="E1" s="3" t="s">
        <v>4</v>
      </c>
      <c r="F1" s="4" t="s">
        <v>5</v>
      </c>
      <c r="G1" s="4" t="s">
        <v>6</v>
      </c>
      <c r="H1" s="5" t="s">
        <v>7</v>
      </c>
      <c r="I1" s="4" t="s">
        <v>8</v>
      </c>
      <c r="J1" s="6" t="s">
        <v>9</v>
      </c>
      <c r="K1" s="7" t="s">
        <v>10</v>
      </c>
      <c r="L1" s="8" t="s">
        <v>11</v>
      </c>
      <c r="M1" s="9" t="s">
        <v>12</v>
      </c>
      <c r="N1" s="9" t="s">
        <v>13</v>
      </c>
      <c r="O1" s="10" t="s">
        <v>14</v>
      </c>
      <c r="P1" s="11" t="s">
        <v>15</v>
      </c>
      <c r="Q1" s="12" t="s">
        <v>16</v>
      </c>
      <c r="R1" s="12" t="s">
        <v>17</v>
      </c>
      <c r="S1" s="12" t="s">
        <v>18</v>
      </c>
      <c r="T1" s="12" t="s">
        <v>19</v>
      </c>
      <c r="U1" s="12" t="s">
        <v>20</v>
      </c>
      <c r="V1" s="12" t="s">
        <v>21</v>
      </c>
      <c r="W1" s="12" t="s">
        <v>22</v>
      </c>
      <c r="X1" s="12" t="s">
        <v>23</v>
      </c>
      <c r="Y1" s="12" t="s">
        <v>24</v>
      </c>
      <c r="Z1" s="12" t="s">
        <v>25</v>
      </c>
    </row>
    <row r="2" ht="14.25" hidden="1" customHeight="1">
      <c r="A2" s="13" t="s">
        <v>26</v>
      </c>
      <c r="B2" s="4" t="s">
        <v>27</v>
      </c>
      <c r="C2" s="4" t="s">
        <v>28</v>
      </c>
      <c r="D2" s="4" t="s">
        <v>29</v>
      </c>
      <c r="E2" s="4">
        <v>3.22292338E9</v>
      </c>
      <c r="F2" s="4" t="s">
        <v>30</v>
      </c>
      <c r="G2" s="4" t="s">
        <v>31</v>
      </c>
      <c r="H2" s="14"/>
      <c r="I2" s="4" t="s">
        <v>32</v>
      </c>
      <c r="J2" s="14"/>
      <c r="K2" s="14"/>
      <c r="L2" s="14"/>
    </row>
    <row r="3" ht="14.25" hidden="1" customHeight="1">
      <c r="A3" s="13" t="s">
        <v>33</v>
      </c>
      <c r="B3" s="4" t="s">
        <v>27</v>
      </c>
      <c r="C3" s="4" t="s">
        <v>28</v>
      </c>
      <c r="D3" s="4" t="s">
        <v>34</v>
      </c>
      <c r="E3" s="4">
        <v>3.126882431E9</v>
      </c>
      <c r="F3" s="4" t="s">
        <v>30</v>
      </c>
      <c r="G3" s="4" t="s">
        <v>35</v>
      </c>
      <c r="H3" s="14"/>
      <c r="I3" s="4" t="s">
        <v>32</v>
      </c>
      <c r="J3" s="14"/>
      <c r="K3" s="14"/>
      <c r="L3" s="14"/>
    </row>
    <row r="4" ht="14.25" customHeight="1">
      <c r="A4" s="1">
        <v>9.1282547E7</v>
      </c>
      <c r="B4" s="2" t="s">
        <v>27</v>
      </c>
      <c r="C4" s="2" t="s">
        <v>28</v>
      </c>
      <c r="D4" s="2" t="s">
        <v>36</v>
      </c>
      <c r="E4" s="3" t="s">
        <v>37</v>
      </c>
      <c r="F4" s="4" t="s">
        <v>38</v>
      </c>
      <c r="G4" s="4" t="s">
        <v>39</v>
      </c>
      <c r="H4" s="15" t="s">
        <v>40</v>
      </c>
      <c r="I4" s="4" t="s">
        <v>41</v>
      </c>
      <c r="J4" s="6" t="s">
        <v>42</v>
      </c>
      <c r="K4" s="7">
        <v>4.0</v>
      </c>
      <c r="L4" s="8" t="s">
        <v>43</v>
      </c>
      <c r="M4" s="9">
        <v>3.0</v>
      </c>
      <c r="N4" s="9" t="s">
        <v>44</v>
      </c>
      <c r="O4" s="10"/>
      <c r="P4" s="10"/>
      <c r="Q4" s="10"/>
      <c r="R4" s="10"/>
      <c r="S4" s="10"/>
      <c r="T4" s="10"/>
      <c r="U4" s="10"/>
      <c r="V4" s="10"/>
      <c r="W4" s="10"/>
      <c r="X4" s="10"/>
      <c r="Y4" s="10"/>
      <c r="Z4" s="10"/>
    </row>
    <row r="5" ht="14.25" hidden="1" customHeight="1">
      <c r="A5" s="13" t="s">
        <v>45</v>
      </c>
      <c r="B5" s="4" t="s">
        <v>27</v>
      </c>
      <c r="C5" s="4" t="s">
        <v>28</v>
      </c>
      <c r="D5" s="4" t="s">
        <v>46</v>
      </c>
      <c r="E5" s="4">
        <v>3.118713141E9</v>
      </c>
      <c r="F5" s="4" t="s">
        <v>30</v>
      </c>
      <c r="G5" s="4" t="s">
        <v>35</v>
      </c>
      <c r="H5" s="14"/>
      <c r="I5" s="4" t="s">
        <v>32</v>
      </c>
      <c r="J5" s="14"/>
      <c r="K5" s="14"/>
      <c r="L5" s="14"/>
    </row>
    <row r="6" ht="14.25" hidden="1" customHeight="1">
      <c r="A6" s="13" t="s">
        <v>47</v>
      </c>
      <c r="B6" s="4" t="s">
        <v>27</v>
      </c>
      <c r="C6" s="4" t="s">
        <v>28</v>
      </c>
      <c r="D6" s="4" t="s">
        <v>48</v>
      </c>
      <c r="E6" s="4">
        <v>3.125540939E9</v>
      </c>
      <c r="F6" s="4" t="s">
        <v>30</v>
      </c>
      <c r="G6" s="4" t="s">
        <v>35</v>
      </c>
      <c r="H6" s="14"/>
      <c r="I6" s="4" t="s">
        <v>32</v>
      </c>
      <c r="J6" s="14"/>
      <c r="K6" s="14"/>
      <c r="L6" s="14"/>
    </row>
    <row r="7" ht="14.25" customHeight="1">
      <c r="A7" s="1">
        <v>1.098672618E9</v>
      </c>
      <c r="B7" s="2" t="s">
        <v>27</v>
      </c>
      <c r="C7" s="2" t="s">
        <v>28</v>
      </c>
      <c r="D7" s="2" t="s">
        <v>49</v>
      </c>
      <c r="E7" s="3" t="s">
        <v>50</v>
      </c>
      <c r="F7" s="4" t="s">
        <v>38</v>
      </c>
      <c r="G7" s="4" t="s">
        <v>39</v>
      </c>
      <c r="H7" s="16"/>
      <c r="I7" s="4" t="s">
        <v>51</v>
      </c>
      <c r="J7" s="6" t="s">
        <v>52</v>
      </c>
      <c r="K7" s="7">
        <v>28.0</v>
      </c>
      <c r="L7" s="8" t="s">
        <v>53</v>
      </c>
      <c r="M7" s="9">
        <v>2.0</v>
      </c>
      <c r="N7" s="9" t="s">
        <v>44</v>
      </c>
      <c r="O7" s="10"/>
      <c r="P7" s="10"/>
      <c r="Q7" s="10"/>
      <c r="R7" s="10"/>
      <c r="S7" s="10"/>
      <c r="T7" s="10"/>
      <c r="U7" s="10"/>
      <c r="V7" s="10"/>
      <c r="W7" s="10"/>
      <c r="X7" s="10"/>
      <c r="Y7" s="10"/>
      <c r="Z7" s="10"/>
    </row>
    <row r="8" ht="14.25" hidden="1" customHeight="1">
      <c r="A8" s="13" t="s">
        <v>54</v>
      </c>
      <c r="B8" s="4" t="s">
        <v>27</v>
      </c>
      <c r="C8" s="4" t="s">
        <v>28</v>
      </c>
      <c r="D8" s="4" t="s">
        <v>55</v>
      </c>
      <c r="E8" s="4">
        <v>3.126545437E9</v>
      </c>
      <c r="F8" s="4" t="s">
        <v>30</v>
      </c>
      <c r="G8" s="4" t="s">
        <v>35</v>
      </c>
      <c r="H8" s="14"/>
      <c r="I8" s="4" t="s">
        <v>32</v>
      </c>
      <c r="J8" s="14"/>
      <c r="K8" s="14"/>
      <c r="L8" s="14"/>
    </row>
    <row r="9" ht="14.25" customHeight="1">
      <c r="A9" s="1">
        <v>1.38115336E8</v>
      </c>
      <c r="B9" s="2" t="s">
        <v>27</v>
      </c>
      <c r="C9" s="2" t="s">
        <v>28</v>
      </c>
      <c r="D9" s="2" t="s">
        <v>56</v>
      </c>
      <c r="E9" s="3" t="s">
        <v>57</v>
      </c>
      <c r="F9" s="4" t="s">
        <v>38</v>
      </c>
      <c r="G9" s="4" t="s">
        <v>39</v>
      </c>
      <c r="H9" s="17" t="s">
        <v>58</v>
      </c>
      <c r="I9" s="4" t="s">
        <v>41</v>
      </c>
      <c r="J9" s="6"/>
      <c r="K9" s="7"/>
      <c r="L9" s="8"/>
      <c r="M9" s="9"/>
      <c r="N9" s="9" t="s">
        <v>59</v>
      </c>
      <c r="O9" s="10"/>
      <c r="P9" s="8" t="s">
        <v>60</v>
      </c>
      <c r="Q9" s="10"/>
      <c r="R9" s="10"/>
      <c r="S9" s="10"/>
      <c r="T9" s="10"/>
      <c r="U9" s="10"/>
      <c r="V9" s="10"/>
      <c r="W9" s="10"/>
      <c r="X9" s="10"/>
      <c r="Y9" s="10"/>
      <c r="Z9" s="10"/>
    </row>
    <row r="10" ht="14.25" hidden="1" customHeight="1">
      <c r="A10" s="13" t="s">
        <v>61</v>
      </c>
      <c r="B10" s="4" t="s">
        <v>27</v>
      </c>
      <c r="C10" s="4" t="s">
        <v>28</v>
      </c>
      <c r="D10" s="4" t="s">
        <v>62</v>
      </c>
      <c r="E10" s="4">
        <v>3.118012734E9</v>
      </c>
      <c r="F10" s="4" t="s">
        <v>30</v>
      </c>
      <c r="G10" s="4" t="s">
        <v>35</v>
      </c>
      <c r="H10" s="14"/>
      <c r="I10" s="4" t="s">
        <v>32</v>
      </c>
      <c r="J10" s="14"/>
      <c r="K10" s="14"/>
      <c r="L10" s="14"/>
    </row>
    <row r="11" ht="14.25" hidden="1" customHeight="1">
      <c r="A11" s="13" t="s">
        <v>63</v>
      </c>
      <c r="B11" s="4" t="s">
        <v>27</v>
      </c>
      <c r="C11" s="4" t="s">
        <v>28</v>
      </c>
      <c r="D11" s="4" t="s">
        <v>64</v>
      </c>
      <c r="E11" s="4">
        <v>3.118713141E9</v>
      </c>
      <c r="F11" s="4" t="s">
        <v>30</v>
      </c>
      <c r="G11" s="4" t="s">
        <v>35</v>
      </c>
      <c r="H11" s="14"/>
      <c r="I11" s="4" t="s">
        <v>32</v>
      </c>
      <c r="J11" s="14"/>
      <c r="K11" s="14"/>
      <c r="L11" s="14"/>
    </row>
    <row r="12" ht="14.25" customHeight="1">
      <c r="A12" s="1">
        <v>8.0031651E7</v>
      </c>
      <c r="B12" s="2" t="s">
        <v>65</v>
      </c>
      <c r="C12" s="2" t="s">
        <v>66</v>
      </c>
      <c r="D12" s="2" t="s">
        <v>67</v>
      </c>
      <c r="E12" s="3" t="s">
        <v>68</v>
      </c>
      <c r="F12" s="4" t="s">
        <v>69</v>
      </c>
      <c r="G12" s="4" t="s">
        <v>69</v>
      </c>
      <c r="H12" s="16"/>
      <c r="I12" s="4" t="s">
        <v>70</v>
      </c>
      <c r="J12" s="6" t="s">
        <v>71</v>
      </c>
      <c r="K12" s="7">
        <v>2.0</v>
      </c>
      <c r="L12" s="8" t="s">
        <v>72</v>
      </c>
      <c r="M12" s="9">
        <v>10.0</v>
      </c>
      <c r="N12" s="9" t="s">
        <v>44</v>
      </c>
      <c r="O12" s="10"/>
      <c r="P12" s="10"/>
      <c r="Q12" s="10"/>
      <c r="R12" s="10"/>
      <c r="S12" s="10"/>
      <c r="T12" s="10"/>
      <c r="U12" s="10"/>
      <c r="V12" s="10"/>
      <c r="W12" s="10"/>
      <c r="X12" s="10"/>
      <c r="Y12" s="10"/>
      <c r="Z12" s="10"/>
    </row>
    <row r="13" ht="14.25" customHeight="1">
      <c r="A13" s="1">
        <v>5.1973204E7</v>
      </c>
      <c r="B13" s="2" t="s">
        <v>27</v>
      </c>
      <c r="C13" s="2" t="s">
        <v>28</v>
      </c>
      <c r="D13" s="2" t="s">
        <v>73</v>
      </c>
      <c r="E13" s="3" t="s">
        <v>74</v>
      </c>
      <c r="F13" s="4" t="s">
        <v>38</v>
      </c>
      <c r="G13" s="4" t="s">
        <v>75</v>
      </c>
      <c r="H13" s="16"/>
      <c r="I13" s="4" t="s">
        <v>76</v>
      </c>
      <c r="J13" s="6" t="s">
        <v>77</v>
      </c>
      <c r="K13" s="7">
        <v>3.0</v>
      </c>
      <c r="L13" s="8" t="s">
        <v>78</v>
      </c>
      <c r="M13" s="9">
        <v>2.0</v>
      </c>
      <c r="N13" s="9" t="s">
        <v>44</v>
      </c>
      <c r="O13" s="10"/>
      <c r="P13" s="10"/>
      <c r="Q13" s="10"/>
      <c r="R13" s="10"/>
      <c r="S13" s="10"/>
      <c r="T13" s="10"/>
      <c r="U13" s="10"/>
      <c r="V13" s="10"/>
      <c r="W13" s="10"/>
      <c r="X13" s="10"/>
      <c r="Y13" s="10"/>
      <c r="Z13" s="10"/>
    </row>
    <row r="14" ht="14.25" customHeight="1">
      <c r="A14" s="1">
        <v>1.095912282E9</v>
      </c>
      <c r="B14" s="2" t="s">
        <v>27</v>
      </c>
      <c r="C14" s="2" t="s">
        <v>28</v>
      </c>
      <c r="D14" s="2" t="s">
        <v>79</v>
      </c>
      <c r="E14" s="3" t="s">
        <v>80</v>
      </c>
      <c r="F14" s="4" t="s">
        <v>38</v>
      </c>
      <c r="G14" s="4" t="s">
        <v>81</v>
      </c>
      <c r="H14" s="15" t="s">
        <v>82</v>
      </c>
      <c r="I14" s="4" t="s">
        <v>41</v>
      </c>
      <c r="J14" s="6" t="s">
        <v>83</v>
      </c>
      <c r="K14" s="7">
        <v>21.0</v>
      </c>
      <c r="L14" s="8" t="s">
        <v>43</v>
      </c>
      <c r="M14" s="9">
        <v>1.0</v>
      </c>
      <c r="N14" s="9" t="s">
        <v>44</v>
      </c>
      <c r="O14" s="10"/>
      <c r="P14" s="10"/>
      <c r="Q14" s="10"/>
      <c r="R14" s="10"/>
      <c r="S14" s="10"/>
      <c r="T14" s="10"/>
      <c r="U14" s="10"/>
      <c r="V14" s="10"/>
      <c r="W14" s="10"/>
      <c r="X14" s="10"/>
      <c r="Y14" s="10"/>
      <c r="Z14" s="10"/>
    </row>
    <row r="15" ht="14.25" hidden="1" customHeight="1">
      <c r="A15" s="13" t="s">
        <v>84</v>
      </c>
      <c r="B15" s="4" t="s">
        <v>27</v>
      </c>
      <c r="C15" s="4" t="s">
        <v>28</v>
      </c>
      <c r="D15" s="4" t="s">
        <v>85</v>
      </c>
      <c r="E15" s="4">
        <v>3.114037444E9</v>
      </c>
      <c r="F15" s="4" t="s">
        <v>30</v>
      </c>
      <c r="G15" s="4" t="s">
        <v>35</v>
      </c>
      <c r="H15" s="14"/>
      <c r="I15" s="4" t="s">
        <v>32</v>
      </c>
      <c r="J15" s="14"/>
      <c r="K15" s="14"/>
      <c r="L15" s="14"/>
    </row>
    <row r="16" ht="14.25" hidden="1" customHeight="1">
      <c r="A16" s="13" t="s">
        <v>86</v>
      </c>
      <c r="B16" s="4" t="s">
        <v>27</v>
      </c>
      <c r="C16" s="4" t="s">
        <v>28</v>
      </c>
      <c r="D16" s="4" t="s">
        <v>87</v>
      </c>
      <c r="E16" s="4">
        <v>3.14294672E9</v>
      </c>
      <c r="F16" s="4" t="s">
        <v>30</v>
      </c>
      <c r="G16" s="4" t="s">
        <v>35</v>
      </c>
      <c r="H16" s="14"/>
      <c r="I16" s="4" t="s">
        <v>32</v>
      </c>
      <c r="J16" s="14"/>
      <c r="K16" s="14"/>
      <c r="L16" s="14"/>
    </row>
    <row r="17" ht="14.25" hidden="1" customHeight="1">
      <c r="A17" s="13" t="s">
        <v>88</v>
      </c>
      <c r="B17" s="4" t="s">
        <v>27</v>
      </c>
      <c r="C17" s="4" t="s">
        <v>28</v>
      </c>
      <c r="D17" s="4" t="s">
        <v>89</v>
      </c>
      <c r="E17" s="4">
        <v>3.104858589E9</v>
      </c>
      <c r="F17" s="4" t="s">
        <v>30</v>
      </c>
      <c r="G17" s="4" t="s">
        <v>31</v>
      </c>
      <c r="H17" s="14"/>
      <c r="I17" s="4" t="s">
        <v>32</v>
      </c>
      <c r="J17" s="14"/>
      <c r="K17" s="14"/>
      <c r="L17" s="14"/>
    </row>
    <row r="18" ht="14.25" hidden="1" customHeight="1">
      <c r="A18" s="13" t="s">
        <v>90</v>
      </c>
      <c r="B18" s="4" t="s">
        <v>27</v>
      </c>
      <c r="C18" s="4" t="s">
        <v>28</v>
      </c>
      <c r="D18" s="4" t="s">
        <v>91</v>
      </c>
      <c r="E18" s="4">
        <v>3.113867755E9</v>
      </c>
      <c r="F18" s="4" t="s">
        <v>30</v>
      </c>
      <c r="G18" s="4" t="s">
        <v>35</v>
      </c>
      <c r="H18" s="14"/>
      <c r="I18" s="4" t="s">
        <v>32</v>
      </c>
      <c r="J18" s="14"/>
      <c r="K18" s="14"/>
      <c r="L18" s="14"/>
    </row>
    <row r="19" ht="14.25" hidden="1" customHeight="1">
      <c r="A19" s="13" t="s">
        <v>92</v>
      </c>
      <c r="B19" s="4" t="s">
        <v>27</v>
      </c>
      <c r="C19" s="4" t="s">
        <v>28</v>
      </c>
      <c r="D19" s="4" t="s">
        <v>93</v>
      </c>
      <c r="E19" s="4">
        <v>3.118713141E9</v>
      </c>
      <c r="F19" s="4" t="s">
        <v>30</v>
      </c>
      <c r="G19" s="4" t="s">
        <v>35</v>
      </c>
      <c r="H19" s="14"/>
      <c r="I19" s="4" t="s">
        <v>32</v>
      </c>
      <c r="J19" s="14"/>
      <c r="K19" s="14"/>
      <c r="L19" s="14"/>
    </row>
    <row r="20" ht="14.25" customHeight="1">
      <c r="A20" s="1">
        <v>2.2789548E7</v>
      </c>
      <c r="B20" s="2" t="s">
        <v>27</v>
      </c>
      <c r="C20" s="2" t="s">
        <v>28</v>
      </c>
      <c r="D20" s="2" t="s">
        <v>94</v>
      </c>
      <c r="E20" s="3" t="s">
        <v>95</v>
      </c>
      <c r="F20" s="4" t="s">
        <v>69</v>
      </c>
      <c r="G20" s="4" t="s">
        <v>69</v>
      </c>
      <c r="H20" s="18"/>
      <c r="I20" s="4" t="s">
        <v>51</v>
      </c>
      <c r="J20" s="6" t="s">
        <v>96</v>
      </c>
      <c r="K20" s="7">
        <v>5.0</v>
      </c>
      <c r="L20" s="8" t="s">
        <v>72</v>
      </c>
      <c r="M20" s="9">
        <v>10.0</v>
      </c>
      <c r="N20" s="9" t="s">
        <v>59</v>
      </c>
      <c r="O20" s="10"/>
      <c r="P20" s="10"/>
      <c r="Q20" s="10"/>
      <c r="R20" s="10"/>
      <c r="S20" s="10"/>
      <c r="T20" s="10"/>
      <c r="U20" s="10"/>
      <c r="V20" s="10"/>
      <c r="W20" s="10"/>
      <c r="X20" s="10"/>
      <c r="Y20" s="10"/>
      <c r="Z20" s="10"/>
    </row>
    <row r="21" ht="14.25" customHeight="1">
      <c r="A21" s="1">
        <v>6.33188E7</v>
      </c>
      <c r="B21" s="2" t="s">
        <v>27</v>
      </c>
      <c r="C21" s="2" t="s">
        <v>28</v>
      </c>
      <c r="D21" s="2" t="s">
        <v>97</v>
      </c>
      <c r="E21" s="3" t="s">
        <v>98</v>
      </c>
      <c r="F21" s="4" t="s">
        <v>38</v>
      </c>
      <c r="G21" s="4" t="s">
        <v>39</v>
      </c>
      <c r="H21" s="16"/>
      <c r="I21" s="4" t="s">
        <v>76</v>
      </c>
      <c r="J21" s="6" t="s">
        <v>99</v>
      </c>
      <c r="K21" s="7">
        <v>15.0</v>
      </c>
      <c r="L21" s="8" t="s">
        <v>43</v>
      </c>
      <c r="M21" s="9">
        <v>1.0</v>
      </c>
      <c r="N21" s="9" t="s">
        <v>44</v>
      </c>
      <c r="O21" s="10" t="s">
        <v>44</v>
      </c>
      <c r="P21" s="10"/>
      <c r="Q21" s="10"/>
      <c r="R21" s="10"/>
      <c r="S21" s="10"/>
      <c r="T21" s="10"/>
      <c r="U21" s="10"/>
      <c r="V21" s="10"/>
      <c r="W21" s="10"/>
      <c r="X21" s="10"/>
      <c r="Y21" s="10"/>
      <c r="Z21" s="10"/>
    </row>
    <row r="22" ht="14.25" customHeight="1">
      <c r="A22" s="1">
        <v>1.098798539E9</v>
      </c>
      <c r="B22" s="2" t="s">
        <v>27</v>
      </c>
      <c r="C22" s="2" t="s">
        <v>28</v>
      </c>
      <c r="D22" s="2" t="s">
        <v>100</v>
      </c>
      <c r="E22" s="3" t="s">
        <v>101</v>
      </c>
      <c r="F22" s="4" t="s">
        <v>38</v>
      </c>
      <c r="G22" s="4" t="s">
        <v>39</v>
      </c>
      <c r="H22" s="18"/>
      <c r="I22" s="4" t="s">
        <v>76</v>
      </c>
      <c r="J22" s="6" t="s">
        <v>102</v>
      </c>
      <c r="K22" s="7">
        <v>37.0</v>
      </c>
      <c r="L22" s="8" t="str">
        <f t="shared" ref="L22:L23" si="1">UPPER(G22)</f>
        <v>BUCARAMANGA</v>
      </c>
      <c r="M22" s="9">
        <v>15.0</v>
      </c>
      <c r="N22" s="9" t="s">
        <v>59</v>
      </c>
      <c r="O22" s="10"/>
      <c r="P22" s="10"/>
      <c r="Q22" s="10"/>
      <c r="R22" s="10"/>
      <c r="S22" s="10"/>
      <c r="T22" s="10"/>
      <c r="U22" s="10"/>
      <c r="V22" s="10"/>
      <c r="W22" s="10"/>
      <c r="X22" s="10"/>
      <c r="Y22" s="10"/>
      <c r="Z22" s="10"/>
    </row>
    <row r="23" ht="14.25" customHeight="1">
      <c r="A23" s="1">
        <v>1.15221001E9</v>
      </c>
      <c r="B23" s="2" t="s">
        <v>27</v>
      </c>
      <c r="C23" s="2" t="s">
        <v>66</v>
      </c>
      <c r="D23" s="2" t="s">
        <v>103</v>
      </c>
      <c r="E23" s="3" t="s">
        <v>104</v>
      </c>
      <c r="F23" s="4" t="s">
        <v>105</v>
      </c>
      <c r="G23" s="4" t="s">
        <v>106</v>
      </c>
      <c r="H23" s="19" t="s">
        <v>107</v>
      </c>
      <c r="I23" s="4" t="s">
        <v>70</v>
      </c>
      <c r="J23" s="6" t="s">
        <v>108</v>
      </c>
      <c r="K23" s="7">
        <v>29.0</v>
      </c>
      <c r="L23" s="8" t="str">
        <f t="shared" si="1"/>
        <v>SABANETA</v>
      </c>
      <c r="M23" s="9">
        <v>3.0</v>
      </c>
      <c r="N23" s="9" t="s">
        <v>44</v>
      </c>
      <c r="O23" s="10"/>
      <c r="P23" s="10"/>
      <c r="Q23" s="10"/>
      <c r="R23" s="10"/>
      <c r="S23" s="10"/>
      <c r="T23" s="10"/>
      <c r="U23" s="10"/>
      <c r="V23" s="10"/>
      <c r="W23" s="10"/>
      <c r="X23" s="10"/>
      <c r="Y23" s="10"/>
      <c r="Z23" s="10"/>
    </row>
    <row r="24" ht="14.25" hidden="1" customHeight="1">
      <c r="A24" s="13" t="s">
        <v>109</v>
      </c>
      <c r="B24" s="4" t="s">
        <v>27</v>
      </c>
      <c r="C24" s="4" t="s">
        <v>28</v>
      </c>
      <c r="D24" s="4" t="s">
        <v>110</v>
      </c>
      <c r="E24" s="4">
        <v>3.124295466E9</v>
      </c>
      <c r="F24" s="4" t="s">
        <v>30</v>
      </c>
      <c r="G24" s="4" t="s">
        <v>35</v>
      </c>
      <c r="H24" s="14"/>
      <c r="I24" s="4" t="s">
        <v>32</v>
      </c>
      <c r="J24" s="14"/>
      <c r="K24" s="14"/>
      <c r="L24" s="14"/>
    </row>
    <row r="25" ht="14.25" customHeight="1">
      <c r="A25" s="1">
        <v>7701292.0</v>
      </c>
      <c r="B25" s="2" t="s">
        <v>27</v>
      </c>
      <c r="C25" s="2" t="s">
        <v>28</v>
      </c>
      <c r="D25" s="2" t="s">
        <v>111</v>
      </c>
      <c r="E25" s="3" t="s">
        <v>112</v>
      </c>
      <c r="F25" s="4" t="s">
        <v>38</v>
      </c>
      <c r="G25" s="4" t="s">
        <v>113</v>
      </c>
      <c r="H25" s="20"/>
      <c r="I25" s="4" t="s">
        <v>70</v>
      </c>
      <c r="J25" s="6" t="s">
        <v>114</v>
      </c>
      <c r="K25" s="7" t="s">
        <v>115</v>
      </c>
      <c r="L25" s="8" t="str">
        <f t="shared" ref="L25:L26" si="2">UPPER(G25)</f>
        <v>BARRANCABERMEJA</v>
      </c>
      <c r="M25" s="9">
        <v>1.0</v>
      </c>
      <c r="N25" s="9" t="s">
        <v>44</v>
      </c>
      <c r="O25" s="10" t="s">
        <v>44</v>
      </c>
      <c r="P25" s="10"/>
      <c r="Q25" s="10"/>
      <c r="R25" s="10"/>
      <c r="S25" s="10"/>
      <c r="T25" s="10"/>
      <c r="U25" s="10"/>
      <c r="V25" s="10"/>
      <c r="W25" s="10"/>
      <c r="X25" s="10"/>
      <c r="Y25" s="10"/>
      <c r="Z25" s="10"/>
    </row>
    <row r="26" ht="14.25" customHeight="1">
      <c r="A26" s="1">
        <v>6.3214196E7</v>
      </c>
      <c r="B26" s="2" t="s">
        <v>27</v>
      </c>
      <c r="C26" s="2" t="s">
        <v>28</v>
      </c>
      <c r="D26" s="2" t="s">
        <v>116</v>
      </c>
      <c r="E26" s="3" t="s">
        <v>117</v>
      </c>
      <c r="F26" s="4" t="s">
        <v>38</v>
      </c>
      <c r="G26" s="4" t="s">
        <v>39</v>
      </c>
      <c r="H26" s="21" t="s">
        <v>118</v>
      </c>
      <c r="I26" s="4" t="s">
        <v>41</v>
      </c>
      <c r="J26" s="6"/>
      <c r="K26" s="7"/>
      <c r="L26" s="8" t="str">
        <f t="shared" si="2"/>
        <v>BUCARAMANGA</v>
      </c>
      <c r="M26" s="9"/>
      <c r="N26" s="9" t="s">
        <v>59</v>
      </c>
      <c r="O26" s="10"/>
      <c r="P26" s="8" t="s">
        <v>119</v>
      </c>
      <c r="Q26" s="10"/>
      <c r="R26" s="10"/>
      <c r="S26" s="10"/>
      <c r="T26" s="10"/>
      <c r="U26" s="10"/>
      <c r="V26" s="10"/>
      <c r="W26" s="10"/>
      <c r="X26" s="10"/>
      <c r="Y26" s="10"/>
      <c r="Z26" s="10"/>
    </row>
    <row r="27" ht="14.25" hidden="1" customHeight="1">
      <c r="A27" s="13" t="s">
        <v>120</v>
      </c>
      <c r="B27" s="4" t="s">
        <v>27</v>
      </c>
      <c r="C27" s="4" t="s">
        <v>28</v>
      </c>
      <c r="D27" s="4" t="s">
        <v>121</v>
      </c>
      <c r="E27" s="4">
        <v>3.214695482E9</v>
      </c>
      <c r="F27" s="4" t="s">
        <v>30</v>
      </c>
      <c r="G27" s="4" t="s">
        <v>35</v>
      </c>
      <c r="H27" s="14"/>
      <c r="I27" s="4" t="s">
        <v>32</v>
      </c>
      <c r="J27" s="14"/>
      <c r="K27" s="14"/>
      <c r="L27" s="14"/>
    </row>
    <row r="28" ht="14.25" customHeight="1">
      <c r="A28" s="1">
        <v>1.005163002E9</v>
      </c>
      <c r="B28" s="2" t="s">
        <v>27</v>
      </c>
      <c r="C28" s="2" t="s">
        <v>28</v>
      </c>
      <c r="D28" s="2" t="s">
        <v>122</v>
      </c>
      <c r="E28" s="3" t="s">
        <v>123</v>
      </c>
      <c r="F28" s="4" t="s">
        <v>38</v>
      </c>
      <c r="G28" s="4" t="s">
        <v>39</v>
      </c>
      <c r="H28" s="20"/>
      <c r="I28" s="4" t="s">
        <v>76</v>
      </c>
      <c r="J28" s="6" t="s">
        <v>124</v>
      </c>
      <c r="K28" s="7">
        <v>2.0</v>
      </c>
      <c r="L28" s="8" t="str">
        <f t="shared" ref="L28:L29" si="3">UPPER(G28)</f>
        <v>BUCARAMANGA</v>
      </c>
      <c r="M28" s="9">
        <v>3.0</v>
      </c>
      <c r="N28" s="9" t="s">
        <v>44</v>
      </c>
      <c r="O28" s="10"/>
      <c r="P28" s="10"/>
      <c r="Q28" s="10"/>
      <c r="R28" s="10"/>
      <c r="S28" s="10"/>
      <c r="T28" s="10"/>
      <c r="U28" s="10"/>
      <c r="V28" s="10"/>
      <c r="W28" s="10"/>
      <c r="X28" s="10"/>
      <c r="Y28" s="10"/>
      <c r="Z28" s="10"/>
    </row>
    <row r="29" ht="14.25" customHeight="1">
      <c r="A29" s="1">
        <v>1.09879424E9</v>
      </c>
      <c r="B29" s="2" t="s">
        <v>27</v>
      </c>
      <c r="C29" s="2" t="s">
        <v>28</v>
      </c>
      <c r="D29" s="2" t="s">
        <v>125</v>
      </c>
      <c r="E29" s="3" t="s">
        <v>126</v>
      </c>
      <c r="F29" s="4" t="s">
        <v>38</v>
      </c>
      <c r="G29" s="4" t="s">
        <v>39</v>
      </c>
      <c r="H29" s="19" t="s">
        <v>127</v>
      </c>
      <c r="I29" s="4" t="s">
        <v>76</v>
      </c>
      <c r="J29" s="6" t="s">
        <v>128</v>
      </c>
      <c r="K29" s="7">
        <v>40.0</v>
      </c>
      <c r="L29" s="8" t="str">
        <f t="shared" si="3"/>
        <v>BUCARAMANGA</v>
      </c>
      <c r="M29" s="9">
        <v>5.0</v>
      </c>
      <c r="N29" s="9" t="s">
        <v>44</v>
      </c>
      <c r="O29" s="10"/>
      <c r="P29" s="10"/>
      <c r="Q29" s="10"/>
      <c r="R29" s="10"/>
      <c r="S29" s="10"/>
      <c r="T29" s="10"/>
      <c r="U29" s="10"/>
      <c r="V29" s="10"/>
      <c r="W29" s="10"/>
      <c r="X29" s="10"/>
      <c r="Y29" s="10"/>
      <c r="Z29" s="10"/>
    </row>
    <row r="30" ht="14.25" hidden="1" customHeight="1">
      <c r="A30" s="13" t="s">
        <v>129</v>
      </c>
      <c r="B30" s="4" t="s">
        <v>27</v>
      </c>
      <c r="C30" s="4" t="s">
        <v>28</v>
      </c>
      <c r="D30" s="4" t="s">
        <v>130</v>
      </c>
      <c r="E30" s="4">
        <v>3.134657058E9</v>
      </c>
      <c r="F30" s="4" t="s">
        <v>30</v>
      </c>
      <c r="G30" s="4" t="s">
        <v>35</v>
      </c>
      <c r="H30" s="14"/>
      <c r="I30" s="4" t="s">
        <v>32</v>
      </c>
      <c r="J30" s="14"/>
      <c r="K30" s="14"/>
      <c r="L30" s="14"/>
    </row>
    <row r="31" ht="14.25" customHeight="1">
      <c r="A31" s="1">
        <v>1.024576737E9</v>
      </c>
      <c r="B31" s="2" t="s">
        <v>27</v>
      </c>
      <c r="C31" s="2" t="s">
        <v>28</v>
      </c>
      <c r="D31" s="2" t="s">
        <v>131</v>
      </c>
      <c r="E31" s="3" t="s">
        <v>132</v>
      </c>
      <c r="F31" s="4" t="s">
        <v>69</v>
      </c>
      <c r="G31" s="4" t="s">
        <v>69</v>
      </c>
      <c r="H31" s="17" t="s">
        <v>133</v>
      </c>
      <c r="I31" s="4" t="s">
        <v>51</v>
      </c>
      <c r="J31" s="6"/>
      <c r="K31" s="7"/>
      <c r="L31" s="8" t="str">
        <f>UPPER(G31)</f>
        <v>BOGOTA</v>
      </c>
      <c r="M31" s="9"/>
      <c r="N31" s="9" t="s">
        <v>59</v>
      </c>
      <c r="O31" s="10"/>
      <c r="P31" s="8" t="s">
        <v>119</v>
      </c>
      <c r="Q31" s="10"/>
      <c r="R31" s="10"/>
      <c r="S31" s="10"/>
      <c r="T31" s="10"/>
      <c r="U31" s="10"/>
      <c r="V31" s="10"/>
      <c r="W31" s="10"/>
      <c r="X31" s="10"/>
      <c r="Y31" s="10"/>
      <c r="Z31" s="10"/>
    </row>
    <row r="32" ht="14.25" hidden="1" customHeight="1">
      <c r="A32" s="13" t="s">
        <v>134</v>
      </c>
      <c r="B32" s="4" t="s">
        <v>27</v>
      </c>
      <c r="C32" s="4" t="s">
        <v>28</v>
      </c>
      <c r="D32" s="4" t="s">
        <v>135</v>
      </c>
      <c r="E32" s="4">
        <v>3.118713141E9</v>
      </c>
      <c r="F32" s="4" t="s">
        <v>30</v>
      </c>
      <c r="G32" s="4" t="s">
        <v>31</v>
      </c>
      <c r="H32" s="14"/>
      <c r="I32" s="4" t="s">
        <v>32</v>
      </c>
      <c r="J32" s="14"/>
      <c r="K32" s="14"/>
      <c r="L32" s="14"/>
    </row>
    <row r="33" ht="14.25" hidden="1" customHeight="1">
      <c r="A33" s="13" t="s">
        <v>136</v>
      </c>
      <c r="B33" s="4" t="s">
        <v>27</v>
      </c>
      <c r="C33" s="4" t="s">
        <v>28</v>
      </c>
      <c r="D33" s="4" t="s">
        <v>137</v>
      </c>
      <c r="E33" s="4">
        <v>3.14294672E9</v>
      </c>
      <c r="F33" s="4" t="s">
        <v>30</v>
      </c>
      <c r="G33" s="4" t="s">
        <v>35</v>
      </c>
      <c r="H33" s="14"/>
      <c r="I33" s="4" t="s">
        <v>32</v>
      </c>
      <c r="J33" s="14"/>
      <c r="K33" s="14"/>
      <c r="L33" s="14"/>
    </row>
    <row r="34" ht="14.25" customHeight="1">
      <c r="A34" s="1">
        <v>9.12863626E8</v>
      </c>
      <c r="B34" s="2" t="s">
        <v>27</v>
      </c>
      <c r="C34" s="2" t="s">
        <v>28</v>
      </c>
      <c r="D34" s="2" t="s">
        <v>138</v>
      </c>
      <c r="E34" s="3" t="s">
        <v>139</v>
      </c>
      <c r="F34" s="4" t="s">
        <v>38</v>
      </c>
      <c r="G34" s="4" t="s">
        <v>39</v>
      </c>
      <c r="H34" s="17" t="s">
        <v>140</v>
      </c>
      <c r="I34" s="4" t="s">
        <v>141</v>
      </c>
      <c r="J34" s="6"/>
      <c r="K34" s="7"/>
      <c r="L34" s="8" t="str">
        <f>UPPER(G34)</f>
        <v>BUCARAMANGA</v>
      </c>
      <c r="M34" s="9"/>
      <c r="N34" s="9" t="s">
        <v>59</v>
      </c>
      <c r="O34" s="10"/>
      <c r="P34" s="8" t="s">
        <v>119</v>
      </c>
      <c r="Q34" s="10"/>
      <c r="R34" s="10"/>
      <c r="S34" s="10"/>
      <c r="T34" s="10"/>
      <c r="U34" s="10"/>
      <c r="V34" s="10"/>
      <c r="W34" s="10"/>
      <c r="X34" s="10"/>
      <c r="Y34" s="10"/>
      <c r="Z34" s="10"/>
    </row>
    <row r="35" ht="14.25" hidden="1" customHeight="1">
      <c r="A35" s="13" t="s">
        <v>142</v>
      </c>
      <c r="B35" s="4" t="s">
        <v>27</v>
      </c>
      <c r="C35" s="4" t="s">
        <v>28</v>
      </c>
      <c r="D35" s="4" t="s">
        <v>143</v>
      </c>
      <c r="E35" s="4">
        <v>3.132541018E9</v>
      </c>
      <c r="F35" s="4" t="s">
        <v>30</v>
      </c>
      <c r="G35" s="4" t="s">
        <v>31</v>
      </c>
      <c r="H35" s="14"/>
      <c r="I35" s="4" t="s">
        <v>32</v>
      </c>
      <c r="J35" s="14"/>
      <c r="K35" s="14"/>
      <c r="L35" s="14"/>
    </row>
    <row r="36" ht="14.25" hidden="1" customHeight="1">
      <c r="A36" s="13" t="s">
        <v>144</v>
      </c>
      <c r="B36" s="4" t="s">
        <v>27</v>
      </c>
      <c r="C36" s="4" t="s">
        <v>28</v>
      </c>
      <c r="D36" s="4" t="s">
        <v>145</v>
      </c>
      <c r="E36" s="4">
        <v>3.104858589E9</v>
      </c>
      <c r="F36" s="4" t="s">
        <v>30</v>
      </c>
      <c r="G36" s="4" t="s">
        <v>31</v>
      </c>
      <c r="H36" s="14"/>
      <c r="I36" s="4" t="s">
        <v>32</v>
      </c>
      <c r="J36" s="14"/>
      <c r="K36" s="14"/>
      <c r="L36" s="14"/>
    </row>
    <row r="37" ht="14.25" hidden="1" customHeight="1">
      <c r="A37" s="13" t="s">
        <v>146</v>
      </c>
      <c r="B37" s="4" t="s">
        <v>27</v>
      </c>
      <c r="C37" s="4" t="s">
        <v>28</v>
      </c>
      <c r="D37" s="4" t="s">
        <v>147</v>
      </c>
      <c r="E37" s="4">
        <v>3.118713141E9</v>
      </c>
      <c r="F37" s="4" t="s">
        <v>30</v>
      </c>
      <c r="G37" s="4" t="s">
        <v>35</v>
      </c>
      <c r="H37" s="14"/>
      <c r="I37" s="4" t="s">
        <v>32</v>
      </c>
      <c r="J37" s="14"/>
      <c r="K37" s="14"/>
      <c r="L37" s="14"/>
    </row>
    <row r="38" ht="14.25" hidden="1" customHeight="1">
      <c r="A38" s="13" t="s">
        <v>148</v>
      </c>
      <c r="B38" s="4" t="s">
        <v>27</v>
      </c>
      <c r="C38" s="4" t="s">
        <v>28</v>
      </c>
      <c r="D38" s="4" t="s">
        <v>149</v>
      </c>
      <c r="E38" s="4">
        <v>3.229457091E9</v>
      </c>
      <c r="F38" s="4" t="s">
        <v>30</v>
      </c>
      <c r="G38" s="4" t="s">
        <v>31</v>
      </c>
      <c r="H38" s="14"/>
      <c r="I38" s="4" t="s">
        <v>32</v>
      </c>
      <c r="J38" s="14"/>
      <c r="K38" s="14"/>
      <c r="L38" s="14"/>
    </row>
    <row r="39" ht="14.25" hidden="1" customHeight="1">
      <c r="A39" s="13" t="s">
        <v>150</v>
      </c>
      <c r="B39" s="4" t="s">
        <v>27</v>
      </c>
      <c r="C39" s="4" t="s">
        <v>28</v>
      </c>
      <c r="D39" s="4" t="s">
        <v>151</v>
      </c>
      <c r="E39" s="4">
        <v>3.169857941E9</v>
      </c>
      <c r="F39" s="4" t="s">
        <v>30</v>
      </c>
      <c r="G39" s="4" t="s">
        <v>35</v>
      </c>
      <c r="H39" s="14"/>
      <c r="I39" s="4" t="s">
        <v>32</v>
      </c>
      <c r="J39" s="14"/>
      <c r="K39" s="14"/>
      <c r="L39" s="14"/>
    </row>
    <row r="40" ht="14.25" customHeight="1">
      <c r="A40" s="1">
        <v>7.9787891E7</v>
      </c>
      <c r="B40" s="2" t="s">
        <v>27</v>
      </c>
      <c r="C40" s="2" t="s">
        <v>28</v>
      </c>
      <c r="D40" s="2" t="s">
        <v>152</v>
      </c>
      <c r="E40" s="3" t="s">
        <v>153</v>
      </c>
      <c r="F40" s="4" t="s">
        <v>69</v>
      </c>
      <c r="G40" s="4" t="s">
        <v>69</v>
      </c>
      <c r="H40" s="18"/>
      <c r="I40" s="4" t="s">
        <v>51</v>
      </c>
      <c r="J40" s="6"/>
      <c r="K40" s="7"/>
      <c r="L40" s="8" t="str">
        <f t="shared" ref="L40:L43" si="4">UPPER(G40)</f>
        <v>BOGOTA</v>
      </c>
      <c r="M40" s="9"/>
      <c r="N40" s="9" t="s">
        <v>59</v>
      </c>
      <c r="O40" s="10"/>
      <c r="P40" s="8" t="s">
        <v>119</v>
      </c>
      <c r="Q40" s="10"/>
      <c r="R40" s="10"/>
      <c r="S40" s="10"/>
      <c r="T40" s="10"/>
      <c r="U40" s="10"/>
      <c r="V40" s="10"/>
      <c r="W40" s="10"/>
      <c r="X40" s="10"/>
      <c r="Y40" s="10"/>
      <c r="Z40" s="10"/>
    </row>
    <row r="41" ht="14.25" customHeight="1">
      <c r="A41" s="1">
        <v>1.030650957E9</v>
      </c>
      <c r="B41" s="2" t="s">
        <v>27</v>
      </c>
      <c r="C41" s="2" t="s">
        <v>28</v>
      </c>
      <c r="D41" s="2" t="s">
        <v>154</v>
      </c>
      <c r="E41" s="3" t="s">
        <v>155</v>
      </c>
      <c r="F41" s="4" t="s">
        <v>69</v>
      </c>
      <c r="G41" s="4" t="s">
        <v>69</v>
      </c>
      <c r="H41" s="17" t="s">
        <v>133</v>
      </c>
      <c r="I41" s="4" t="s">
        <v>51</v>
      </c>
      <c r="J41" s="6" t="s">
        <v>156</v>
      </c>
      <c r="K41" s="7">
        <v>8.0</v>
      </c>
      <c r="L41" s="8" t="str">
        <f t="shared" si="4"/>
        <v>BOGOTA</v>
      </c>
      <c r="M41" s="9">
        <v>14.0</v>
      </c>
      <c r="N41" s="9" t="s">
        <v>59</v>
      </c>
      <c r="O41" s="10"/>
      <c r="P41" s="10"/>
      <c r="Q41" s="10"/>
      <c r="R41" s="10"/>
      <c r="S41" s="10"/>
      <c r="T41" s="10"/>
      <c r="U41" s="10"/>
      <c r="V41" s="10"/>
      <c r="W41" s="10"/>
      <c r="X41" s="10"/>
      <c r="Y41" s="10"/>
      <c r="Z41" s="10"/>
    </row>
    <row r="42" ht="14.25" customHeight="1">
      <c r="A42" s="1">
        <v>7617211.0</v>
      </c>
      <c r="B42" s="2" t="s">
        <v>27</v>
      </c>
      <c r="C42" s="2" t="s">
        <v>28</v>
      </c>
      <c r="D42" s="2" t="s">
        <v>157</v>
      </c>
      <c r="E42" s="3" t="s">
        <v>158</v>
      </c>
      <c r="F42" s="4" t="s">
        <v>38</v>
      </c>
      <c r="G42" s="4" t="s">
        <v>159</v>
      </c>
      <c r="H42" s="18"/>
      <c r="I42" s="4" t="s">
        <v>76</v>
      </c>
      <c r="J42" s="6" t="s">
        <v>160</v>
      </c>
      <c r="K42" s="7">
        <v>5.0</v>
      </c>
      <c r="L42" s="8" t="str">
        <f t="shared" si="4"/>
        <v>PIEDECUESTA</v>
      </c>
      <c r="M42" s="9">
        <v>1.0</v>
      </c>
      <c r="N42" s="9" t="s">
        <v>59</v>
      </c>
      <c r="O42" s="10"/>
      <c r="P42" s="10"/>
      <c r="Q42" s="10"/>
      <c r="R42" s="10"/>
      <c r="S42" s="10"/>
      <c r="T42" s="10"/>
      <c r="U42" s="10"/>
      <c r="V42" s="10"/>
      <c r="W42" s="10"/>
      <c r="X42" s="10"/>
      <c r="Y42" s="10"/>
      <c r="Z42" s="10"/>
    </row>
    <row r="43" ht="14.25" customHeight="1">
      <c r="A43" s="1">
        <v>1.09881467E9</v>
      </c>
      <c r="B43" s="2" t="s">
        <v>27</v>
      </c>
      <c r="C43" s="2" t="s">
        <v>28</v>
      </c>
      <c r="D43" s="2" t="s">
        <v>161</v>
      </c>
      <c r="E43" s="3" t="s">
        <v>162</v>
      </c>
      <c r="F43" s="4" t="s">
        <v>38</v>
      </c>
      <c r="G43" s="4" t="s">
        <v>39</v>
      </c>
      <c r="H43" s="15" t="s">
        <v>163</v>
      </c>
      <c r="I43" s="4" t="s">
        <v>164</v>
      </c>
      <c r="J43" s="6" t="s">
        <v>165</v>
      </c>
      <c r="K43" s="7">
        <v>10.0</v>
      </c>
      <c r="L43" s="8" t="str">
        <f t="shared" si="4"/>
        <v>BUCARAMANGA</v>
      </c>
      <c r="M43" s="9">
        <v>5.0</v>
      </c>
      <c r="N43" s="9" t="s">
        <v>44</v>
      </c>
      <c r="O43" s="10"/>
      <c r="P43" s="10"/>
      <c r="Q43" s="10"/>
      <c r="R43" s="10"/>
      <c r="S43" s="10"/>
      <c r="T43" s="10"/>
      <c r="U43" s="10"/>
      <c r="V43" s="10"/>
      <c r="W43" s="10"/>
      <c r="X43" s="10"/>
      <c r="Y43" s="10"/>
      <c r="Z43" s="10"/>
    </row>
    <row r="44" ht="14.25" hidden="1" customHeight="1">
      <c r="A44" s="13" t="s">
        <v>166</v>
      </c>
      <c r="B44" s="4" t="s">
        <v>27</v>
      </c>
      <c r="C44" s="4" t="s">
        <v>28</v>
      </c>
      <c r="D44" s="4" t="s">
        <v>167</v>
      </c>
      <c r="E44" s="4">
        <v>3.225958571E9</v>
      </c>
      <c r="F44" s="4" t="s">
        <v>30</v>
      </c>
      <c r="G44" s="4" t="s">
        <v>35</v>
      </c>
      <c r="H44" s="14"/>
      <c r="I44" s="4" t="s">
        <v>32</v>
      </c>
      <c r="J44" s="14"/>
      <c r="K44" s="14"/>
      <c r="L44" s="14"/>
    </row>
    <row r="45" ht="14.25" customHeight="1">
      <c r="A45" s="1">
        <v>2.8168738E7</v>
      </c>
      <c r="B45" s="2" t="s">
        <v>27</v>
      </c>
      <c r="C45" s="2" t="s">
        <v>28</v>
      </c>
      <c r="D45" s="2" t="s">
        <v>168</v>
      </c>
      <c r="E45" s="3" t="s">
        <v>169</v>
      </c>
      <c r="F45" s="4" t="s">
        <v>38</v>
      </c>
      <c r="G45" s="4" t="s">
        <v>170</v>
      </c>
      <c r="H45" s="18"/>
      <c r="I45" s="4" t="s">
        <v>164</v>
      </c>
      <c r="J45" s="6" t="s">
        <v>171</v>
      </c>
      <c r="K45" s="7">
        <v>5.0</v>
      </c>
      <c r="L45" s="8" t="str">
        <f t="shared" ref="L45:L46" si="5">UPPER(G45)</f>
        <v>GUADALUPE</v>
      </c>
      <c r="M45" s="9">
        <v>1.0</v>
      </c>
      <c r="N45" s="9" t="s">
        <v>59</v>
      </c>
      <c r="O45" s="10"/>
      <c r="P45" s="10"/>
      <c r="Q45" s="10"/>
      <c r="R45" s="10"/>
      <c r="S45" s="10"/>
      <c r="T45" s="10"/>
      <c r="U45" s="10"/>
      <c r="V45" s="10"/>
      <c r="W45" s="10"/>
      <c r="X45" s="10"/>
      <c r="Y45" s="10"/>
      <c r="Z45" s="10"/>
    </row>
    <row r="46" ht="14.25" customHeight="1">
      <c r="A46" s="1">
        <v>9.1497938E7</v>
      </c>
      <c r="B46" s="2" t="s">
        <v>27</v>
      </c>
      <c r="C46" s="2" t="s">
        <v>28</v>
      </c>
      <c r="D46" s="2" t="s">
        <v>172</v>
      </c>
      <c r="E46" s="3" t="s">
        <v>173</v>
      </c>
      <c r="F46" s="4" t="s">
        <v>38</v>
      </c>
      <c r="G46" s="4" t="s">
        <v>81</v>
      </c>
      <c r="H46" s="18"/>
      <c r="I46" s="4" t="s">
        <v>41</v>
      </c>
      <c r="J46" s="6" t="s">
        <v>174</v>
      </c>
      <c r="K46" s="7">
        <v>15.0</v>
      </c>
      <c r="L46" s="8" t="str">
        <f t="shared" si="5"/>
        <v>FLORIDABLANCA</v>
      </c>
      <c r="M46" s="9"/>
      <c r="N46" s="9" t="s">
        <v>59</v>
      </c>
      <c r="O46" s="10"/>
      <c r="P46" s="10"/>
      <c r="Q46" s="10"/>
      <c r="R46" s="10"/>
      <c r="S46" s="10"/>
      <c r="T46" s="10"/>
      <c r="U46" s="10"/>
      <c r="V46" s="10"/>
      <c r="W46" s="10"/>
      <c r="X46" s="10"/>
      <c r="Y46" s="10"/>
      <c r="Z46" s="10"/>
    </row>
    <row r="47" ht="14.25" hidden="1" customHeight="1">
      <c r="A47" s="13" t="s">
        <v>175</v>
      </c>
      <c r="B47" s="4" t="s">
        <v>27</v>
      </c>
      <c r="C47" s="4" t="s">
        <v>28</v>
      </c>
      <c r="D47" s="4" t="s">
        <v>176</v>
      </c>
      <c r="E47" s="4">
        <v>3.134657058E9</v>
      </c>
      <c r="F47" s="4" t="s">
        <v>30</v>
      </c>
      <c r="G47" s="4" t="s">
        <v>35</v>
      </c>
      <c r="H47" s="14"/>
      <c r="I47" s="4" t="s">
        <v>32</v>
      </c>
      <c r="J47" s="14"/>
      <c r="K47" s="14"/>
      <c r="L47" s="14"/>
    </row>
    <row r="48" ht="14.25" hidden="1" customHeight="1">
      <c r="A48" s="13" t="s">
        <v>177</v>
      </c>
      <c r="B48" s="4" t="s">
        <v>27</v>
      </c>
      <c r="C48" s="4" t="s">
        <v>28</v>
      </c>
      <c r="D48" s="4" t="s">
        <v>178</v>
      </c>
      <c r="E48" s="4">
        <v>3.102211527E9</v>
      </c>
      <c r="F48" s="4" t="s">
        <v>30</v>
      </c>
      <c r="G48" s="4" t="s">
        <v>35</v>
      </c>
      <c r="H48" s="14"/>
      <c r="I48" s="4" t="s">
        <v>32</v>
      </c>
      <c r="J48" s="14"/>
      <c r="K48" s="14"/>
      <c r="L48" s="14"/>
    </row>
    <row r="49" ht="14.25" customHeight="1">
      <c r="A49" s="1">
        <v>1.096203964E9</v>
      </c>
      <c r="B49" s="2" t="s">
        <v>27</v>
      </c>
      <c r="C49" s="2" t="s">
        <v>28</v>
      </c>
      <c r="D49" s="2" t="s">
        <v>179</v>
      </c>
      <c r="E49" s="3" t="s">
        <v>180</v>
      </c>
      <c r="F49" s="4" t="s">
        <v>69</v>
      </c>
      <c r="G49" s="4" t="s">
        <v>69</v>
      </c>
      <c r="H49" s="15" t="s">
        <v>181</v>
      </c>
      <c r="I49" s="4" t="s">
        <v>182</v>
      </c>
      <c r="J49" s="6" t="s">
        <v>183</v>
      </c>
      <c r="K49" s="7">
        <v>18.0</v>
      </c>
      <c r="L49" s="8" t="str">
        <f>UPPER(G49)</f>
        <v>BOGOTA</v>
      </c>
      <c r="M49" s="9">
        <v>6.0</v>
      </c>
      <c r="N49" s="9" t="s">
        <v>44</v>
      </c>
      <c r="O49" s="10" t="s">
        <v>44</v>
      </c>
      <c r="P49" s="10"/>
      <c r="Q49" s="10"/>
      <c r="R49" s="10"/>
      <c r="S49" s="10"/>
      <c r="T49" s="10"/>
      <c r="U49" s="10"/>
      <c r="V49" s="10"/>
      <c r="W49" s="10"/>
      <c r="X49" s="10"/>
      <c r="Y49" s="10"/>
      <c r="Z49" s="10"/>
    </row>
    <row r="50" ht="14.25" hidden="1" customHeight="1">
      <c r="A50" s="13" t="s">
        <v>184</v>
      </c>
      <c r="B50" s="4" t="s">
        <v>27</v>
      </c>
      <c r="C50" s="4" t="s">
        <v>28</v>
      </c>
      <c r="D50" s="4" t="s">
        <v>185</v>
      </c>
      <c r="E50" s="4">
        <v>3.126882431E9</v>
      </c>
      <c r="F50" s="4" t="s">
        <v>30</v>
      </c>
      <c r="G50" s="4" t="s">
        <v>35</v>
      </c>
      <c r="H50" s="14"/>
      <c r="I50" s="4" t="s">
        <v>32</v>
      </c>
      <c r="J50" s="14"/>
      <c r="K50" s="14"/>
      <c r="L50" s="14"/>
    </row>
    <row r="51" ht="14.25" hidden="1" customHeight="1">
      <c r="A51" s="13" t="s">
        <v>186</v>
      </c>
      <c r="B51" s="4" t="s">
        <v>27</v>
      </c>
      <c r="C51" s="4" t="s">
        <v>28</v>
      </c>
      <c r="D51" s="4" t="s">
        <v>187</v>
      </c>
      <c r="E51" s="4">
        <v>3.227649445E9</v>
      </c>
      <c r="F51" s="4" t="s">
        <v>30</v>
      </c>
      <c r="G51" s="4" t="s">
        <v>35</v>
      </c>
      <c r="H51" s="14"/>
      <c r="I51" s="4" t="s">
        <v>32</v>
      </c>
      <c r="J51" s="14"/>
      <c r="K51" s="14"/>
      <c r="L51" s="14"/>
    </row>
    <row r="52" ht="14.25" hidden="1" customHeight="1">
      <c r="A52" s="13" t="s">
        <v>188</v>
      </c>
      <c r="B52" s="4" t="s">
        <v>27</v>
      </c>
      <c r="C52" s="4" t="s">
        <v>28</v>
      </c>
      <c r="D52" s="4" t="s">
        <v>189</v>
      </c>
      <c r="E52" s="4">
        <v>3.22292338E9</v>
      </c>
      <c r="F52" s="4" t="s">
        <v>30</v>
      </c>
      <c r="G52" s="4" t="s">
        <v>31</v>
      </c>
      <c r="H52" s="14"/>
      <c r="I52" s="4" t="s">
        <v>32</v>
      </c>
      <c r="J52" s="14"/>
      <c r="K52" s="14"/>
      <c r="L52" s="14"/>
    </row>
    <row r="53" ht="14.25" hidden="1" customHeight="1">
      <c r="A53" s="13" t="s">
        <v>190</v>
      </c>
      <c r="B53" s="4" t="s">
        <v>27</v>
      </c>
      <c r="C53" s="4" t="s">
        <v>28</v>
      </c>
      <c r="D53" s="4" t="s">
        <v>191</v>
      </c>
      <c r="E53" s="4">
        <v>3.112886292E9</v>
      </c>
      <c r="F53" s="4" t="s">
        <v>30</v>
      </c>
      <c r="G53" s="4" t="s">
        <v>35</v>
      </c>
      <c r="H53" s="14"/>
      <c r="I53" s="4" t="s">
        <v>32</v>
      </c>
      <c r="J53" s="14"/>
      <c r="K53" s="14"/>
      <c r="L53" s="14"/>
    </row>
    <row r="54" ht="14.25" hidden="1" customHeight="1">
      <c r="A54" s="13" t="s">
        <v>192</v>
      </c>
      <c r="B54" s="4" t="s">
        <v>27</v>
      </c>
      <c r="C54" s="4" t="s">
        <v>28</v>
      </c>
      <c r="D54" s="4" t="s">
        <v>193</v>
      </c>
      <c r="E54" s="4">
        <v>3.118713141E9</v>
      </c>
      <c r="F54" s="4" t="s">
        <v>30</v>
      </c>
      <c r="G54" s="4" t="s">
        <v>31</v>
      </c>
      <c r="H54" s="14"/>
      <c r="I54" s="4" t="s">
        <v>32</v>
      </c>
      <c r="J54" s="14"/>
      <c r="K54" s="14"/>
      <c r="L54" s="14"/>
    </row>
    <row r="55" ht="14.25" hidden="1" customHeight="1">
      <c r="A55" s="13" t="s">
        <v>194</v>
      </c>
      <c r="B55" s="4" t="s">
        <v>27</v>
      </c>
      <c r="C55" s="4" t="s">
        <v>28</v>
      </c>
      <c r="D55" s="4" t="s">
        <v>195</v>
      </c>
      <c r="E55" s="4">
        <v>3.213289711E9</v>
      </c>
      <c r="F55" s="4" t="s">
        <v>30</v>
      </c>
      <c r="G55" s="4" t="s">
        <v>35</v>
      </c>
      <c r="H55" s="14"/>
      <c r="I55" s="4" t="s">
        <v>32</v>
      </c>
      <c r="J55" s="14"/>
      <c r="K55" s="14"/>
      <c r="L55" s="14"/>
    </row>
    <row r="56" ht="14.25" customHeight="1">
      <c r="A56" s="1">
        <v>1.3832672E7</v>
      </c>
      <c r="B56" s="2" t="s">
        <v>27</v>
      </c>
      <c r="C56" s="2" t="s">
        <v>28</v>
      </c>
      <c r="D56" s="2" t="s">
        <v>196</v>
      </c>
      <c r="E56" s="3" t="s">
        <v>197</v>
      </c>
      <c r="F56" s="4" t="s">
        <v>38</v>
      </c>
      <c r="G56" s="4" t="s">
        <v>39</v>
      </c>
      <c r="H56" s="15" t="s">
        <v>40</v>
      </c>
      <c r="I56" s="4" t="s">
        <v>41</v>
      </c>
      <c r="J56" s="6" t="s">
        <v>198</v>
      </c>
      <c r="K56" s="7">
        <v>1.0</v>
      </c>
      <c r="L56" s="8" t="str">
        <f t="shared" ref="L56:L58" si="6">UPPER(G56)</f>
        <v>BUCARAMANGA</v>
      </c>
      <c r="M56" s="9">
        <v>5.0</v>
      </c>
      <c r="N56" s="9" t="s">
        <v>44</v>
      </c>
      <c r="O56" s="10" t="s">
        <v>44</v>
      </c>
      <c r="P56" s="10"/>
      <c r="Q56" s="10"/>
      <c r="R56" s="10"/>
      <c r="S56" s="10"/>
      <c r="T56" s="10"/>
      <c r="U56" s="10"/>
      <c r="V56" s="10"/>
      <c r="W56" s="10"/>
      <c r="X56" s="10"/>
      <c r="Y56" s="10"/>
      <c r="Z56" s="10"/>
    </row>
    <row r="57" ht="14.25" customHeight="1">
      <c r="A57" s="1">
        <v>9.1346905E7</v>
      </c>
      <c r="B57" s="2" t="s">
        <v>27</v>
      </c>
      <c r="C57" s="2" t="s">
        <v>28</v>
      </c>
      <c r="D57" s="2" t="s">
        <v>199</v>
      </c>
      <c r="E57" s="3" t="s">
        <v>200</v>
      </c>
      <c r="F57" s="4" t="s">
        <v>38</v>
      </c>
      <c r="G57" s="4" t="s">
        <v>201</v>
      </c>
      <c r="H57" s="16"/>
      <c r="I57" s="4" t="s">
        <v>76</v>
      </c>
      <c r="J57" s="6" t="s">
        <v>202</v>
      </c>
      <c r="K57" s="7">
        <v>9.0</v>
      </c>
      <c r="L57" s="8" t="str">
        <f t="shared" si="6"/>
        <v>LEBRIJA</v>
      </c>
      <c r="M57" s="9">
        <v>1.0</v>
      </c>
      <c r="N57" s="9" t="s">
        <v>44</v>
      </c>
      <c r="O57" s="10" t="s">
        <v>44</v>
      </c>
      <c r="P57" s="10"/>
      <c r="Q57" s="10"/>
      <c r="R57" s="10"/>
      <c r="S57" s="10"/>
      <c r="T57" s="10"/>
      <c r="U57" s="10"/>
      <c r="V57" s="10"/>
      <c r="W57" s="10"/>
      <c r="X57" s="10"/>
      <c r="Y57" s="10"/>
      <c r="Z57" s="10"/>
    </row>
    <row r="58" ht="14.25" customHeight="1">
      <c r="A58" s="1">
        <v>9.1154158E7</v>
      </c>
      <c r="B58" s="2" t="s">
        <v>27</v>
      </c>
      <c r="C58" s="2" t="s">
        <v>28</v>
      </c>
      <c r="D58" s="2" t="s">
        <v>203</v>
      </c>
      <c r="E58" s="3" t="s">
        <v>204</v>
      </c>
      <c r="F58" s="4" t="s">
        <v>38</v>
      </c>
      <c r="G58" s="4" t="s">
        <v>81</v>
      </c>
      <c r="H58" s="16"/>
      <c r="I58" s="4" t="s">
        <v>164</v>
      </c>
      <c r="J58" s="6" t="s">
        <v>205</v>
      </c>
      <c r="K58" s="7">
        <v>7.0</v>
      </c>
      <c r="L58" s="8" t="str">
        <f t="shared" si="6"/>
        <v>FLORIDABLANCA</v>
      </c>
      <c r="M58" s="9">
        <v>1.0</v>
      </c>
      <c r="N58" s="9" t="s">
        <v>44</v>
      </c>
      <c r="O58" s="10"/>
      <c r="P58" s="10"/>
      <c r="Q58" s="10"/>
      <c r="R58" s="10"/>
      <c r="S58" s="10"/>
      <c r="T58" s="10"/>
      <c r="U58" s="10"/>
      <c r="V58" s="10"/>
      <c r="W58" s="10"/>
      <c r="X58" s="10"/>
      <c r="Y58" s="10"/>
      <c r="Z58" s="10"/>
    </row>
    <row r="59" ht="14.25" customHeight="1">
      <c r="A59" s="1">
        <v>5670615.0</v>
      </c>
      <c r="B59" s="2" t="s">
        <v>27</v>
      </c>
      <c r="C59" s="2" t="s">
        <v>28</v>
      </c>
      <c r="D59" s="2" t="s">
        <v>206</v>
      </c>
      <c r="E59" s="3" t="s">
        <v>207</v>
      </c>
      <c r="F59" s="4" t="s">
        <v>38</v>
      </c>
      <c r="G59" s="4" t="s">
        <v>39</v>
      </c>
      <c r="H59" s="16"/>
      <c r="I59" s="4" t="s">
        <v>76</v>
      </c>
      <c r="J59" s="6" t="s">
        <v>160</v>
      </c>
      <c r="K59" s="7">
        <v>2.0</v>
      </c>
      <c r="L59" s="8" t="s">
        <v>159</v>
      </c>
      <c r="M59" s="9">
        <v>1.0</v>
      </c>
      <c r="N59" s="9" t="s">
        <v>44</v>
      </c>
      <c r="O59" s="10"/>
      <c r="P59" s="10"/>
      <c r="R59" s="8" t="s">
        <v>208</v>
      </c>
      <c r="S59" s="22">
        <f>(COUNTIF($N$2:$N$4048,"si"))</f>
        <v>144</v>
      </c>
      <c r="T59" s="23" t="s">
        <v>209</v>
      </c>
      <c r="U59" s="22">
        <f>(COUNTIF($O$2:$O$4048,"si"))</f>
        <v>32</v>
      </c>
      <c r="V59" s="10"/>
      <c r="W59" s="10"/>
      <c r="X59" s="10"/>
      <c r="Y59" s="10"/>
      <c r="Z59" s="10"/>
    </row>
    <row r="60" ht="14.25" customHeight="1">
      <c r="A60" s="1">
        <v>2.2820175E7</v>
      </c>
      <c r="B60" s="2" t="s">
        <v>65</v>
      </c>
      <c r="C60" s="2" t="s">
        <v>28</v>
      </c>
      <c r="D60" s="2" t="s">
        <v>210</v>
      </c>
      <c r="E60" s="3" t="s">
        <v>211</v>
      </c>
      <c r="F60" s="4" t="s">
        <v>212</v>
      </c>
      <c r="G60" s="4" t="s">
        <v>213</v>
      </c>
      <c r="H60" s="18"/>
      <c r="I60" s="4" t="s">
        <v>70</v>
      </c>
      <c r="J60" s="6" t="s">
        <v>171</v>
      </c>
      <c r="K60" s="7">
        <v>6.0</v>
      </c>
      <c r="L60" s="8" t="str">
        <f>UPPER(G60)</f>
        <v>BARRANCO DE LOBA</v>
      </c>
      <c r="M60" s="9">
        <v>1.0</v>
      </c>
      <c r="N60" s="9" t="s">
        <v>59</v>
      </c>
      <c r="O60" s="10"/>
      <c r="P60" s="10"/>
      <c r="R60" s="8" t="s">
        <v>214</v>
      </c>
      <c r="S60" s="22">
        <f>(COUNTIF($N$3:$N$4055,"no"))</f>
        <v>93</v>
      </c>
      <c r="T60" s="10"/>
      <c r="U60" s="10"/>
      <c r="V60" s="10"/>
      <c r="W60" s="10"/>
      <c r="X60" s="10"/>
      <c r="Y60" s="10"/>
      <c r="Z60" s="10"/>
    </row>
    <row r="61" ht="14.25" hidden="1" customHeight="1">
      <c r="A61" s="13" t="s">
        <v>215</v>
      </c>
      <c r="B61" s="4" t="s">
        <v>27</v>
      </c>
      <c r="C61" s="4" t="s">
        <v>28</v>
      </c>
      <c r="D61" s="4" t="s">
        <v>216</v>
      </c>
      <c r="E61" s="4">
        <v>3.132541018E9</v>
      </c>
      <c r="F61" s="4" t="s">
        <v>30</v>
      </c>
      <c r="G61" s="4" t="s">
        <v>35</v>
      </c>
      <c r="H61" s="14"/>
      <c r="I61" s="4" t="s">
        <v>32</v>
      </c>
      <c r="J61" s="14"/>
      <c r="K61" s="14"/>
      <c r="L61" s="14"/>
    </row>
    <row r="62" ht="14.25" hidden="1" customHeight="1">
      <c r="A62" s="13" t="s">
        <v>217</v>
      </c>
      <c r="B62" s="4" t="s">
        <v>27</v>
      </c>
      <c r="C62" s="4" t="s">
        <v>28</v>
      </c>
      <c r="D62" s="4" t="s">
        <v>218</v>
      </c>
      <c r="E62" s="4">
        <v>3.132541018E9</v>
      </c>
      <c r="F62" s="4" t="s">
        <v>30</v>
      </c>
      <c r="G62" s="4" t="s">
        <v>35</v>
      </c>
      <c r="H62" s="14"/>
      <c r="I62" s="4" t="s">
        <v>32</v>
      </c>
      <c r="J62" s="14"/>
      <c r="K62" s="14"/>
      <c r="L62" s="14"/>
      <c r="Q62" s="22">
        <f>(COUNTIF($N$3:$N$1825,""))</f>
        <v>1586</v>
      </c>
    </row>
    <row r="63" ht="14.25" customHeight="1">
      <c r="A63" s="1">
        <v>9.12624762E8</v>
      </c>
      <c r="B63" s="2" t="s">
        <v>27</v>
      </c>
      <c r="C63" s="2" t="s">
        <v>28</v>
      </c>
      <c r="D63" s="2" t="s">
        <v>219</v>
      </c>
      <c r="E63" s="3" t="s">
        <v>220</v>
      </c>
      <c r="F63" s="4" t="s">
        <v>38</v>
      </c>
      <c r="G63" s="4" t="s">
        <v>221</v>
      </c>
      <c r="H63" s="18"/>
      <c r="I63" s="4" t="s">
        <v>41</v>
      </c>
      <c r="J63" s="6"/>
      <c r="K63" s="7"/>
      <c r="L63" s="8" t="str">
        <f t="shared" ref="L63:L65" si="7">UPPER(G63)</f>
        <v>CHARTA</v>
      </c>
      <c r="M63" s="9"/>
      <c r="N63" s="9" t="s">
        <v>59</v>
      </c>
      <c r="O63" s="10"/>
      <c r="P63" s="8" t="s">
        <v>119</v>
      </c>
      <c r="R63" s="8" t="s">
        <v>222</v>
      </c>
      <c r="S63" s="22">
        <f>(COUNTIF($N$3:$N$1850,""))</f>
        <v>1611</v>
      </c>
      <c r="T63" s="10"/>
      <c r="U63" s="10"/>
      <c r="V63" s="10"/>
      <c r="W63" s="10"/>
      <c r="X63" s="10"/>
      <c r="Y63" s="10"/>
      <c r="Z63" s="10"/>
    </row>
    <row r="64" ht="14.25" customHeight="1">
      <c r="A64" s="1">
        <v>1.9254802E7</v>
      </c>
      <c r="B64" s="2" t="s">
        <v>27</v>
      </c>
      <c r="C64" s="2" t="s">
        <v>28</v>
      </c>
      <c r="D64" s="2" t="s">
        <v>223</v>
      </c>
      <c r="E64" s="3" t="s">
        <v>224</v>
      </c>
      <c r="F64" s="4" t="s">
        <v>105</v>
      </c>
      <c r="G64" s="4" t="s">
        <v>225</v>
      </c>
      <c r="H64" s="18"/>
      <c r="I64" s="4" t="s">
        <v>70</v>
      </c>
      <c r="J64" s="6" t="s">
        <v>226</v>
      </c>
      <c r="K64" s="7">
        <v>1.0</v>
      </c>
      <c r="L64" s="8" t="str">
        <f t="shared" si="7"/>
        <v>MEDELLIN</v>
      </c>
      <c r="M64" s="9">
        <v>27.0</v>
      </c>
      <c r="N64" s="9" t="s">
        <v>59</v>
      </c>
      <c r="O64" s="10"/>
      <c r="P64" s="10"/>
      <c r="Q64" s="10"/>
      <c r="R64" s="10"/>
      <c r="S64" s="10"/>
      <c r="T64" s="10"/>
      <c r="U64" s="10"/>
      <c r="V64" s="10"/>
      <c r="W64" s="10"/>
      <c r="X64" s="10"/>
      <c r="Y64" s="10"/>
      <c r="Z64" s="10"/>
    </row>
    <row r="65" ht="14.25" customHeight="1">
      <c r="A65" s="1">
        <v>3.7798862E7</v>
      </c>
      <c r="B65" s="2" t="s">
        <v>27</v>
      </c>
      <c r="C65" s="2" t="s">
        <v>66</v>
      </c>
      <c r="D65" s="2" t="s">
        <v>227</v>
      </c>
      <c r="E65" s="3" t="s">
        <v>228</v>
      </c>
      <c r="F65" s="4" t="s">
        <v>38</v>
      </c>
      <c r="G65" s="4" t="s">
        <v>39</v>
      </c>
      <c r="H65" s="15" t="s">
        <v>229</v>
      </c>
      <c r="I65" s="4" t="s">
        <v>76</v>
      </c>
      <c r="J65" s="6" t="s">
        <v>230</v>
      </c>
      <c r="K65" s="7">
        <v>6.0</v>
      </c>
      <c r="L65" s="8" t="str">
        <f t="shared" si="7"/>
        <v>BUCARAMANGA</v>
      </c>
      <c r="M65" s="9">
        <v>13.0</v>
      </c>
      <c r="N65" s="9" t="s">
        <v>44</v>
      </c>
      <c r="O65" s="10"/>
      <c r="P65" s="10"/>
      <c r="Q65" s="10"/>
      <c r="R65" s="10"/>
      <c r="S65" s="10"/>
      <c r="T65" s="10"/>
      <c r="U65" s="10"/>
      <c r="V65" s="10"/>
      <c r="W65" s="10"/>
      <c r="X65" s="10"/>
      <c r="Y65" s="10"/>
      <c r="Z65" s="10"/>
    </row>
    <row r="66" ht="14.25" hidden="1" customHeight="1">
      <c r="A66" s="13" t="s">
        <v>231</v>
      </c>
      <c r="B66" s="4" t="s">
        <v>27</v>
      </c>
      <c r="C66" s="4" t="s">
        <v>28</v>
      </c>
      <c r="D66" s="4" t="s">
        <v>232</v>
      </c>
      <c r="E66" s="4">
        <v>3.229457091E9</v>
      </c>
      <c r="F66" s="4" t="s">
        <v>30</v>
      </c>
      <c r="G66" s="4" t="s">
        <v>35</v>
      </c>
      <c r="H66" s="14"/>
      <c r="I66" s="4" t="s">
        <v>32</v>
      </c>
      <c r="J66" s="14"/>
      <c r="K66" s="14"/>
      <c r="L66" s="14"/>
    </row>
    <row r="67" ht="14.25" hidden="1" customHeight="1">
      <c r="A67" s="13" t="s">
        <v>233</v>
      </c>
      <c r="B67" s="4" t="s">
        <v>27</v>
      </c>
      <c r="C67" s="4" t="s">
        <v>28</v>
      </c>
      <c r="D67" s="4" t="s">
        <v>234</v>
      </c>
      <c r="E67" s="4">
        <v>3.118713141E9</v>
      </c>
      <c r="F67" s="4" t="s">
        <v>30</v>
      </c>
      <c r="G67" s="4" t="s">
        <v>35</v>
      </c>
      <c r="H67" s="14"/>
      <c r="I67" s="4" t="s">
        <v>32</v>
      </c>
      <c r="J67" s="14"/>
      <c r="K67" s="14"/>
      <c r="L67" s="14"/>
    </row>
    <row r="68" ht="14.25" hidden="1" customHeight="1">
      <c r="A68" s="13" t="s">
        <v>235</v>
      </c>
      <c r="B68" s="4" t="s">
        <v>27</v>
      </c>
      <c r="C68" s="4" t="s">
        <v>28</v>
      </c>
      <c r="D68" s="4" t="s">
        <v>236</v>
      </c>
      <c r="E68" s="4">
        <v>3.225958571E9</v>
      </c>
      <c r="F68" s="4" t="s">
        <v>30</v>
      </c>
      <c r="G68" s="4" t="s">
        <v>35</v>
      </c>
      <c r="H68" s="14"/>
      <c r="I68" s="4" t="s">
        <v>32</v>
      </c>
      <c r="J68" s="14"/>
      <c r="K68" s="14"/>
      <c r="L68" s="14"/>
    </row>
    <row r="69" ht="14.25" hidden="1" customHeight="1">
      <c r="A69" s="13" t="s">
        <v>237</v>
      </c>
      <c r="B69" s="4" t="s">
        <v>27</v>
      </c>
      <c r="C69" s="4" t="s">
        <v>28</v>
      </c>
      <c r="D69" s="4" t="s">
        <v>238</v>
      </c>
      <c r="E69" s="4">
        <v>3.23450271E9</v>
      </c>
      <c r="F69" s="4" t="s">
        <v>30</v>
      </c>
      <c r="G69" s="4" t="s">
        <v>35</v>
      </c>
      <c r="H69" s="14"/>
      <c r="I69" s="4" t="s">
        <v>32</v>
      </c>
      <c r="J69" s="14"/>
      <c r="K69" s="14"/>
      <c r="L69" s="14"/>
    </row>
    <row r="70" ht="14.25" customHeight="1">
      <c r="A70" s="1">
        <v>2.80424084E8</v>
      </c>
      <c r="B70" s="2" t="s">
        <v>27</v>
      </c>
      <c r="C70" s="2" t="s">
        <v>28</v>
      </c>
      <c r="D70" s="2" t="s">
        <v>239</v>
      </c>
      <c r="E70" s="3" t="s">
        <v>240</v>
      </c>
      <c r="F70" s="4" t="s">
        <v>38</v>
      </c>
      <c r="G70" s="4" t="s">
        <v>81</v>
      </c>
      <c r="H70" s="18"/>
      <c r="I70" s="4" t="s">
        <v>41</v>
      </c>
      <c r="J70" s="6"/>
      <c r="K70" s="7"/>
      <c r="L70" s="8" t="str">
        <f t="shared" ref="L70:L71" si="8">UPPER(G70)</f>
        <v>FLORIDABLANCA</v>
      </c>
      <c r="M70" s="9"/>
      <c r="N70" s="9" t="s">
        <v>59</v>
      </c>
      <c r="O70" s="10"/>
      <c r="P70" s="8" t="s">
        <v>119</v>
      </c>
      <c r="Q70" s="10"/>
      <c r="R70" s="10"/>
      <c r="S70" s="10"/>
      <c r="T70" s="10"/>
      <c r="U70" s="10"/>
      <c r="V70" s="10"/>
      <c r="W70" s="10"/>
      <c r="X70" s="10"/>
      <c r="Y70" s="10"/>
      <c r="Z70" s="10"/>
    </row>
    <row r="71" ht="14.25" customHeight="1">
      <c r="A71" s="1">
        <v>1.095301754E9</v>
      </c>
      <c r="B71" s="2" t="s">
        <v>27</v>
      </c>
      <c r="C71" s="2" t="s">
        <v>28</v>
      </c>
      <c r="D71" s="2" t="s">
        <v>241</v>
      </c>
      <c r="E71" s="3" t="s">
        <v>242</v>
      </c>
      <c r="F71" s="4" t="s">
        <v>38</v>
      </c>
      <c r="G71" s="4" t="s">
        <v>39</v>
      </c>
      <c r="H71" s="16"/>
      <c r="I71" s="4" t="s">
        <v>41</v>
      </c>
      <c r="J71" s="6" t="s">
        <v>243</v>
      </c>
      <c r="K71" s="7">
        <v>25.0</v>
      </c>
      <c r="L71" s="8" t="str">
        <f t="shared" si="8"/>
        <v>BUCARAMANGA</v>
      </c>
      <c r="M71" s="9">
        <v>3.0</v>
      </c>
      <c r="N71" s="9" t="s">
        <v>44</v>
      </c>
      <c r="O71" s="10"/>
      <c r="P71" s="10"/>
      <c r="Q71" s="10"/>
      <c r="R71" s="10"/>
      <c r="S71" s="10"/>
      <c r="T71" s="10"/>
      <c r="U71" s="10"/>
      <c r="V71" s="10"/>
      <c r="W71" s="10"/>
      <c r="X71" s="10"/>
      <c r="Y71" s="10"/>
      <c r="Z71" s="10"/>
    </row>
    <row r="72" ht="14.25" hidden="1" customHeight="1">
      <c r="A72" s="13" t="s">
        <v>244</v>
      </c>
      <c r="B72" s="4" t="s">
        <v>27</v>
      </c>
      <c r="C72" s="4" t="s">
        <v>28</v>
      </c>
      <c r="D72" s="4" t="s">
        <v>245</v>
      </c>
      <c r="E72" s="4">
        <v>3.118713141E9</v>
      </c>
      <c r="F72" s="4" t="s">
        <v>30</v>
      </c>
      <c r="G72" s="4" t="s">
        <v>31</v>
      </c>
      <c r="H72" s="14"/>
      <c r="I72" s="4" t="s">
        <v>32</v>
      </c>
      <c r="J72" s="14"/>
      <c r="K72" s="14"/>
      <c r="L72" s="14"/>
    </row>
    <row r="73" ht="14.25" hidden="1" customHeight="1">
      <c r="A73" s="13" t="s">
        <v>246</v>
      </c>
      <c r="B73" s="4" t="s">
        <v>27</v>
      </c>
      <c r="C73" s="4" t="s">
        <v>28</v>
      </c>
      <c r="D73" s="4" t="s">
        <v>247</v>
      </c>
      <c r="E73" s="4">
        <v>3.113867755E9</v>
      </c>
      <c r="F73" s="4" t="s">
        <v>30</v>
      </c>
      <c r="G73" s="4" t="s">
        <v>35</v>
      </c>
      <c r="H73" s="14"/>
      <c r="I73" s="4" t="s">
        <v>32</v>
      </c>
      <c r="J73" s="14"/>
      <c r="K73" s="14"/>
      <c r="L73" s="14"/>
    </row>
    <row r="74" ht="14.25" customHeight="1">
      <c r="A74" s="1">
        <v>6.3560107E7</v>
      </c>
      <c r="B74" s="2" t="s">
        <v>27</v>
      </c>
      <c r="C74" s="2" t="s">
        <v>28</v>
      </c>
      <c r="D74" s="2" t="s">
        <v>248</v>
      </c>
      <c r="E74" s="3" t="s">
        <v>249</v>
      </c>
      <c r="F74" s="4" t="s">
        <v>38</v>
      </c>
      <c r="G74" s="4" t="s">
        <v>39</v>
      </c>
      <c r="H74" s="16"/>
      <c r="I74" s="4" t="s">
        <v>76</v>
      </c>
      <c r="J74" s="6" t="s">
        <v>250</v>
      </c>
      <c r="K74" s="7">
        <v>10.0</v>
      </c>
      <c r="L74" s="8" t="str">
        <f t="shared" ref="L74:L77" si="9">UPPER(G74)</f>
        <v>BUCARAMANGA</v>
      </c>
      <c r="M74" s="9">
        <v>10.0</v>
      </c>
      <c r="N74" s="9" t="s">
        <v>44</v>
      </c>
      <c r="O74" s="10"/>
      <c r="P74" s="10"/>
      <c r="Q74" s="10"/>
      <c r="R74" s="10"/>
      <c r="S74" s="10"/>
      <c r="T74" s="10"/>
      <c r="U74" s="10"/>
      <c r="V74" s="10"/>
      <c r="W74" s="10"/>
      <c r="X74" s="10"/>
      <c r="Y74" s="10"/>
      <c r="Z74" s="10"/>
    </row>
    <row r="75" ht="14.25" customHeight="1">
      <c r="A75" s="1">
        <v>6.3292073E7</v>
      </c>
      <c r="B75" s="2" t="s">
        <v>27</v>
      </c>
      <c r="C75" s="2" t="s">
        <v>28</v>
      </c>
      <c r="D75" s="2" t="s">
        <v>251</v>
      </c>
      <c r="E75" s="3" t="s">
        <v>252</v>
      </c>
      <c r="F75" s="4" t="s">
        <v>38</v>
      </c>
      <c r="G75" s="4" t="s">
        <v>81</v>
      </c>
      <c r="H75" s="16"/>
      <c r="I75" s="4" t="s">
        <v>76</v>
      </c>
      <c r="J75" s="6" t="s">
        <v>253</v>
      </c>
      <c r="K75" s="7">
        <v>6.0</v>
      </c>
      <c r="L75" s="8" t="str">
        <f t="shared" si="9"/>
        <v>FLORIDABLANCA</v>
      </c>
      <c r="M75" s="9">
        <v>4.0</v>
      </c>
      <c r="N75" s="9" t="s">
        <v>44</v>
      </c>
      <c r="O75" s="10" t="s">
        <v>44</v>
      </c>
      <c r="P75" s="10"/>
      <c r="Q75" s="10"/>
      <c r="R75" s="10"/>
      <c r="S75" s="10"/>
      <c r="T75" s="10"/>
      <c r="U75" s="10"/>
      <c r="V75" s="10"/>
      <c r="W75" s="10"/>
      <c r="X75" s="10"/>
      <c r="Y75" s="10"/>
      <c r="Z75" s="10"/>
    </row>
    <row r="76" ht="14.25" customHeight="1">
      <c r="A76" s="1">
        <v>2.800817E7</v>
      </c>
      <c r="B76" s="2" t="s">
        <v>27</v>
      </c>
      <c r="C76" s="2" t="s">
        <v>28</v>
      </c>
      <c r="D76" s="2" t="s">
        <v>254</v>
      </c>
      <c r="E76" s="3" t="s">
        <v>255</v>
      </c>
      <c r="F76" s="4" t="s">
        <v>38</v>
      </c>
      <c r="G76" s="4" t="s">
        <v>113</v>
      </c>
      <c r="H76" s="16"/>
      <c r="I76" s="4" t="s">
        <v>70</v>
      </c>
      <c r="J76" s="6" t="s">
        <v>256</v>
      </c>
      <c r="K76" s="7">
        <v>3.0</v>
      </c>
      <c r="L76" s="8" t="str">
        <f t="shared" si="9"/>
        <v>BARRANCABERMEJA</v>
      </c>
      <c r="M76" s="9">
        <v>5.0</v>
      </c>
      <c r="N76" s="9" t="s">
        <v>44</v>
      </c>
      <c r="O76" s="10" t="s">
        <v>44</v>
      </c>
      <c r="P76" s="10"/>
      <c r="Q76" s="10"/>
      <c r="R76" s="10"/>
      <c r="S76" s="10"/>
      <c r="T76" s="10"/>
      <c r="U76" s="10"/>
      <c r="V76" s="10"/>
      <c r="W76" s="10"/>
      <c r="X76" s="10"/>
      <c r="Y76" s="10"/>
      <c r="Z76" s="10"/>
    </row>
    <row r="77" ht="14.25" customHeight="1">
      <c r="A77" s="1">
        <v>6.3296511E7</v>
      </c>
      <c r="B77" s="2" t="s">
        <v>27</v>
      </c>
      <c r="C77" s="2" t="s">
        <v>28</v>
      </c>
      <c r="D77" s="2" t="s">
        <v>257</v>
      </c>
      <c r="E77" s="3" t="s">
        <v>258</v>
      </c>
      <c r="F77" s="4" t="s">
        <v>38</v>
      </c>
      <c r="G77" s="4" t="s">
        <v>39</v>
      </c>
      <c r="H77" s="16"/>
      <c r="I77" s="4" t="s">
        <v>76</v>
      </c>
      <c r="J77" s="6" t="s">
        <v>259</v>
      </c>
      <c r="K77" s="7">
        <v>1.0</v>
      </c>
      <c r="L77" s="8" t="str">
        <f t="shared" si="9"/>
        <v>BUCARAMANGA</v>
      </c>
      <c r="M77" s="9">
        <v>2.0</v>
      </c>
      <c r="N77" s="9" t="s">
        <v>44</v>
      </c>
      <c r="O77" s="10"/>
      <c r="P77" s="10"/>
      <c r="Q77" s="10"/>
      <c r="R77" s="10"/>
      <c r="S77" s="10"/>
      <c r="T77" s="10"/>
      <c r="U77" s="10"/>
      <c r="V77" s="10"/>
      <c r="W77" s="10"/>
      <c r="X77" s="10"/>
      <c r="Y77" s="10"/>
      <c r="Z77" s="10"/>
    </row>
    <row r="78" ht="14.25" hidden="1" customHeight="1">
      <c r="A78" s="13" t="s">
        <v>260</v>
      </c>
      <c r="B78" s="4" t="s">
        <v>27</v>
      </c>
      <c r="C78" s="4" t="s">
        <v>28</v>
      </c>
      <c r="D78" s="4" t="s">
        <v>261</v>
      </c>
      <c r="E78" s="4">
        <v>3.166026011E9</v>
      </c>
      <c r="F78" s="4" t="s">
        <v>30</v>
      </c>
      <c r="G78" s="4" t="s">
        <v>35</v>
      </c>
      <c r="H78" s="14"/>
      <c r="I78" s="4" t="s">
        <v>32</v>
      </c>
      <c r="J78" s="14"/>
      <c r="K78" s="14"/>
      <c r="L78" s="14"/>
    </row>
    <row r="79" ht="14.25" customHeight="1">
      <c r="A79" s="1">
        <v>6.3431049E7</v>
      </c>
      <c r="B79" s="2" t="s">
        <v>27</v>
      </c>
      <c r="C79" s="2" t="s">
        <v>28</v>
      </c>
      <c r="D79" s="2" t="s">
        <v>262</v>
      </c>
      <c r="E79" s="3" t="s">
        <v>263</v>
      </c>
      <c r="F79" s="4" t="s">
        <v>38</v>
      </c>
      <c r="G79" s="4" t="s">
        <v>39</v>
      </c>
      <c r="H79" s="16"/>
      <c r="I79" s="4" t="s">
        <v>76</v>
      </c>
      <c r="J79" s="6" t="s">
        <v>264</v>
      </c>
      <c r="K79" s="7">
        <v>15.0</v>
      </c>
      <c r="L79" s="8" t="s">
        <v>53</v>
      </c>
      <c r="M79" s="9">
        <v>8.0</v>
      </c>
      <c r="N79" s="9" t="s">
        <v>44</v>
      </c>
      <c r="O79" s="10"/>
      <c r="P79" s="10"/>
      <c r="Q79" s="10"/>
      <c r="R79" s="10"/>
      <c r="S79" s="10"/>
      <c r="T79" s="10"/>
      <c r="U79" s="10"/>
      <c r="V79" s="10"/>
      <c r="W79" s="10"/>
      <c r="X79" s="10"/>
      <c r="Y79" s="10"/>
      <c r="Z79" s="10"/>
    </row>
    <row r="80" ht="14.25" hidden="1" customHeight="1">
      <c r="A80" s="13" t="s">
        <v>265</v>
      </c>
      <c r="B80" s="4" t="s">
        <v>27</v>
      </c>
      <c r="C80" s="4" t="s">
        <v>28</v>
      </c>
      <c r="D80" s="4" t="s">
        <v>266</v>
      </c>
      <c r="E80" s="4">
        <v>3.125540939E9</v>
      </c>
      <c r="F80" s="4" t="s">
        <v>30</v>
      </c>
      <c r="G80" s="4" t="s">
        <v>35</v>
      </c>
      <c r="H80" s="14"/>
      <c r="I80" s="4" t="s">
        <v>32</v>
      </c>
      <c r="J80" s="14"/>
      <c r="K80" s="14"/>
      <c r="L80" s="14"/>
    </row>
    <row r="81" ht="14.25" customHeight="1">
      <c r="A81" s="1">
        <v>1.095793229E9</v>
      </c>
      <c r="B81" s="2" t="s">
        <v>27</v>
      </c>
      <c r="C81" s="2" t="s">
        <v>28</v>
      </c>
      <c r="D81" s="2" t="s">
        <v>267</v>
      </c>
      <c r="E81" s="3" t="s">
        <v>268</v>
      </c>
      <c r="F81" s="4" t="s">
        <v>38</v>
      </c>
      <c r="G81" s="4" t="s">
        <v>39</v>
      </c>
      <c r="H81" s="17" t="s">
        <v>118</v>
      </c>
      <c r="I81" s="4" t="s">
        <v>41</v>
      </c>
      <c r="J81" s="6" t="s">
        <v>269</v>
      </c>
      <c r="K81" s="7">
        <v>16.0</v>
      </c>
      <c r="L81" s="8" t="s">
        <v>53</v>
      </c>
      <c r="M81" s="9">
        <v>1.0</v>
      </c>
      <c r="N81" s="9" t="s">
        <v>59</v>
      </c>
      <c r="O81" s="10"/>
      <c r="P81" s="10"/>
      <c r="Q81" s="10"/>
      <c r="R81" s="10"/>
      <c r="S81" s="10"/>
      <c r="T81" s="10"/>
      <c r="U81" s="10"/>
      <c r="V81" s="10"/>
      <c r="W81" s="10"/>
      <c r="X81" s="10"/>
      <c r="Y81" s="10"/>
      <c r="Z81" s="10"/>
    </row>
    <row r="82" ht="14.25" customHeight="1">
      <c r="A82" s="1">
        <v>1.051819779E9</v>
      </c>
      <c r="B82" s="2" t="s">
        <v>27</v>
      </c>
      <c r="C82" s="2" t="s">
        <v>28</v>
      </c>
      <c r="D82" s="2" t="s">
        <v>270</v>
      </c>
      <c r="E82" s="3" t="s">
        <v>271</v>
      </c>
      <c r="F82" s="4" t="s">
        <v>38</v>
      </c>
      <c r="G82" s="4" t="s">
        <v>272</v>
      </c>
      <c r="H82" s="16"/>
      <c r="I82" s="4" t="s">
        <v>76</v>
      </c>
      <c r="J82" s="6" t="s">
        <v>273</v>
      </c>
      <c r="K82" s="7">
        <v>10.0</v>
      </c>
      <c r="L82" s="8" t="str">
        <f t="shared" ref="L82:L85" si="10">UPPER(G82)</f>
        <v>GIRON</v>
      </c>
      <c r="M82" s="9">
        <v>2.0</v>
      </c>
      <c r="N82" s="9" t="s">
        <v>44</v>
      </c>
      <c r="O82" s="10" t="s">
        <v>44</v>
      </c>
      <c r="P82" s="10"/>
      <c r="Q82" s="10"/>
      <c r="R82" s="10"/>
      <c r="S82" s="10"/>
      <c r="T82" s="10"/>
      <c r="U82" s="10"/>
      <c r="V82" s="10"/>
      <c r="W82" s="10"/>
      <c r="X82" s="10"/>
      <c r="Y82" s="10"/>
      <c r="Z82" s="10"/>
    </row>
    <row r="83" ht="14.25" customHeight="1">
      <c r="A83" s="1">
        <v>4.1536089E7</v>
      </c>
      <c r="B83" s="2" t="s">
        <v>27</v>
      </c>
      <c r="C83" s="2" t="s">
        <v>28</v>
      </c>
      <c r="D83" s="2" t="s">
        <v>274</v>
      </c>
      <c r="E83" s="3" t="s">
        <v>275</v>
      </c>
      <c r="F83" s="4" t="s">
        <v>38</v>
      </c>
      <c r="G83" s="4" t="s">
        <v>75</v>
      </c>
      <c r="H83" s="16"/>
      <c r="I83" s="4" t="s">
        <v>76</v>
      </c>
      <c r="J83" s="6" t="s">
        <v>77</v>
      </c>
      <c r="K83" s="7">
        <v>3.0</v>
      </c>
      <c r="L83" s="8" t="str">
        <f t="shared" si="10"/>
        <v>GIRON</v>
      </c>
      <c r="M83" s="9">
        <v>2.0</v>
      </c>
      <c r="N83" s="9" t="s">
        <v>44</v>
      </c>
      <c r="O83" s="10"/>
      <c r="P83" s="10"/>
      <c r="Q83" s="10"/>
      <c r="R83" s="10"/>
      <c r="S83" s="10"/>
      <c r="T83" s="10"/>
      <c r="U83" s="10"/>
      <c r="V83" s="10"/>
      <c r="W83" s="10"/>
      <c r="X83" s="10"/>
      <c r="Y83" s="10"/>
      <c r="Z83" s="10"/>
    </row>
    <row r="84" ht="14.25" customHeight="1">
      <c r="A84" s="1">
        <v>1.090703626E9</v>
      </c>
      <c r="B84" s="2" t="s">
        <v>27</v>
      </c>
      <c r="C84" s="2" t="s">
        <v>28</v>
      </c>
      <c r="D84" s="2" t="s">
        <v>276</v>
      </c>
      <c r="E84" s="3" t="s">
        <v>277</v>
      </c>
      <c r="F84" s="4" t="s">
        <v>38</v>
      </c>
      <c r="G84" s="4" t="s">
        <v>39</v>
      </c>
      <c r="H84" s="21" t="s">
        <v>40</v>
      </c>
      <c r="I84" s="4" t="s">
        <v>41</v>
      </c>
      <c r="J84" s="6"/>
      <c r="K84" s="7"/>
      <c r="L84" s="8" t="str">
        <f t="shared" si="10"/>
        <v>BUCARAMANGA</v>
      </c>
      <c r="M84" s="9"/>
      <c r="N84" s="9" t="s">
        <v>59</v>
      </c>
      <c r="O84" s="10" t="s">
        <v>44</v>
      </c>
      <c r="P84" s="10"/>
      <c r="Q84" s="10"/>
      <c r="R84" s="10"/>
      <c r="S84" s="10"/>
      <c r="T84" s="10"/>
      <c r="U84" s="10"/>
      <c r="V84" s="10"/>
      <c r="W84" s="10"/>
      <c r="X84" s="10"/>
      <c r="Y84" s="10"/>
      <c r="Z84" s="10"/>
    </row>
    <row r="85" ht="14.25" customHeight="1">
      <c r="A85" s="1">
        <v>6.3558938E7</v>
      </c>
      <c r="B85" s="2" t="s">
        <v>27</v>
      </c>
      <c r="C85" s="2" t="s">
        <v>28</v>
      </c>
      <c r="D85" s="2" t="s">
        <v>278</v>
      </c>
      <c r="E85" s="3" t="s">
        <v>279</v>
      </c>
      <c r="F85" s="4" t="s">
        <v>38</v>
      </c>
      <c r="G85" s="4" t="s">
        <v>39</v>
      </c>
      <c r="H85" s="17" t="s">
        <v>40</v>
      </c>
      <c r="I85" s="4" t="s">
        <v>41</v>
      </c>
      <c r="J85" s="6" t="s">
        <v>280</v>
      </c>
      <c r="K85" s="7">
        <v>13.0</v>
      </c>
      <c r="L85" s="8" t="str">
        <f t="shared" si="10"/>
        <v>BUCARAMANGA</v>
      </c>
      <c r="M85" s="9"/>
      <c r="N85" s="9" t="s">
        <v>59</v>
      </c>
      <c r="O85" s="10"/>
      <c r="P85" s="8" t="s">
        <v>281</v>
      </c>
      <c r="Q85" s="10"/>
      <c r="R85" s="10"/>
      <c r="S85" s="10"/>
      <c r="T85" s="10"/>
      <c r="U85" s="10"/>
      <c r="V85" s="10"/>
      <c r="W85" s="10"/>
      <c r="X85" s="10"/>
      <c r="Y85" s="10"/>
      <c r="Z85" s="10"/>
    </row>
    <row r="86" ht="14.25" hidden="1" customHeight="1">
      <c r="A86" s="13" t="s">
        <v>282</v>
      </c>
      <c r="B86" s="4" t="s">
        <v>27</v>
      </c>
      <c r="C86" s="4" t="s">
        <v>28</v>
      </c>
      <c r="D86" s="4" t="s">
        <v>283</v>
      </c>
      <c r="E86" s="4">
        <v>3.102211527E9</v>
      </c>
      <c r="F86" s="4" t="s">
        <v>30</v>
      </c>
      <c r="G86" s="4" t="s">
        <v>35</v>
      </c>
      <c r="H86" s="14"/>
      <c r="I86" s="4" t="s">
        <v>32</v>
      </c>
      <c r="J86" s="14"/>
      <c r="K86" s="14"/>
      <c r="L86" s="14"/>
    </row>
    <row r="87" ht="14.25" customHeight="1">
      <c r="A87" s="1">
        <v>3.7833314E7</v>
      </c>
      <c r="B87" s="2" t="s">
        <v>27</v>
      </c>
      <c r="C87" s="2" t="s">
        <v>28</v>
      </c>
      <c r="D87" s="2" t="s">
        <v>284</v>
      </c>
      <c r="E87" s="3" t="s">
        <v>285</v>
      </c>
      <c r="F87" s="4" t="s">
        <v>38</v>
      </c>
      <c r="G87" s="4" t="s">
        <v>39</v>
      </c>
      <c r="H87" s="24"/>
      <c r="I87" s="4" t="s">
        <v>70</v>
      </c>
      <c r="J87" s="6"/>
      <c r="K87" s="7"/>
      <c r="L87" s="8" t="str">
        <f>UPPER(G87)</f>
        <v>BUCARAMANGA</v>
      </c>
      <c r="M87" s="9"/>
      <c r="N87" s="9" t="s">
        <v>59</v>
      </c>
      <c r="O87" s="10"/>
      <c r="P87" s="8" t="s">
        <v>286</v>
      </c>
      <c r="Q87" s="10"/>
      <c r="R87" s="10"/>
      <c r="S87" s="10"/>
      <c r="T87" s="10"/>
      <c r="U87" s="10"/>
      <c r="V87" s="10"/>
      <c r="W87" s="10"/>
      <c r="X87" s="10"/>
      <c r="Y87" s="10"/>
      <c r="Z87" s="10"/>
    </row>
    <row r="88" ht="14.25" hidden="1" customHeight="1">
      <c r="A88" s="13" t="s">
        <v>287</v>
      </c>
      <c r="B88" s="4" t="s">
        <v>27</v>
      </c>
      <c r="C88" s="4" t="s">
        <v>28</v>
      </c>
      <c r="D88" s="4" t="s">
        <v>288</v>
      </c>
      <c r="E88" s="4">
        <v>3.112886292E9</v>
      </c>
      <c r="F88" s="4" t="s">
        <v>30</v>
      </c>
      <c r="G88" s="4" t="s">
        <v>35</v>
      </c>
      <c r="H88" s="14"/>
      <c r="I88" s="4" t="s">
        <v>32</v>
      </c>
      <c r="J88" s="14"/>
      <c r="K88" s="14"/>
      <c r="L88" s="14"/>
    </row>
    <row r="89" ht="14.25" hidden="1" customHeight="1">
      <c r="A89" s="13" t="s">
        <v>289</v>
      </c>
      <c r="B89" s="4" t="s">
        <v>27</v>
      </c>
      <c r="C89" s="4" t="s">
        <v>28</v>
      </c>
      <c r="D89" s="4" t="s">
        <v>290</v>
      </c>
      <c r="E89" s="4">
        <v>3.118713141E9</v>
      </c>
      <c r="F89" s="4" t="s">
        <v>30</v>
      </c>
      <c r="G89" s="4" t="s">
        <v>35</v>
      </c>
      <c r="H89" s="14"/>
      <c r="I89" s="4" t="s">
        <v>32</v>
      </c>
      <c r="J89" s="14"/>
      <c r="K89" s="14"/>
      <c r="L89" s="14"/>
    </row>
    <row r="90" ht="14.25" hidden="1" customHeight="1">
      <c r="A90" s="13" t="s">
        <v>291</v>
      </c>
      <c r="B90" s="4" t="s">
        <v>27</v>
      </c>
      <c r="C90" s="4" t="s">
        <v>28</v>
      </c>
      <c r="D90" s="4" t="s">
        <v>292</v>
      </c>
      <c r="E90" s="4">
        <v>3.016379406E9</v>
      </c>
      <c r="F90" s="4" t="s">
        <v>30</v>
      </c>
      <c r="G90" s="4" t="s">
        <v>31</v>
      </c>
      <c r="H90" s="14"/>
      <c r="I90" s="4" t="s">
        <v>32</v>
      </c>
      <c r="J90" s="14"/>
      <c r="K90" s="14"/>
      <c r="L90" s="14"/>
    </row>
    <row r="91" ht="14.25" hidden="1" customHeight="1">
      <c r="A91" s="13" t="s">
        <v>293</v>
      </c>
      <c r="B91" s="4" t="s">
        <v>27</v>
      </c>
      <c r="C91" s="4" t="s">
        <v>28</v>
      </c>
      <c r="D91" s="4" t="s">
        <v>294</v>
      </c>
      <c r="E91" s="4">
        <v>3.227649445E9</v>
      </c>
      <c r="F91" s="4" t="s">
        <v>30</v>
      </c>
      <c r="G91" s="4" t="s">
        <v>35</v>
      </c>
      <c r="H91" s="14"/>
      <c r="I91" s="4" t="s">
        <v>32</v>
      </c>
      <c r="J91" s="14"/>
      <c r="K91" s="14"/>
      <c r="L91" s="14"/>
    </row>
    <row r="92" ht="14.25" customHeight="1">
      <c r="A92" s="1">
        <v>6.3319305E7</v>
      </c>
      <c r="B92" s="2" t="s">
        <v>27</v>
      </c>
      <c r="C92" s="2" t="s">
        <v>28</v>
      </c>
      <c r="D92" s="2" t="s">
        <v>295</v>
      </c>
      <c r="E92" s="3" t="s">
        <v>296</v>
      </c>
      <c r="F92" s="4" t="s">
        <v>38</v>
      </c>
      <c r="G92" s="4" t="s">
        <v>39</v>
      </c>
      <c r="H92" s="15" t="s">
        <v>40</v>
      </c>
      <c r="I92" s="4" t="s">
        <v>41</v>
      </c>
      <c r="J92" s="6" t="s">
        <v>297</v>
      </c>
      <c r="K92" s="7">
        <v>16.0</v>
      </c>
      <c r="L92" s="8" t="str">
        <f t="shared" ref="L92:L93" si="11">UPPER(G92)</f>
        <v>BUCARAMANGA</v>
      </c>
      <c r="M92" s="9">
        <v>15.0</v>
      </c>
      <c r="N92" s="9" t="s">
        <v>44</v>
      </c>
      <c r="O92" s="10"/>
      <c r="P92" s="10"/>
      <c r="Q92" s="10"/>
      <c r="R92" s="10"/>
      <c r="S92" s="10"/>
      <c r="T92" s="10"/>
      <c r="U92" s="10"/>
      <c r="V92" s="10"/>
      <c r="W92" s="10"/>
      <c r="X92" s="10"/>
      <c r="Y92" s="10"/>
      <c r="Z92" s="10"/>
    </row>
    <row r="93" ht="14.25" customHeight="1">
      <c r="A93" s="1">
        <v>1.098745477E9</v>
      </c>
      <c r="B93" s="2" t="s">
        <v>27</v>
      </c>
      <c r="C93" s="2" t="s">
        <v>28</v>
      </c>
      <c r="D93" s="2" t="s">
        <v>298</v>
      </c>
      <c r="E93" s="3" t="s">
        <v>299</v>
      </c>
      <c r="F93" s="4" t="s">
        <v>38</v>
      </c>
      <c r="G93" s="4" t="s">
        <v>39</v>
      </c>
      <c r="H93" s="21" t="s">
        <v>40</v>
      </c>
      <c r="I93" s="4" t="s">
        <v>41</v>
      </c>
      <c r="J93" s="6" t="s">
        <v>300</v>
      </c>
      <c r="K93" s="7">
        <v>10.0</v>
      </c>
      <c r="L93" s="8" t="str">
        <f t="shared" si="11"/>
        <v>BUCARAMANGA</v>
      </c>
      <c r="M93" s="9"/>
      <c r="N93" s="9" t="s">
        <v>59</v>
      </c>
      <c r="O93" s="10"/>
      <c r="P93" s="10"/>
      <c r="Q93" s="10"/>
      <c r="R93" s="10"/>
      <c r="S93" s="10"/>
      <c r="T93" s="10"/>
      <c r="U93" s="10"/>
      <c r="V93" s="10"/>
      <c r="W93" s="10"/>
      <c r="X93" s="10"/>
      <c r="Y93" s="10"/>
      <c r="Z93" s="10"/>
    </row>
    <row r="94" ht="14.25" customHeight="1">
      <c r="A94" s="1">
        <v>9.1530797E7</v>
      </c>
      <c r="B94" s="2" t="s">
        <v>27</v>
      </c>
      <c r="C94" s="2" t="s">
        <v>28</v>
      </c>
      <c r="D94" s="2" t="s">
        <v>301</v>
      </c>
      <c r="E94" s="3" t="s">
        <v>302</v>
      </c>
      <c r="F94" s="4" t="s">
        <v>38</v>
      </c>
      <c r="G94" s="4" t="s">
        <v>39</v>
      </c>
      <c r="H94" s="20"/>
      <c r="I94" s="4" t="s">
        <v>51</v>
      </c>
      <c r="J94" s="6" t="s">
        <v>273</v>
      </c>
      <c r="K94" s="7">
        <v>9.0</v>
      </c>
      <c r="L94" s="8" t="s">
        <v>78</v>
      </c>
      <c r="M94" s="9">
        <v>2.0</v>
      </c>
      <c r="N94" s="9" t="s">
        <v>44</v>
      </c>
      <c r="O94" s="10" t="s">
        <v>44</v>
      </c>
      <c r="P94" s="10"/>
      <c r="Q94" s="10"/>
      <c r="R94" s="10"/>
      <c r="S94" s="10"/>
      <c r="T94" s="10"/>
      <c r="U94" s="10"/>
      <c r="V94" s="10"/>
      <c r="W94" s="10"/>
      <c r="X94" s="10"/>
      <c r="Y94" s="10"/>
      <c r="Z94" s="10"/>
    </row>
    <row r="95" ht="14.25" customHeight="1">
      <c r="A95" s="1">
        <v>1.005236506E9</v>
      </c>
      <c r="B95" s="2" t="s">
        <v>27</v>
      </c>
      <c r="C95" s="2" t="s">
        <v>28</v>
      </c>
      <c r="D95" s="2" t="s">
        <v>303</v>
      </c>
      <c r="E95" s="3" t="s">
        <v>304</v>
      </c>
      <c r="F95" s="4" t="s">
        <v>38</v>
      </c>
      <c r="G95" s="4" t="s">
        <v>39</v>
      </c>
      <c r="H95" s="19" t="s">
        <v>163</v>
      </c>
      <c r="I95" s="4" t="s">
        <v>76</v>
      </c>
      <c r="J95" s="6" t="s">
        <v>305</v>
      </c>
      <c r="K95" s="7">
        <v>3.0</v>
      </c>
      <c r="L95" s="8" t="str">
        <f t="shared" ref="L95:L97" si="12">UPPER(G95)</f>
        <v>BUCARAMANGA</v>
      </c>
      <c r="M95" s="9">
        <v>1.0</v>
      </c>
      <c r="N95" s="9" t="s">
        <v>44</v>
      </c>
      <c r="O95" s="10"/>
      <c r="P95" s="10"/>
      <c r="Q95" s="10"/>
      <c r="R95" s="10"/>
      <c r="S95" s="10"/>
      <c r="T95" s="10"/>
      <c r="U95" s="10"/>
      <c r="V95" s="10"/>
      <c r="W95" s="10"/>
      <c r="X95" s="10"/>
      <c r="Y95" s="10"/>
      <c r="Z95" s="10"/>
    </row>
    <row r="96" ht="14.25" customHeight="1">
      <c r="A96" s="1">
        <v>6354640.0</v>
      </c>
      <c r="B96" s="2" t="s">
        <v>27</v>
      </c>
      <c r="C96" s="2" t="s">
        <v>28</v>
      </c>
      <c r="D96" s="2" t="s">
        <v>306</v>
      </c>
      <c r="E96" s="3" t="s">
        <v>307</v>
      </c>
      <c r="F96" s="4" t="s">
        <v>38</v>
      </c>
      <c r="G96" s="4" t="s">
        <v>81</v>
      </c>
      <c r="H96" s="17" t="s">
        <v>308</v>
      </c>
      <c r="I96" s="4" t="s">
        <v>41</v>
      </c>
      <c r="J96" s="6"/>
      <c r="K96" s="7"/>
      <c r="L96" s="8" t="str">
        <f t="shared" si="12"/>
        <v>FLORIDABLANCA</v>
      </c>
      <c r="M96" s="9"/>
      <c r="N96" s="9" t="s">
        <v>59</v>
      </c>
      <c r="O96" s="10"/>
      <c r="P96" s="8" t="s">
        <v>119</v>
      </c>
      <c r="Q96" s="10"/>
      <c r="R96" s="10"/>
      <c r="S96" s="10"/>
      <c r="T96" s="10"/>
      <c r="U96" s="10"/>
      <c r="V96" s="10"/>
      <c r="W96" s="10"/>
      <c r="X96" s="10"/>
      <c r="Y96" s="10"/>
      <c r="Z96" s="10"/>
    </row>
    <row r="97" ht="14.25" customHeight="1">
      <c r="A97" s="1">
        <v>1.098815748E9</v>
      </c>
      <c r="B97" s="2" t="s">
        <v>27</v>
      </c>
      <c r="C97" s="2" t="s">
        <v>28</v>
      </c>
      <c r="D97" s="2" t="s">
        <v>309</v>
      </c>
      <c r="E97" s="3" t="s">
        <v>310</v>
      </c>
      <c r="F97" s="4" t="s">
        <v>38</v>
      </c>
      <c r="G97" s="4" t="s">
        <v>39</v>
      </c>
      <c r="H97" s="19" t="s">
        <v>58</v>
      </c>
      <c r="I97" s="4" t="s">
        <v>41</v>
      </c>
      <c r="J97" s="6" t="s">
        <v>311</v>
      </c>
      <c r="K97" s="7">
        <v>8.0</v>
      </c>
      <c r="L97" s="8" t="str">
        <f t="shared" si="12"/>
        <v>BUCARAMANGA</v>
      </c>
      <c r="M97" s="9">
        <v>18.0</v>
      </c>
      <c r="N97" s="9" t="s">
        <v>44</v>
      </c>
      <c r="O97" s="10"/>
      <c r="P97" s="10"/>
      <c r="Q97" s="10"/>
      <c r="R97" s="10"/>
      <c r="S97" s="10"/>
      <c r="T97" s="10"/>
      <c r="U97" s="10"/>
      <c r="V97" s="10"/>
      <c r="W97" s="10"/>
      <c r="X97" s="10"/>
      <c r="Y97" s="10"/>
      <c r="Z97" s="10"/>
    </row>
    <row r="98" ht="14.25" customHeight="1">
      <c r="A98" s="1">
        <v>1.005154839E9</v>
      </c>
      <c r="B98" s="2" t="s">
        <v>27</v>
      </c>
      <c r="C98" s="2" t="s">
        <v>28</v>
      </c>
      <c r="D98" s="2" t="s">
        <v>312</v>
      </c>
      <c r="E98" s="3" t="s">
        <v>313</v>
      </c>
      <c r="F98" s="4" t="s">
        <v>38</v>
      </c>
      <c r="G98" s="4" t="s">
        <v>39</v>
      </c>
      <c r="H98" s="20"/>
      <c r="I98" s="4" t="s">
        <v>41</v>
      </c>
      <c r="J98" s="6" t="s">
        <v>314</v>
      </c>
      <c r="K98" s="7">
        <v>3.0</v>
      </c>
      <c r="L98" s="8" t="s">
        <v>315</v>
      </c>
      <c r="M98" s="9">
        <v>2.0</v>
      </c>
      <c r="N98" s="9" t="s">
        <v>44</v>
      </c>
      <c r="O98" s="10"/>
      <c r="P98" s="10"/>
      <c r="Q98" s="10"/>
      <c r="R98" s="10"/>
      <c r="S98" s="10"/>
      <c r="T98" s="10"/>
      <c r="U98" s="10"/>
      <c r="V98" s="10"/>
      <c r="W98" s="10"/>
      <c r="X98" s="10"/>
      <c r="Y98" s="10"/>
      <c r="Z98" s="10"/>
    </row>
    <row r="99" ht="14.25" customHeight="1">
      <c r="A99" s="1">
        <v>1.064804279E9</v>
      </c>
      <c r="B99" s="2" t="s">
        <v>27</v>
      </c>
      <c r="C99" s="2" t="s">
        <v>28</v>
      </c>
      <c r="D99" s="2" t="s">
        <v>316</v>
      </c>
      <c r="E99" s="3" t="s">
        <v>317</v>
      </c>
      <c r="F99" s="4" t="s">
        <v>318</v>
      </c>
      <c r="G99" s="4" t="s">
        <v>319</v>
      </c>
      <c r="H99" s="17" t="s">
        <v>320</v>
      </c>
      <c r="I99" s="4" t="s">
        <v>70</v>
      </c>
      <c r="J99" s="6" t="s">
        <v>171</v>
      </c>
      <c r="K99" s="7">
        <v>34.0</v>
      </c>
      <c r="L99" s="8" t="str">
        <f>UPPER(G99)</f>
        <v>SAN MARTIN</v>
      </c>
      <c r="M99" s="9"/>
      <c r="N99" s="9" t="s">
        <v>59</v>
      </c>
      <c r="O99" s="10"/>
      <c r="P99" s="10"/>
      <c r="Q99" s="10"/>
      <c r="R99" s="10"/>
      <c r="S99" s="10"/>
      <c r="T99" s="10"/>
      <c r="U99" s="10"/>
      <c r="V99" s="10"/>
      <c r="W99" s="10"/>
      <c r="X99" s="10"/>
      <c r="Y99" s="10"/>
      <c r="Z99" s="10"/>
    </row>
    <row r="100" ht="14.25" hidden="1" customHeight="1">
      <c r="A100" s="13" t="s">
        <v>321</v>
      </c>
      <c r="B100" s="4" t="s">
        <v>27</v>
      </c>
      <c r="C100" s="4" t="s">
        <v>28</v>
      </c>
      <c r="D100" s="4" t="s">
        <v>322</v>
      </c>
      <c r="E100" s="4">
        <v>3.124295466E9</v>
      </c>
      <c r="F100" s="4" t="s">
        <v>30</v>
      </c>
      <c r="G100" s="4" t="s">
        <v>35</v>
      </c>
      <c r="H100" s="14"/>
      <c r="I100" s="4" t="s">
        <v>32</v>
      </c>
      <c r="J100" s="14"/>
      <c r="K100" s="14"/>
      <c r="L100" s="14"/>
    </row>
    <row r="101" ht="14.25" customHeight="1">
      <c r="A101" s="1">
        <v>1.010211151E9</v>
      </c>
      <c r="B101" s="2" t="s">
        <v>27</v>
      </c>
      <c r="C101" s="2" t="s">
        <v>28</v>
      </c>
      <c r="D101" s="2" t="s">
        <v>323</v>
      </c>
      <c r="E101" s="3" t="s">
        <v>324</v>
      </c>
      <c r="F101" s="4" t="s">
        <v>69</v>
      </c>
      <c r="G101" s="4" t="s">
        <v>69</v>
      </c>
      <c r="H101" s="10"/>
      <c r="I101" s="4" t="s">
        <v>51</v>
      </c>
      <c r="J101" s="6" t="s">
        <v>325</v>
      </c>
      <c r="K101" s="7">
        <v>17.0</v>
      </c>
      <c r="L101" s="8" t="str">
        <f t="shared" ref="L101:L103" si="13">UPPER(G101)</f>
        <v>BOGOTA</v>
      </c>
      <c r="M101" s="9">
        <v>11.0</v>
      </c>
      <c r="N101" s="9" t="s">
        <v>44</v>
      </c>
      <c r="O101" s="10"/>
      <c r="P101" s="10"/>
      <c r="Q101" s="10"/>
      <c r="R101" s="10"/>
      <c r="S101" s="10"/>
      <c r="T101" s="10"/>
      <c r="U101" s="10"/>
      <c r="V101" s="10"/>
      <c r="W101" s="10"/>
      <c r="X101" s="10"/>
      <c r="Y101" s="10"/>
      <c r="Z101" s="10"/>
    </row>
    <row r="102" ht="14.25" customHeight="1">
      <c r="A102" s="1">
        <v>1.005260574E9</v>
      </c>
      <c r="B102" s="2" t="s">
        <v>27</v>
      </c>
      <c r="C102" s="2" t="s">
        <v>28</v>
      </c>
      <c r="D102" s="2" t="s">
        <v>326</v>
      </c>
      <c r="E102" s="3" t="s">
        <v>327</v>
      </c>
      <c r="F102" s="4" t="s">
        <v>38</v>
      </c>
      <c r="G102" s="4" t="s">
        <v>39</v>
      </c>
      <c r="H102" s="10"/>
      <c r="I102" s="4" t="s">
        <v>164</v>
      </c>
      <c r="J102" s="6" t="s">
        <v>328</v>
      </c>
      <c r="K102" s="7">
        <v>18.0</v>
      </c>
      <c r="L102" s="8" t="str">
        <f t="shared" si="13"/>
        <v>BUCARAMANGA</v>
      </c>
      <c r="M102" s="9">
        <v>8.0</v>
      </c>
      <c r="N102" s="9" t="s">
        <v>329</v>
      </c>
      <c r="O102" s="10"/>
      <c r="P102" s="10"/>
      <c r="Q102" s="10"/>
      <c r="R102" s="10"/>
      <c r="S102" s="10"/>
      <c r="T102" s="10"/>
      <c r="U102" s="10"/>
      <c r="V102" s="10"/>
      <c r="W102" s="10"/>
      <c r="X102" s="10"/>
      <c r="Y102" s="10"/>
      <c r="Z102" s="10"/>
    </row>
    <row r="103" ht="14.25" customHeight="1">
      <c r="A103" s="1">
        <v>1.090462269E9</v>
      </c>
      <c r="B103" s="2" t="s">
        <v>27</v>
      </c>
      <c r="C103" s="2" t="s">
        <v>28</v>
      </c>
      <c r="D103" s="2" t="s">
        <v>330</v>
      </c>
      <c r="E103" s="3" t="s">
        <v>331</v>
      </c>
      <c r="F103" s="4" t="s">
        <v>38</v>
      </c>
      <c r="G103" s="4" t="s">
        <v>39</v>
      </c>
      <c r="H103" s="10"/>
      <c r="I103" s="4" t="s">
        <v>164</v>
      </c>
      <c r="J103" s="6" t="s">
        <v>332</v>
      </c>
      <c r="K103" s="7">
        <v>17.0</v>
      </c>
      <c r="L103" s="8" t="str">
        <f t="shared" si="13"/>
        <v>BUCARAMANGA</v>
      </c>
      <c r="M103" s="9">
        <v>7.0</v>
      </c>
      <c r="N103" s="9" t="s">
        <v>329</v>
      </c>
      <c r="O103" s="10"/>
      <c r="P103" s="10"/>
      <c r="Q103" s="10"/>
      <c r="R103" s="10"/>
      <c r="S103" s="10"/>
      <c r="T103" s="10"/>
      <c r="U103" s="10"/>
      <c r="V103" s="10"/>
      <c r="W103" s="10"/>
      <c r="X103" s="10"/>
      <c r="Y103" s="10"/>
      <c r="Z103" s="10"/>
    </row>
    <row r="104" ht="14.25" hidden="1" customHeight="1">
      <c r="A104" s="13" t="s">
        <v>333</v>
      </c>
      <c r="B104" s="4" t="s">
        <v>27</v>
      </c>
      <c r="C104" s="4" t="s">
        <v>28</v>
      </c>
      <c r="D104" s="4" t="s">
        <v>334</v>
      </c>
      <c r="E104" s="4">
        <v>3.124295466E9</v>
      </c>
      <c r="F104" s="4" t="s">
        <v>30</v>
      </c>
      <c r="G104" s="4" t="s">
        <v>35</v>
      </c>
      <c r="H104" s="14"/>
      <c r="I104" s="4" t="s">
        <v>32</v>
      </c>
      <c r="J104" s="14"/>
      <c r="K104" s="14"/>
      <c r="L104" s="14"/>
    </row>
    <row r="105" ht="14.25" customHeight="1">
      <c r="A105" s="1">
        <v>1.110470828E9</v>
      </c>
      <c r="B105" s="2" t="s">
        <v>27</v>
      </c>
      <c r="C105" s="2" t="s">
        <v>28</v>
      </c>
      <c r="D105" s="2" t="s">
        <v>335</v>
      </c>
      <c r="E105" s="3" t="s">
        <v>336</v>
      </c>
      <c r="F105" s="4" t="s">
        <v>337</v>
      </c>
      <c r="G105" s="4" t="s">
        <v>338</v>
      </c>
      <c r="H105" s="10"/>
      <c r="I105" s="4" t="s">
        <v>51</v>
      </c>
      <c r="J105" s="6" t="s">
        <v>339</v>
      </c>
      <c r="K105" s="7">
        <v>13.0</v>
      </c>
      <c r="L105" s="8" t="str">
        <f t="shared" ref="L105:L109" si="14">UPPER(G105)</f>
        <v>IBAGUE</v>
      </c>
      <c r="M105" s="9"/>
      <c r="N105" s="9" t="s">
        <v>59</v>
      </c>
      <c r="O105" s="10"/>
      <c r="P105" s="10"/>
      <c r="Q105" s="10"/>
      <c r="R105" s="10"/>
      <c r="S105" s="10"/>
      <c r="T105" s="10"/>
      <c r="U105" s="10"/>
      <c r="V105" s="10"/>
      <c r="W105" s="10"/>
      <c r="X105" s="10"/>
      <c r="Y105" s="10"/>
      <c r="Z105" s="10"/>
    </row>
    <row r="106" ht="14.25" customHeight="1">
      <c r="A106" s="1">
        <v>1.030529275E9</v>
      </c>
      <c r="B106" s="2" t="s">
        <v>27</v>
      </c>
      <c r="C106" s="2" t="s">
        <v>28</v>
      </c>
      <c r="D106" s="2" t="s">
        <v>340</v>
      </c>
      <c r="E106" s="3" t="s">
        <v>341</v>
      </c>
      <c r="F106" s="4" t="s">
        <v>69</v>
      </c>
      <c r="G106" s="4" t="s">
        <v>69</v>
      </c>
      <c r="H106" s="2" t="s">
        <v>133</v>
      </c>
      <c r="I106" s="4" t="s">
        <v>51</v>
      </c>
      <c r="J106" s="6" t="s">
        <v>342</v>
      </c>
      <c r="K106" s="7">
        <v>24.0</v>
      </c>
      <c r="L106" s="8" t="str">
        <f t="shared" si="14"/>
        <v>BOGOTA</v>
      </c>
      <c r="M106" s="9">
        <v>8.0</v>
      </c>
      <c r="N106" s="9" t="s">
        <v>59</v>
      </c>
      <c r="O106" s="10"/>
      <c r="P106" s="10"/>
      <c r="Q106" s="10"/>
      <c r="R106" s="10"/>
      <c r="S106" s="10"/>
      <c r="T106" s="10"/>
      <c r="U106" s="10"/>
      <c r="V106" s="10"/>
      <c r="W106" s="10"/>
      <c r="X106" s="10"/>
      <c r="Y106" s="10"/>
      <c r="Z106" s="10"/>
    </row>
    <row r="107" ht="14.25" customHeight="1">
      <c r="A107" s="1">
        <v>1.095581499E9</v>
      </c>
      <c r="B107" s="2" t="s">
        <v>27</v>
      </c>
      <c r="C107" s="2" t="s">
        <v>28</v>
      </c>
      <c r="D107" s="2" t="s">
        <v>343</v>
      </c>
      <c r="E107" s="3" t="s">
        <v>344</v>
      </c>
      <c r="F107" s="4" t="s">
        <v>38</v>
      </c>
      <c r="G107" s="4" t="s">
        <v>39</v>
      </c>
      <c r="H107" s="2" t="s">
        <v>40</v>
      </c>
      <c r="I107" s="4" t="s">
        <v>76</v>
      </c>
      <c r="J107" s="6" t="s">
        <v>345</v>
      </c>
      <c r="K107" s="7">
        <v>44.0</v>
      </c>
      <c r="L107" s="8" t="str">
        <f t="shared" si="14"/>
        <v>BUCARAMANGA</v>
      </c>
      <c r="M107" s="9">
        <v>11.0</v>
      </c>
      <c r="N107" s="9" t="s">
        <v>44</v>
      </c>
      <c r="O107" s="10"/>
      <c r="P107" s="10"/>
      <c r="Q107" s="10"/>
      <c r="R107" s="10"/>
      <c r="S107" s="10"/>
      <c r="T107" s="10"/>
      <c r="U107" s="10"/>
      <c r="V107" s="10"/>
      <c r="W107" s="10"/>
      <c r="X107" s="10"/>
      <c r="Y107" s="10"/>
      <c r="Z107" s="10"/>
    </row>
    <row r="108" ht="14.25" customHeight="1">
      <c r="A108" s="1">
        <v>1.095304218E9</v>
      </c>
      <c r="B108" s="2" t="s">
        <v>27</v>
      </c>
      <c r="C108" s="2" t="s">
        <v>28</v>
      </c>
      <c r="D108" s="2" t="s">
        <v>346</v>
      </c>
      <c r="E108" s="3" t="s">
        <v>347</v>
      </c>
      <c r="F108" s="4" t="s">
        <v>38</v>
      </c>
      <c r="G108" s="4" t="s">
        <v>39</v>
      </c>
      <c r="H108" s="2" t="s">
        <v>348</v>
      </c>
      <c r="I108" s="4" t="s">
        <v>76</v>
      </c>
      <c r="J108" s="6" t="s">
        <v>349</v>
      </c>
      <c r="K108" s="7">
        <v>8.0</v>
      </c>
      <c r="L108" s="8" t="str">
        <f t="shared" si="14"/>
        <v>BUCARAMANGA</v>
      </c>
      <c r="M108" s="9">
        <v>9.0</v>
      </c>
      <c r="N108" s="9" t="s">
        <v>44</v>
      </c>
      <c r="O108" s="10"/>
      <c r="P108" s="10"/>
      <c r="Q108" s="10"/>
      <c r="R108" s="10"/>
      <c r="S108" s="10"/>
      <c r="T108" s="10"/>
      <c r="U108" s="10"/>
      <c r="V108" s="10"/>
      <c r="W108" s="10"/>
      <c r="X108" s="10"/>
      <c r="Y108" s="10"/>
      <c r="Z108" s="10"/>
    </row>
    <row r="109" ht="14.25" customHeight="1">
      <c r="A109" s="1">
        <v>1.099622725E9</v>
      </c>
      <c r="B109" s="2" t="s">
        <v>27</v>
      </c>
      <c r="C109" s="2" t="s">
        <v>28</v>
      </c>
      <c r="D109" s="2" t="s">
        <v>350</v>
      </c>
      <c r="E109" s="3" t="s">
        <v>351</v>
      </c>
      <c r="F109" s="4" t="s">
        <v>38</v>
      </c>
      <c r="G109" s="4" t="s">
        <v>39</v>
      </c>
      <c r="H109" s="2" t="s">
        <v>352</v>
      </c>
      <c r="I109" s="4" t="s">
        <v>76</v>
      </c>
      <c r="J109" s="6" t="s">
        <v>353</v>
      </c>
      <c r="K109" s="7">
        <v>45.0</v>
      </c>
      <c r="L109" s="8" t="str">
        <f t="shared" si="14"/>
        <v>BUCARAMANGA</v>
      </c>
      <c r="M109" s="9">
        <v>19.0</v>
      </c>
      <c r="N109" s="9" t="s">
        <v>59</v>
      </c>
      <c r="O109" s="10"/>
      <c r="P109" s="10"/>
      <c r="Q109" s="10"/>
      <c r="R109" s="10"/>
      <c r="S109" s="10"/>
      <c r="T109" s="10"/>
      <c r="U109" s="10"/>
      <c r="V109" s="10"/>
      <c r="W109" s="10"/>
      <c r="X109" s="10"/>
      <c r="Y109" s="10"/>
      <c r="Z109" s="10"/>
    </row>
    <row r="110" ht="14.25" customHeight="1">
      <c r="A110" s="1" t="s">
        <v>354</v>
      </c>
      <c r="B110" s="2" t="s">
        <v>27</v>
      </c>
      <c r="C110" s="2" t="s">
        <v>28</v>
      </c>
      <c r="D110" s="2" t="s">
        <v>355</v>
      </c>
      <c r="E110" s="3" t="s">
        <v>356</v>
      </c>
      <c r="F110" s="4" t="s">
        <v>38</v>
      </c>
      <c r="G110" s="4" t="s">
        <v>113</v>
      </c>
      <c r="H110" s="4" t="s">
        <v>357</v>
      </c>
      <c r="I110" s="4" t="s">
        <v>358</v>
      </c>
      <c r="J110" s="6" t="s">
        <v>359</v>
      </c>
      <c r="K110" s="25">
        <v>1.0</v>
      </c>
      <c r="L110" s="8" t="s">
        <v>113</v>
      </c>
      <c r="M110" s="9">
        <v>1.0</v>
      </c>
      <c r="N110" s="9" t="s">
        <v>44</v>
      </c>
      <c r="O110" s="10" t="s">
        <v>44</v>
      </c>
    </row>
    <row r="111" ht="14.25" customHeight="1">
      <c r="A111" s="1" t="s">
        <v>360</v>
      </c>
      <c r="B111" s="2" t="s">
        <v>27</v>
      </c>
      <c r="C111" s="2" t="s">
        <v>28</v>
      </c>
      <c r="D111" s="2" t="s">
        <v>361</v>
      </c>
      <c r="E111" s="3" t="s">
        <v>362</v>
      </c>
      <c r="F111" s="4" t="s">
        <v>38</v>
      </c>
      <c r="G111" s="4" t="s">
        <v>113</v>
      </c>
      <c r="H111" s="4" t="s">
        <v>363</v>
      </c>
      <c r="I111" s="4" t="s">
        <v>358</v>
      </c>
      <c r="J111" s="6" t="s">
        <v>364</v>
      </c>
      <c r="K111" s="7">
        <v>1.0</v>
      </c>
      <c r="L111" s="8" t="s">
        <v>113</v>
      </c>
      <c r="M111" s="9">
        <v>3.0</v>
      </c>
      <c r="N111" s="9" t="s">
        <v>59</v>
      </c>
      <c r="O111" s="10"/>
    </row>
    <row r="112" ht="14.25" customHeight="1">
      <c r="A112" s="1" t="s">
        <v>365</v>
      </c>
      <c r="B112" s="2" t="s">
        <v>27</v>
      </c>
      <c r="C112" s="2" t="s">
        <v>66</v>
      </c>
      <c r="D112" s="2" t="s">
        <v>366</v>
      </c>
      <c r="E112" s="3" t="s">
        <v>367</v>
      </c>
      <c r="F112" s="4" t="s">
        <v>38</v>
      </c>
      <c r="G112" s="4" t="s">
        <v>113</v>
      </c>
      <c r="H112" s="4" t="s">
        <v>357</v>
      </c>
      <c r="I112" s="4" t="s">
        <v>358</v>
      </c>
      <c r="J112" s="6" t="s">
        <v>368</v>
      </c>
      <c r="K112" s="25">
        <v>2.0</v>
      </c>
      <c r="L112" s="8" t="s">
        <v>113</v>
      </c>
      <c r="M112" s="9">
        <v>99.0</v>
      </c>
      <c r="N112" s="9" t="s">
        <v>44</v>
      </c>
      <c r="O112" s="10" t="s">
        <v>44</v>
      </c>
    </row>
    <row r="113" ht="14.25" customHeight="1">
      <c r="A113" s="1">
        <v>6.3295284E7</v>
      </c>
      <c r="B113" s="2" t="s">
        <v>27</v>
      </c>
      <c r="C113" s="2" t="s">
        <v>28</v>
      </c>
      <c r="D113" s="2" t="s">
        <v>369</v>
      </c>
      <c r="E113" s="3" t="s">
        <v>370</v>
      </c>
      <c r="F113" s="4" t="s">
        <v>38</v>
      </c>
      <c r="G113" s="4" t="s">
        <v>39</v>
      </c>
      <c r="H113" s="10"/>
      <c r="I113" s="4" t="s">
        <v>41</v>
      </c>
      <c r="J113" s="6" t="s">
        <v>371</v>
      </c>
      <c r="K113" s="7">
        <v>15.0</v>
      </c>
      <c r="L113" s="8" t="str">
        <f t="shared" ref="L113:L115" si="15">UPPER(G113)</f>
        <v>BUCARAMANGA</v>
      </c>
      <c r="M113" s="9">
        <v>14.0</v>
      </c>
      <c r="N113" s="9" t="s">
        <v>44</v>
      </c>
      <c r="O113" s="10" t="s">
        <v>44</v>
      </c>
      <c r="P113" s="10"/>
      <c r="Q113" s="10"/>
      <c r="R113" s="10"/>
      <c r="S113" s="10"/>
      <c r="T113" s="10"/>
      <c r="U113" s="10"/>
      <c r="V113" s="10"/>
      <c r="W113" s="10"/>
      <c r="X113" s="10"/>
      <c r="Y113" s="10"/>
      <c r="Z113" s="10"/>
    </row>
    <row r="114" ht="14.25" customHeight="1">
      <c r="A114" s="1">
        <v>5.2216007E7</v>
      </c>
      <c r="B114" s="2" t="s">
        <v>27</v>
      </c>
      <c r="C114" s="2" t="s">
        <v>28</v>
      </c>
      <c r="D114" s="2" t="s">
        <v>372</v>
      </c>
      <c r="E114" s="3" t="s">
        <v>373</v>
      </c>
      <c r="F114" s="4" t="s">
        <v>69</v>
      </c>
      <c r="G114" s="4" t="s">
        <v>69</v>
      </c>
      <c r="H114" s="2" t="s">
        <v>133</v>
      </c>
      <c r="I114" s="4" t="s">
        <v>51</v>
      </c>
      <c r="J114" s="6" t="s">
        <v>374</v>
      </c>
      <c r="K114" s="7">
        <v>3.0</v>
      </c>
      <c r="L114" s="8" t="str">
        <f t="shared" si="15"/>
        <v>BOGOTA</v>
      </c>
      <c r="M114" s="9"/>
      <c r="N114" s="9" t="s">
        <v>59</v>
      </c>
      <c r="O114" s="10"/>
      <c r="P114" s="10"/>
      <c r="Q114" s="10"/>
      <c r="R114" s="10"/>
      <c r="S114" s="10"/>
      <c r="T114" s="10"/>
      <c r="U114" s="10"/>
      <c r="V114" s="10"/>
      <c r="W114" s="10"/>
      <c r="X114" s="10"/>
      <c r="Y114" s="10"/>
      <c r="Z114" s="10"/>
    </row>
    <row r="115" ht="14.25" customHeight="1">
      <c r="A115" s="1">
        <v>5.1737117E7</v>
      </c>
      <c r="B115" s="2" t="s">
        <v>27</v>
      </c>
      <c r="C115" s="2" t="s">
        <v>28</v>
      </c>
      <c r="D115" s="2" t="s">
        <v>375</v>
      </c>
      <c r="E115" s="3" t="s">
        <v>376</v>
      </c>
      <c r="F115" s="4" t="s">
        <v>69</v>
      </c>
      <c r="G115" s="4" t="s">
        <v>69</v>
      </c>
      <c r="H115" s="10"/>
      <c r="I115" s="4" t="s">
        <v>51</v>
      </c>
      <c r="J115" s="6" t="s">
        <v>377</v>
      </c>
      <c r="K115" s="7">
        <v>18.0</v>
      </c>
      <c r="L115" s="8" t="str">
        <f t="shared" si="15"/>
        <v>BOGOTA</v>
      </c>
      <c r="M115" s="9">
        <v>11.0</v>
      </c>
      <c r="N115" s="9" t="s">
        <v>44</v>
      </c>
      <c r="O115" s="10"/>
      <c r="P115" s="10"/>
      <c r="Q115" s="10"/>
      <c r="R115" s="10"/>
      <c r="S115" s="10"/>
      <c r="T115" s="10"/>
      <c r="U115" s="10"/>
      <c r="V115" s="10"/>
      <c r="W115" s="10"/>
      <c r="X115" s="10"/>
      <c r="Y115" s="10"/>
      <c r="Z115" s="10"/>
    </row>
    <row r="116" ht="14.25" hidden="1" customHeight="1">
      <c r="A116" s="13" t="s">
        <v>378</v>
      </c>
      <c r="B116" s="4" t="s">
        <v>27</v>
      </c>
      <c r="C116" s="4" t="s">
        <v>28</v>
      </c>
      <c r="D116" s="4" t="s">
        <v>379</v>
      </c>
      <c r="E116" s="4">
        <v>3.124295466E9</v>
      </c>
      <c r="F116" s="4" t="s">
        <v>30</v>
      </c>
      <c r="G116" s="4" t="s">
        <v>35</v>
      </c>
      <c r="H116" s="14"/>
      <c r="I116" s="4" t="s">
        <v>32</v>
      </c>
      <c r="J116" s="14"/>
      <c r="K116" s="14"/>
      <c r="L116" s="14"/>
    </row>
    <row r="117" ht="14.25" hidden="1" customHeight="1">
      <c r="A117" s="13" t="s">
        <v>380</v>
      </c>
      <c r="B117" s="4" t="s">
        <v>27</v>
      </c>
      <c r="C117" s="4" t="s">
        <v>28</v>
      </c>
      <c r="D117" s="4" t="s">
        <v>381</v>
      </c>
      <c r="E117" s="4">
        <v>3.229457091E9</v>
      </c>
      <c r="F117" s="4" t="s">
        <v>30</v>
      </c>
      <c r="G117" s="4" t="s">
        <v>31</v>
      </c>
      <c r="H117" s="14"/>
      <c r="I117" s="4" t="s">
        <v>32</v>
      </c>
      <c r="J117" s="14"/>
      <c r="K117" s="14"/>
      <c r="L117" s="14"/>
    </row>
    <row r="118" ht="14.25" hidden="1" customHeight="1">
      <c r="A118" s="13" t="s">
        <v>382</v>
      </c>
      <c r="B118" s="4" t="s">
        <v>27</v>
      </c>
      <c r="C118" s="4" t="s">
        <v>28</v>
      </c>
      <c r="D118" s="4" t="s">
        <v>383</v>
      </c>
      <c r="E118" s="4">
        <v>3.125007711E9</v>
      </c>
      <c r="F118" s="4" t="s">
        <v>30</v>
      </c>
      <c r="G118" s="4" t="s">
        <v>35</v>
      </c>
      <c r="H118" s="14"/>
      <c r="I118" s="4" t="s">
        <v>32</v>
      </c>
      <c r="J118" s="14"/>
      <c r="K118" s="14"/>
      <c r="L118" s="14"/>
    </row>
    <row r="119" ht="14.25" hidden="1" customHeight="1">
      <c r="A119" s="13" t="s">
        <v>384</v>
      </c>
      <c r="B119" s="4" t="s">
        <v>27</v>
      </c>
      <c r="C119" s="4" t="s">
        <v>28</v>
      </c>
      <c r="D119" s="4" t="s">
        <v>385</v>
      </c>
      <c r="E119" s="4">
        <v>3.22731914E9</v>
      </c>
      <c r="F119" s="4" t="s">
        <v>30</v>
      </c>
      <c r="G119" s="4" t="s">
        <v>35</v>
      </c>
      <c r="H119" s="14"/>
      <c r="I119" s="4" t="s">
        <v>32</v>
      </c>
      <c r="J119" s="14"/>
      <c r="K119" s="14"/>
      <c r="L119" s="14"/>
    </row>
    <row r="120" ht="14.25" customHeight="1">
      <c r="A120" s="1">
        <v>6.3340455E7</v>
      </c>
      <c r="B120" s="2" t="s">
        <v>27</v>
      </c>
      <c r="C120" s="2" t="s">
        <v>28</v>
      </c>
      <c r="D120" s="2" t="s">
        <v>386</v>
      </c>
      <c r="E120" s="3" t="s">
        <v>387</v>
      </c>
      <c r="F120" s="4" t="s">
        <v>38</v>
      </c>
      <c r="G120" s="4" t="s">
        <v>81</v>
      </c>
      <c r="H120" s="10"/>
      <c r="I120" s="4" t="s">
        <v>76</v>
      </c>
      <c r="J120" s="6" t="s">
        <v>388</v>
      </c>
      <c r="K120" s="7">
        <v>9.0</v>
      </c>
      <c r="L120" s="8" t="str">
        <f t="shared" ref="L120:L121" si="16">UPPER(G120)</f>
        <v>FLORIDABLANCA</v>
      </c>
      <c r="M120" s="9">
        <v>6.0</v>
      </c>
      <c r="N120" s="9" t="s">
        <v>44</v>
      </c>
      <c r="O120" s="10"/>
      <c r="P120" s="10"/>
      <c r="Q120" s="10"/>
      <c r="R120" s="10"/>
      <c r="S120" s="10"/>
      <c r="T120" s="10"/>
      <c r="U120" s="10"/>
      <c r="V120" s="10"/>
      <c r="W120" s="10"/>
      <c r="X120" s="10"/>
      <c r="Y120" s="10"/>
      <c r="Z120" s="10"/>
    </row>
    <row r="121" ht="14.25" customHeight="1">
      <c r="A121" s="1">
        <v>1.098793586E9</v>
      </c>
      <c r="B121" s="2" t="s">
        <v>27</v>
      </c>
      <c r="C121" s="2" t="s">
        <v>28</v>
      </c>
      <c r="D121" s="2" t="s">
        <v>389</v>
      </c>
      <c r="E121" s="3" t="s">
        <v>390</v>
      </c>
      <c r="F121" s="4" t="s">
        <v>38</v>
      </c>
      <c r="G121" s="4" t="s">
        <v>391</v>
      </c>
      <c r="H121" s="10"/>
      <c r="I121" s="4" t="s">
        <v>41</v>
      </c>
      <c r="J121" s="6" t="s">
        <v>392</v>
      </c>
      <c r="K121" s="7">
        <v>15.0</v>
      </c>
      <c r="L121" s="8" t="str">
        <f t="shared" si="16"/>
        <v>PUERTO WILCHES</v>
      </c>
      <c r="M121" s="9">
        <v>0.0</v>
      </c>
      <c r="N121" s="9" t="s">
        <v>44</v>
      </c>
      <c r="O121" s="10" t="s">
        <v>44</v>
      </c>
      <c r="P121" s="10"/>
      <c r="Q121" s="10"/>
      <c r="R121" s="10"/>
      <c r="S121" s="10"/>
      <c r="T121" s="10"/>
      <c r="U121" s="10"/>
      <c r="V121" s="10"/>
      <c r="W121" s="10"/>
      <c r="X121" s="10"/>
      <c r="Y121" s="10"/>
      <c r="Z121" s="10"/>
    </row>
    <row r="122" ht="14.25" hidden="1" customHeight="1">
      <c r="A122" s="13" t="s">
        <v>393</v>
      </c>
      <c r="B122" s="4" t="s">
        <v>27</v>
      </c>
      <c r="C122" s="4" t="s">
        <v>28</v>
      </c>
      <c r="D122" s="4" t="s">
        <v>394</v>
      </c>
      <c r="E122" s="4">
        <v>3.14294672E9</v>
      </c>
      <c r="F122" s="4" t="s">
        <v>30</v>
      </c>
      <c r="G122" s="4" t="s">
        <v>35</v>
      </c>
      <c r="H122" s="14"/>
      <c r="I122" s="4" t="s">
        <v>32</v>
      </c>
      <c r="J122" s="14"/>
      <c r="K122" s="14"/>
      <c r="L122" s="14"/>
    </row>
    <row r="123" ht="14.25" customHeight="1">
      <c r="A123" s="1">
        <v>1.193510384E9</v>
      </c>
      <c r="B123" s="2" t="s">
        <v>27</v>
      </c>
      <c r="C123" s="2" t="s">
        <v>28</v>
      </c>
      <c r="D123" s="2" t="s">
        <v>395</v>
      </c>
      <c r="E123" s="3" t="s">
        <v>396</v>
      </c>
      <c r="F123" s="4" t="s">
        <v>38</v>
      </c>
      <c r="G123" s="4" t="s">
        <v>39</v>
      </c>
      <c r="H123" s="2" t="s">
        <v>363</v>
      </c>
      <c r="I123" s="4" t="s">
        <v>41</v>
      </c>
      <c r="J123" s="6" t="s">
        <v>174</v>
      </c>
      <c r="K123" s="7">
        <v>32.0</v>
      </c>
      <c r="L123" s="8" t="s">
        <v>53</v>
      </c>
      <c r="M123" s="9">
        <v>2.0</v>
      </c>
      <c r="N123" s="9" t="s">
        <v>44</v>
      </c>
      <c r="O123" s="10"/>
      <c r="P123" s="10"/>
      <c r="Q123" s="10"/>
      <c r="R123" s="10"/>
      <c r="S123" s="10"/>
      <c r="T123" s="10"/>
      <c r="U123" s="10"/>
      <c r="V123" s="10"/>
      <c r="W123" s="10"/>
      <c r="X123" s="10"/>
      <c r="Y123" s="10"/>
      <c r="Z123" s="10"/>
    </row>
    <row r="124" ht="14.25" customHeight="1">
      <c r="A124" s="1">
        <v>1.09866343E9</v>
      </c>
      <c r="B124" s="2" t="s">
        <v>27</v>
      </c>
      <c r="C124" s="2" t="s">
        <v>28</v>
      </c>
      <c r="D124" s="2" t="s">
        <v>397</v>
      </c>
      <c r="E124" s="3" t="s">
        <v>398</v>
      </c>
      <c r="F124" s="4" t="s">
        <v>38</v>
      </c>
      <c r="G124" s="4" t="s">
        <v>39</v>
      </c>
      <c r="H124" s="10"/>
      <c r="I124" s="4" t="s">
        <v>76</v>
      </c>
      <c r="J124" s="6" t="s">
        <v>399</v>
      </c>
      <c r="K124" s="7">
        <v>7.0</v>
      </c>
      <c r="L124" s="8" t="str">
        <f>UPPER(G124)</f>
        <v>BUCARAMANGA</v>
      </c>
      <c r="M124" s="9">
        <v>5.0</v>
      </c>
      <c r="N124" s="9" t="s">
        <v>44</v>
      </c>
      <c r="O124" s="10"/>
      <c r="P124" s="10"/>
      <c r="Q124" s="10"/>
      <c r="R124" s="10"/>
      <c r="S124" s="10"/>
      <c r="T124" s="10"/>
      <c r="U124" s="10"/>
      <c r="V124" s="10"/>
      <c r="W124" s="10"/>
      <c r="X124" s="10"/>
      <c r="Y124" s="10"/>
      <c r="Z124" s="10"/>
    </row>
    <row r="125" ht="14.25" customHeight="1">
      <c r="A125" s="1">
        <v>4084696.0</v>
      </c>
      <c r="B125" s="2" t="s">
        <v>27</v>
      </c>
      <c r="C125" s="2" t="s">
        <v>28</v>
      </c>
      <c r="D125" s="2" t="s">
        <v>400</v>
      </c>
      <c r="E125" s="3" t="s">
        <v>401</v>
      </c>
      <c r="F125" s="4" t="s">
        <v>38</v>
      </c>
      <c r="G125" s="4" t="s">
        <v>39</v>
      </c>
      <c r="H125" s="10"/>
      <c r="I125" s="4" t="s">
        <v>41</v>
      </c>
      <c r="J125" s="6" t="s">
        <v>402</v>
      </c>
      <c r="K125" s="7">
        <v>1.0</v>
      </c>
      <c r="L125" s="8" t="s">
        <v>53</v>
      </c>
      <c r="M125" s="9"/>
      <c r="N125" s="9" t="s">
        <v>59</v>
      </c>
      <c r="O125" s="10"/>
      <c r="P125" s="10"/>
      <c r="Q125" s="10"/>
      <c r="R125" s="10"/>
      <c r="S125" s="10"/>
      <c r="T125" s="10"/>
      <c r="U125" s="10"/>
      <c r="V125" s="10"/>
      <c r="W125" s="10"/>
      <c r="X125" s="10"/>
      <c r="Y125" s="10"/>
      <c r="Z125" s="10"/>
    </row>
    <row r="126" ht="14.25" customHeight="1">
      <c r="A126" s="1">
        <v>1.006653422E9</v>
      </c>
      <c r="B126" s="2" t="s">
        <v>27</v>
      </c>
      <c r="C126" s="2" t="s">
        <v>28</v>
      </c>
      <c r="D126" s="2" t="s">
        <v>403</v>
      </c>
      <c r="E126" s="3" t="s">
        <v>404</v>
      </c>
      <c r="F126" s="4" t="s">
        <v>38</v>
      </c>
      <c r="G126" s="4" t="s">
        <v>39</v>
      </c>
      <c r="H126" s="2" t="s">
        <v>118</v>
      </c>
      <c r="I126" s="4" t="s">
        <v>41</v>
      </c>
      <c r="J126" s="6" t="s">
        <v>405</v>
      </c>
      <c r="K126" s="25">
        <v>11.0</v>
      </c>
      <c r="L126" s="8" t="str">
        <f t="shared" ref="L126:L132" si="17">UPPER(G126)</f>
        <v>BUCARAMANGA</v>
      </c>
      <c r="M126" s="9">
        <v>2.0</v>
      </c>
      <c r="N126" s="9" t="s">
        <v>329</v>
      </c>
      <c r="O126" s="10"/>
      <c r="P126" s="10"/>
      <c r="Q126" s="10"/>
      <c r="R126" s="10"/>
      <c r="S126" s="10"/>
      <c r="T126" s="10"/>
      <c r="U126" s="10"/>
      <c r="V126" s="10"/>
      <c r="W126" s="10"/>
      <c r="X126" s="10"/>
      <c r="Y126" s="10"/>
      <c r="Z126" s="10"/>
    </row>
    <row r="127" ht="14.25" customHeight="1">
      <c r="A127" s="1">
        <v>1.096229729E9</v>
      </c>
      <c r="B127" s="2" t="s">
        <v>27</v>
      </c>
      <c r="C127" s="2" t="s">
        <v>28</v>
      </c>
      <c r="D127" s="2" t="s">
        <v>406</v>
      </c>
      <c r="E127" s="3" t="s">
        <v>407</v>
      </c>
      <c r="F127" s="4" t="s">
        <v>38</v>
      </c>
      <c r="G127" s="4" t="s">
        <v>113</v>
      </c>
      <c r="H127" s="10"/>
      <c r="I127" s="4" t="s">
        <v>70</v>
      </c>
      <c r="J127" s="6" t="s">
        <v>408</v>
      </c>
      <c r="K127" s="7">
        <v>11.0</v>
      </c>
      <c r="L127" s="8" t="str">
        <f t="shared" si="17"/>
        <v>BARRANCABERMEJA</v>
      </c>
      <c r="M127" s="9">
        <v>1.0</v>
      </c>
      <c r="N127" s="9" t="s">
        <v>329</v>
      </c>
      <c r="O127" s="10" t="s">
        <v>329</v>
      </c>
      <c r="P127" s="10"/>
      <c r="Q127" s="10"/>
      <c r="R127" s="10"/>
      <c r="S127" s="10"/>
      <c r="T127" s="10"/>
      <c r="U127" s="10"/>
      <c r="V127" s="10"/>
      <c r="W127" s="10"/>
      <c r="X127" s="10"/>
      <c r="Y127" s="10"/>
      <c r="Z127" s="10"/>
    </row>
    <row r="128" ht="14.25" customHeight="1">
      <c r="A128" s="1">
        <v>1.098792429E9</v>
      </c>
      <c r="B128" s="2" t="s">
        <v>27</v>
      </c>
      <c r="C128" s="2" t="s">
        <v>28</v>
      </c>
      <c r="D128" s="2" t="s">
        <v>409</v>
      </c>
      <c r="E128" s="3" t="s">
        <v>410</v>
      </c>
      <c r="F128" s="4" t="s">
        <v>38</v>
      </c>
      <c r="G128" s="4" t="s">
        <v>81</v>
      </c>
      <c r="H128" s="10"/>
      <c r="I128" s="4" t="s">
        <v>51</v>
      </c>
      <c r="J128" s="6" t="s">
        <v>411</v>
      </c>
      <c r="K128" s="7">
        <v>19.0</v>
      </c>
      <c r="L128" s="8" t="str">
        <f t="shared" si="17"/>
        <v>FLORIDABLANCA</v>
      </c>
      <c r="M128" s="9"/>
      <c r="N128" s="9" t="s">
        <v>44</v>
      </c>
      <c r="O128" s="10" t="s">
        <v>44</v>
      </c>
      <c r="P128" s="10"/>
      <c r="Q128" s="10"/>
      <c r="R128" s="10"/>
      <c r="S128" s="10"/>
      <c r="T128" s="10"/>
      <c r="U128" s="10"/>
      <c r="V128" s="10"/>
      <c r="W128" s="10"/>
      <c r="X128" s="10"/>
      <c r="Y128" s="10"/>
      <c r="Z128" s="10"/>
    </row>
    <row r="129" ht="14.25" customHeight="1">
      <c r="A129" s="1">
        <v>1.095797176E9</v>
      </c>
      <c r="B129" s="2" t="s">
        <v>27</v>
      </c>
      <c r="C129" s="2" t="s">
        <v>28</v>
      </c>
      <c r="D129" s="2" t="s">
        <v>412</v>
      </c>
      <c r="E129" s="3" t="s">
        <v>413</v>
      </c>
      <c r="F129" s="4" t="s">
        <v>38</v>
      </c>
      <c r="G129" s="4" t="s">
        <v>81</v>
      </c>
      <c r="H129" s="2" t="s">
        <v>414</v>
      </c>
      <c r="I129" s="4" t="s">
        <v>41</v>
      </c>
      <c r="J129" s="6" t="s">
        <v>415</v>
      </c>
      <c r="K129" s="7">
        <v>11.0</v>
      </c>
      <c r="L129" s="8" t="str">
        <f t="shared" si="17"/>
        <v>FLORIDABLANCA</v>
      </c>
      <c r="M129" s="9"/>
      <c r="N129" s="9" t="s">
        <v>59</v>
      </c>
      <c r="O129" s="10"/>
      <c r="P129" s="10"/>
      <c r="Q129" s="10"/>
      <c r="R129" s="10"/>
      <c r="S129" s="10"/>
      <c r="T129" s="10"/>
      <c r="U129" s="10"/>
      <c r="V129" s="10"/>
      <c r="W129" s="10"/>
      <c r="X129" s="10"/>
      <c r="Y129" s="10"/>
      <c r="Z129" s="10"/>
    </row>
    <row r="130" ht="14.25" customHeight="1">
      <c r="A130" s="1">
        <v>1.005189322E9</v>
      </c>
      <c r="B130" s="2" t="s">
        <v>27</v>
      </c>
      <c r="C130" s="2" t="s">
        <v>28</v>
      </c>
      <c r="D130" s="2" t="s">
        <v>416</v>
      </c>
      <c r="E130" s="3" t="s">
        <v>417</v>
      </c>
      <c r="F130" s="4" t="s">
        <v>38</v>
      </c>
      <c r="G130" s="4" t="s">
        <v>113</v>
      </c>
      <c r="H130" s="2" t="s">
        <v>418</v>
      </c>
      <c r="I130" s="4" t="s">
        <v>419</v>
      </c>
      <c r="J130" s="6" t="s">
        <v>420</v>
      </c>
      <c r="K130" s="7" t="s">
        <v>421</v>
      </c>
      <c r="L130" s="8" t="str">
        <f t="shared" si="17"/>
        <v>BARRANCABERMEJA</v>
      </c>
      <c r="M130" s="9"/>
      <c r="N130" s="9" t="s">
        <v>59</v>
      </c>
      <c r="O130" s="10"/>
      <c r="P130" s="10"/>
      <c r="Q130" s="10"/>
      <c r="R130" s="10"/>
      <c r="S130" s="10"/>
      <c r="T130" s="10"/>
      <c r="U130" s="10"/>
      <c r="V130" s="10"/>
      <c r="W130" s="10"/>
      <c r="X130" s="10"/>
      <c r="Y130" s="10"/>
      <c r="Z130" s="10"/>
    </row>
    <row r="131" ht="14.25" customHeight="1">
      <c r="A131" s="1">
        <v>1.007629294E9</v>
      </c>
      <c r="B131" s="2" t="s">
        <v>27</v>
      </c>
      <c r="C131" s="2" t="s">
        <v>28</v>
      </c>
      <c r="D131" s="2" t="s">
        <v>422</v>
      </c>
      <c r="E131" s="3" t="s">
        <v>423</v>
      </c>
      <c r="F131" s="4" t="s">
        <v>424</v>
      </c>
      <c r="G131" s="4" t="s">
        <v>425</v>
      </c>
      <c r="H131" s="10"/>
      <c r="I131" s="4" t="s">
        <v>426</v>
      </c>
      <c r="J131" s="6" t="s">
        <v>427</v>
      </c>
      <c r="K131" s="7">
        <v>16.0</v>
      </c>
      <c r="L131" s="8" t="str">
        <f t="shared" si="17"/>
        <v>MONTERIA</v>
      </c>
      <c r="M131" s="9">
        <v>6.0</v>
      </c>
      <c r="N131" s="9" t="s">
        <v>59</v>
      </c>
      <c r="O131" s="10"/>
      <c r="P131" s="10"/>
      <c r="Q131" s="10"/>
      <c r="R131" s="10"/>
      <c r="S131" s="10"/>
      <c r="T131" s="10"/>
      <c r="U131" s="10"/>
      <c r="V131" s="10"/>
      <c r="W131" s="10"/>
      <c r="X131" s="10"/>
      <c r="Y131" s="10"/>
      <c r="Z131" s="10"/>
    </row>
    <row r="132" ht="14.25" customHeight="1">
      <c r="A132" s="1">
        <v>1.000223822E9</v>
      </c>
      <c r="B132" s="2" t="s">
        <v>27</v>
      </c>
      <c r="C132" s="2" t="s">
        <v>28</v>
      </c>
      <c r="D132" s="2" t="s">
        <v>428</v>
      </c>
      <c r="E132" s="3" t="s">
        <v>429</v>
      </c>
      <c r="F132" s="4" t="s">
        <v>69</v>
      </c>
      <c r="G132" s="4" t="s">
        <v>69</v>
      </c>
      <c r="H132" s="2" t="s">
        <v>181</v>
      </c>
      <c r="I132" s="4" t="s">
        <v>182</v>
      </c>
      <c r="J132" s="6" t="s">
        <v>430</v>
      </c>
      <c r="K132" s="7">
        <v>11.0</v>
      </c>
      <c r="L132" s="8" t="str">
        <f t="shared" si="17"/>
        <v>BOGOTA</v>
      </c>
      <c r="M132" s="9"/>
      <c r="N132" s="9" t="s">
        <v>59</v>
      </c>
      <c r="O132" s="10"/>
      <c r="P132" s="10"/>
      <c r="Q132" s="10"/>
      <c r="R132" s="10"/>
      <c r="S132" s="10"/>
      <c r="T132" s="10"/>
      <c r="U132" s="10"/>
      <c r="V132" s="10"/>
      <c r="W132" s="10"/>
      <c r="X132" s="10"/>
      <c r="Y132" s="10"/>
      <c r="Z132" s="10"/>
    </row>
    <row r="133" ht="14.25" hidden="1" customHeight="1">
      <c r="A133" s="13" t="s">
        <v>431</v>
      </c>
      <c r="B133" s="4" t="s">
        <v>27</v>
      </c>
      <c r="C133" s="4" t="s">
        <v>28</v>
      </c>
      <c r="D133" s="4" t="s">
        <v>432</v>
      </c>
      <c r="E133" s="4">
        <v>3.12591924E9</v>
      </c>
      <c r="F133" s="4" t="s">
        <v>30</v>
      </c>
      <c r="G133" s="4" t="s">
        <v>35</v>
      </c>
      <c r="H133" s="14"/>
      <c r="I133" s="4" t="s">
        <v>32</v>
      </c>
      <c r="J133" s="14"/>
      <c r="K133" s="14"/>
      <c r="L133" s="14"/>
    </row>
    <row r="134" ht="14.25" customHeight="1">
      <c r="A134" s="1">
        <v>1.014226595E9</v>
      </c>
      <c r="B134" s="2" t="s">
        <v>27</v>
      </c>
      <c r="C134" s="2" t="s">
        <v>66</v>
      </c>
      <c r="D134" s="2" t="s">
        <v>433</v>
      </c>
      <c r="E134" s="3" t="s">
        <v>434</v>
      </c>
      <c r="F134" s="4" t="s">
        <v>38</v>
      </c>
      <c r="G134" s="4" t="s">
        <v>170</v>
      </c>
      <c r="H134" s="10"/>
      <c r="I134" s="4" t="s">
        <v>164</v>
      </c>
      <c r="J134" s="6" t="s">
        <v>171</v>
      </c>
      <c r="K134" s="7">
        <v>8.0</v>
      </c>
      <c r="L134" s="8" t="str">
        <f>UPPER(G134)</f>
        <v>GUADALUPE</v>
      </c>
      <c r="M134" s="9">
        <v>1.0</v>
      </c>
      <c r="N134" s="9" t="s">
        <v>44</v>
      </c>
      <c r="O134" s="10"/>
      <c r="P134" s="10"/>
      <c r="Q134" s="10"/>
      <c r="R134" s="10"/>
      <c r="S134" s="10"/>
      <c r="T134" s="10"/>
      <c r="U134" s="10"/>
      <c r="V134" s="10"/>
      <c r="W134" s="10"/>
      <c r="X134" s="10"/>
      <c r="Y134" s="10"/>
      <c r="Z134" s="10"/>
    </row>
    <row r="135" ht="14.25" hidden="1" customHeight="1">
      <c r="A135" s="13" t="s">
        <v>435</v>
      </c>
      <c r="B135" s="4" t="s">
        <v>27</v>
      </c>
      <c r="C135" s="4" t="s">
        <v>28</v>
      </c>
      <c r="D135" s="4" t="s">
        <v>436</v>
      </c>
      <c r="E135" s="4">
        <v>3.118713141E9</v>
      </c>
      <c r="F135" s="4" t="s">
        <v>30</v>
      </c>
      <c r="G135" s="4" t="s">
        <v>35</v>
      </c>
      <c r="H135" s="14"/>
      <c r="I135" s="4" t="s">
        <v>32</v>
      </c>
      <c r="J135" s="14"/>
      <c r="K135" s="14"/>
      <c r="L135" s="14"/>
    </row>
    <row r="136" ht="14.25" hidden="1" customHeight="1">
      <c r="A136" s="13" t="s">
        <v>437</v>
      </c>
      <c r="B136" s="4" t="s">
        <v>27</v>
      </c>
      <c r="C136" s="4" t="s">
        <v>28</v>
      </c>
      <c r="D136" s="4" t="s">
        <v>438</v>
      </c>
      <c r="E136" s="4">
        <v>3.22292338E9</v>
      </c>
      <c r="F136" s="4" t="s">
        <v>30</v>
      </c>
      <c r="G136" s="4" t="s">
        <v>31</v>
      </c>
      <c r="H136" s="14"/>
      <c r="I136" s="4" t="s">
        <v>32</v>
      </c>
      <c r="J136" s="14"/>
      <c r="K136" s="14"/>
      <c r="L136" s="14"/>
    </row>
    <row r="137" ht="14.25" hidden="1" customHeight="1">
      <c r="A137" s="13" t="s">
        <v>439</v>
      </c>
      <c r="B137" s="4" t="s">
        <v>27</v>
      </c>
      <c r="C137" s="4" t="s">
        <v>28</v>
      </c>
      <c r="D137" s="4" t="s">
        <v>440</v>
      </c>
      <c r="E137" s="4">
        <v>3.118713141E9</v>
      </c>
      <c r="F137" s="4" t="s">
        <v>30</v>
      </c>
      <c r="G137" s="4" t="s">
        <v>35</v>
      </c>
      <c r="H137" s="14"/>
      <c r="I137" s="4" t="s">
        <v>32</v>
      </c>
      <c r="J137" s="14"/>
      <c r="K137" s="14"/>
      <c r="L137" s="14"/>
    </row>
    <row r="138" ht="14.25" customHeight="1">
      <c r="A138" s="1">
        <v>2.0634845E7</v>
      </c>
      <c r="B138" s="2" t="s">
        <v>27</v>
      </c>
      <c r="C138" s="2" t="s">
        <v>28</v>
      </c>
      <c r="D138" s="2" t="s">
        <v>441</v>
      </c>
      <c r="E138" s="3" t="s">
        <v>442</v>
      </c>
      <c r="F138" s="4" t="s">
        <v>38</v>
      </c>
      <c r="G138" s="4" t="s">
        <v>81</v>
      </c>
      <c r="H138" s="10"/>
      <c r="I138" s="4" t="s">
        <v>70</v>
      </c>
      <c r="J138" s="6" t="s">
        <v>388</v>
      </c>
      <c r="K138" s="7">
        <v>3.0</v>
      </c>
      <c r="L138" s="8" t="str">
        <f t="shared" ref="L138:L140" si="18">UPPER(G138)</f>
        <v>FLORIDABLANCA</v>
      </c>
      <c r="M138" s="9">
        <v>6.0</v>
      </c>
      <c r="N138" s="9" t="s">
        <v>44</v>
      </c>
      <c r="O138" s="10"/>
      <c r="P138" s="10"/>
      <c r="Q138" s="10"/>
      <c r="R138" s="10"/>
      <c r="S138" s="10"/>
      <c r="T138" s="10"/>
      <c r="U138" s="10"/>
      <c r="V138" s="10"/>
      <c r="W138" s="10"/>
      <c r="X138" s="10"/>
      <c r="Y138" s="10"/>
      <c r="Z138" s="10"/>
    </row>
    <row r="139" ht="14.25" customHeight="1">
      <c r="A139" s="1">
        <v>7.3129975E7</v>
      </c>
      <c r="B139" s="2" t="s">
        <v>27</v>
      </c>
      <c r="C139" s="2" t="s">
        <v>28</v>
      </c>
      <c r="D139" s="2" t="s">
        <v>443</v>
      </c>
      <c r="E139" s="3" t="s">
        <v>444</v>
      </c>
      <c r="F139" s="4" t="s">
        <v>69</v>
      </c>
      <c r="G139" s="4" t="s">
        <v>69</v>
      </c>
      <c r="H139" s="10"/>
      <c r="I139" s="4" t="s">
        <v>51</v>
      </c>
      <c r="J139" s="6" t="s">
        <v>445</v>
      </c>
      <c r="K139" s="7">
        <v>7.0</v>
      </c>
      <c r="L139" s="8" t="str">
        <f t="shared" si="18"/>
        <v>BOGOTA</v>
      </c>
      <c r="M139" s="9">
        <v>14.0</v>
      </c>
      <c r="N139" s="9" t="s">
        <v>59</v>
      </c>
      <c r="O139" s="10"/>
      <c r="P139" s="10"/>
      <c r="Q139" s="10"/>
      <c r="R139" s="10"/>
      <c r="S139" s="10"/>
      <c r="T139" s="10"/>
      <c r="U139" s="10"/>
      <c r="V139" s="10"/>
      <c r="W139" s="10"/>
      <c r="X139" s="10"/>
      <c r="Y139" s="10"/>
      <c r="Z139" s="10"/>
    </row>
    <row r="140" ht="14.25" customHeight="1">
      <c r="A140" s="1">
        <v>5740552.0</v>
      </c>
      <c r="B140" s="2" t="s">
        <v>27</v>
      </c>
      <c r="C140" s="2" t="s">
        <v>28</v>
      </c>
      <c r="D140" s="2" t="s">
        <v>446</v>
      </c>
      <c r="E140" s="3" t="s">
        <v>447</v>
      </c>
      <c r="F140" s="4" t="s">
        <v>38</v>
      </c>
      <c r="G140" s="4" t="s">
        <v>81</v>
      </c>
      <c r="H140" s="10"/>
      <c r="I140" s="4" t="s">
        <v>41</v>
      </c>
      <c r="J140" s="6" t="s">
        <v>388</v>
      </c>
      <c r="K140" s="7">
        <v>1.0</v>
      </c>
      <c r="L140" s="8" t="str">
        <f t="shared" si="18"/>
        <v>FLORIDABLANCA</v>
      </c>
      <c r="M140" s="9">
        <v>6.0</v>
      </c>
      <c r="N140" s="9" t="s">
        <v>44</v>
      </c>
      <c r="O140" s="10"/>
      <c r="P140" s="10"/>
      <c r="Q140" s="10"/>
      <c r="R140" s="10"/>
      <c r="S140" s="10"/>
      <c r="T140" s="10"/>
      <c r="U140" s="10"/>
      <c r="V140" s="10"/>
      <c r="W140" s="10"/>
      <c r="X140" s="10"/>
      <c r="Y140" s="10"/>
      <c r="Z140" s="10"/>
    </row>
    <row r="141" ht="14.25" hidden="1" customHeight="1">
      <c r="A141" s="13" t="s">
        <v>448</v>
      </c>
      <c r="B141" s="4" t="s">
        <v>27</v>
      </c>
      <c r="C141" s="4" t="s">
        <v>28</v>
      </c>
      <c r="D141" s="4" t="s">
        <v>449</v>
      </c>
      <c r="E141" s="4">
        <v>3.118713141E9</v>
      </c>
      <c r="F141" s="4" t="s">
        <v>30</v>
      </c>
      <c r="G141" s="4" t="s">
        <v>35</v>
      </c>
      <c r="H141" s="14"/>
      <c r="I141" s="4" t="s">
        <v>32</v>
      </c>
      <c r="J141" s="14"/>
      <c r="K141" s="14"/>
      <c r="L141" s="14"/>
    </row>
    <row r="142" ht="14.25" customHeight="1">
      <c r="A142" s="1">
        <v>1.007246588E9</v>
      </c>
      <c r="B142" s="2" t="s">
        <v>27</v>
      </c>
      <c r="C142" s="2" t="s">
        <v>28</v>
      </c>
      <c r="D142" s="2" t="s">
        <v>450</v>
      </c>
      <c r="E142" s="3" t="s">
        <v>451</v>
      </c>
      <c r="F142" s="4" t="s">
        <v>38</v>
      </c>
      <c r="G142" s="4" t="s">
        <v>39</v>
      </c>
      <c r="H142" s="10"/>
      <c r="I142" s="4" t="s">
        <v>76</v>
      </c>
      <c r="J142" s="6" t="s">
        <v>452</v>
      </c>
      <c r="K142" s="7">
        <v>19.0</v>
      </c>
      <c r="L142" s="8" t="s">
        <v>78</v>
      </c>
      <c r="M142" s="9">
        <v>2.0</v>
      </c>
      <c r="N142" s="9" t="s">
        <v>44</v>
      </c>
      <c r="O142" s="10"/>
      <c r="P142" s="10"/>
      <c r="Q142" s="10"/>
      <c r="R142" s="10"/>
      <c r="S142" s="10"/>
      <c r="T142" s="10"/>
      <c r="U142" s="10"/>
      <c r="V142" s="10"/>
      <c r="W142" s="10"/>
      <c r="X142" s="10"/>
      <c r="Y142" s="10"/>
      <c r="Z142" s="10"/>
    </row>
    <row r="143" ht="14.25" customHeight="1">
      <c r="A143" s="1">
        <v>1.065235914E9</v>
      </c>
      <c r="B143" s="2" t="s">
        <v>27</v>
      </c>
      <c r="C143" s="2" t="s">
        <v>28</v>
      </c>
      <c r="D143" s="26" t="s">
        <v>453</v>
      </c>
      <c r="E143" s="3" t="s">
        <v>454</v>
      </c>
      <c r="F143" s="4" t="s">
        <v>455</v>
      </c>
      <c r="G143" s="4" t="s">
        <v>456</v>
      </c>
      <c r="H143" s="2" t="s">
        <v>118</v>
      </c>
      <c r="I143" s="4" t="s">
        <v>41</v>
      </c>
      <c r="J143" s="6" t="s">
        <v>457</v>
      </c>
      <c r="K143" s="7">
        <v>1.0</v>
      </c>
      <c r="L143" s="8" t="str">
        <f>UPPER(G143)</f>
        <v>SAN ALBERTO</v>
      </c>
      <c r="M143" s="9"/>
      <c r="N143" s="9" t="s">
        <v>59</v>
      </c>
      <c r="O143" s="10"/>
      <c r="P143" s="10"/>
      <c r="Q143" s="10"/>
      <c r="R143" s="10"/>
      <c r="S143" s="10"/>
      <c r="T143" s="10"/>
      <c r="U143" s="10"/>
      <c r="V143" s="10"/>
      <c r="W143" s="10"/>
      <c r="X143" s="10"/>
      <c r="Y143" s="10"/>
      <c r="Z143" s="10"/>
    </row>
    <row r="144" ht="14.25" hidden="1" customHeight="1">
      <c r="A144" s="13" t="s">
        <v>458</v>
      </c>
      <c r="B144" s="4" t="s">
        <v>27</v>
      </c>
      <c r="C144" s="4" t="s">
        <v>28</v>
      </c>
      <c r="D144" s="4" t="s">
        <v>459</v>
      </c>
      <c r="E144" s="4">
        <v>3.22292338E9</v>
      </c>
      <c r="F144" s="4" t="s">
        <v>30</v>
      </c>
      <c r="G144" s="4" t="s">
        <v>31</v>
      </c>
      <c r="H144" s="14"/>
      <c r="I144" s="4" t="s">
        <v>32</v>
      </c>
      <c r="J144" s="14"/>
      <c r="K144" s="14"/>
      <c r="L144" s="14"/>
    </row>
    <row r="145" ht="14.25" hidden="1" customHeight="1">
      <c r="A145" s="13" t="s">
        <v>460</v>
      </c>
      <c r="B145" s="4" t="s">
        <v>27</v>
      </c>
      <c r="C145" s="4" t="s">
        <v>28</v>
      </c>
      <c r="D145" s="4" t="s">
        <v>461</v>
      </c>
      <c r="E145" s="4">
        <v>3.118713141E9</v>
      </c>
      <c r="F145" s="4" t="s">
        <v>30</v>
      </c>
      <c r="G145" s="4" t="s">
        <v>35</v>
      </c>
      <c r="H145" s="14"/>
      <c r="I145" s="4" t="s">
        <v>32</v>
      </c>
      <c r="J145" s="14"/>
      <c r="K145" s="14"/>
      <c r="L145" s="14"/>
    </row>
    <row r="146" ht="14.25" customHeight="1">
      <c r="A146" s="1">
        <v>3.1898882E7</v>
      </c>
      <c r="B146" s="2" t="s">
        <v>27</v>
      </c>
      <c r="C146" s="2" t="s">
        <v>28</v>
      </c>
      <c r="D146" s="2" t="s">
        <v>462</v>
      </c>
      <c r="E146" s="3" t="s">
        <v>463</v>
      </c>
      <c r="F146" s="4" t="s">
        <v>38</v>
      </c>
      <c r="G146" s="4" t="s">
        <v>81</v>
      </c>
      <c r="H146" s="10"/>
      <c r="I146" s="4" t="s">
        <v>76</v>
      </c>
      <c r="J146" s="6" t="s">
        <v>388</v>
      </c>
      <c r="K146" s="7">
        <v>5.0</v>
      </c>
      <c r="L146" s="8" t="str">
        <f t="shared" ref="L146:L147" si="19">UPPER(G146)</f>
        <v>FLORIDABLANCA</v>
      </c>
      <c r="M146" s="9">
        <v>6.0</v>
      </c>
      <c r="N146" s="9" t="s">
        <v>44</v>
      </c>
      <c r="O146" s="10"/>
      <c r="P146" s="10"/>
      <c r="Q146" s="10"/>
      <c r="R146" s="10"/>
      <c r="S146" s="10"/>
      <c r="T146" s="10"/>
      <c r="U146" s="10"/>
      <c r="V146" s="10"/>
      <c r="W146" s="10"/>
      <c r="X146" s="10"/>
      <c r="Y146" s="10"/>
      <c r="Z146" s="10"/>
    </row>
    <row r="147" ht="14.25" customHeight="1">
      <c r="A147" s="1">
        <v>3.7932377E7</v>
      </c>
      <c r="B147" s="2" t="s">
        <v>27</v>
      </c>
      <c r="C147" s="2" t="s">
        <v>28</v>
      </c>
      <c r="D147" s="2" t="s">
        <v>464</v>
      </c>
      <c r="E147" s="3" t="s">
        <v>465</v>
      </c>
      <c r="F147" s="4" t="s">
        <v>38</v>
      </c>
      <c r="G147" s="4" t="s">
        <v>113</v>
      </c>
      <c r="H147" s="15" t="s">
        <v>466</v>
      </c>
      <c r="I147" s="4" t="s">
        <v>70</v>
      </c>
      <c r="J147" s="6" t="s">
        <v>467</v>
      </c>
      <c r="K147" s="7">
        <v>8.0</v>
      </c>
      <c r="L147" s="8" t="str">
        <f t="shared" si="19"/>
        <v>BARRANCABERMEJA</v>
      </c>
      <c r="M147" s="9">
        <v>5.0</v>
      </c>
      <c r="N147" s="9" t="s">
        <v>44</v>
      </c>
      <c r="O147" s="10" t="s">
        <v>44</v>
      </c>
      <c r="P147" s="10"/>
      <c r="Q147" s="10"/>
      <c r="R147" s="10"/>
      <c r="S147" s="10"/>
      <c r="T147" s="10"/>
      <c r="U147" s="10"/>
      <c r="V147" s="10"/>
      <c r="W147" s="10"/>
      <c r="X147" s="10"/>
      <c r="Y147" s="10"/>
      <c r="Z147" s="10"/>
    </row>
    <row r="148" ht="14.25" hidden="1" customHeight="1">
      <c r="A148" s="13" t="s">
        <v>468</v>
      </c>
      <c r="B148" s="4" t="s">
        <v>27</v>
      </c>
      <c r="C148" s="4" t="s">
        <v>28</v>
      </c>
      <c r="D148" s="4" t="s">
        <v>469</v>
      </c>
      <c r="E148" s="4">
        <v>3.218545166E9</v>
      </c>
      <c r="F148" s="4" t="s">
        <v>30</v>
      </c>
      <c r="G148" s="4" t="s">
        <v>35</v>
      </c>
      <c r="H148" s="14"/>
      <c r="I148" s="4" t="s">
        <v>32</v>
      </c>
      <c r="J148" s="14"/>
      <c r="K148" s="14"/>
      <c r="L148" s="14"/>
    </row>
    <row r="149" ht="14.25" customHeight="1">
      <c r="A149" s="1">
        <v>1.7958302E7</v>
      </c>
      <c r="B149" s="2" t="s">
        <v>27</v>
      </c>
      <c r="C149" s="2" t="s">
        <v>28</v>
      </c>
      <c r="D149" s="2" t="s">
        <v>470</v>
      </c>
      <c r="E149" s="3" t="s">
        <v>471</v>
      </c>
      <c r="F149" s="4" t="s">
        <v>38</v>
      </c>
      <c r="G149" s="4" t="s">
        <v>39</v>
      </c>
      <c r="H149" s="19" t="s">
        <v>472</v>
      </c>
      <c r="I149" s="4" t="s">
        <v>164</v>
      </c>
      <c r="J149" s="6" t="s">
        <v>473</v>
      </c>
      <c r="K149" s="7">
        <v>1.0</v>
      </c>
      <c r="L149" s="8" t="str">
        <f t="shared" ref="L149:L155" si="20">UPPER(G149)</f>
        <v>BUCARAMANGA</v>
      </c>
      <c r="M149" s="9">
        <v>19.0</v>
      </c>
      <c r="N149" s="9" t="s">
        <v>44</v>
      </c>
      <c r="O149" s="10"/>
      <c r="P149" s="10"/>
      <c r="Q149" s="10"/>
      <c r="R149" s="10"/>
      <c r="S149" s="10"/>
      <c r="T149" s="10"/>
      <c r="U149" s="10"/>
      <c r="V149" s="10"/>
      <c r="W149" s="10"/>
      <c r="X149" s="10"/>
      <c r="Y149" s="10"/>
      <c r="Z149" s="10"/>
    </row>
    <row r="150" ht="14.25" customHeight="1">
      <c r="A150" s="1">
        <v>1.098802456E9</v>
      </c>
      <c r="B150" s="2" t="s">
        <v>27</v>
      </c>
      <c r="C150" s="2" t="s">
        <v>28</v>
      </c>
      <c r="D150" s="2" t="s">
        <v>474</v>
      </c>
      <c r="E150" s="3" t="s">
        <v>475</v>
      </c>
      <c r="F150" s="4" t="s">
        <v>38</v>
      </c>
      <c r="G150" s="4" t="s">
        <v>39</v>
      </c>
      <c r="H150" s="19" t="s">
        <v>476</v>
      </c>
      <c r="I150" s="4" t="s">
        <v>76</v>
      </c>
      <c r="J150" s="6" t="s">
        <v>477</v>
      </c>
      <c r="K150" s="7">
        <v>30.0</v>
      </c>
      <c r="L150" s="8" t="str">
        <f t="shared" si="20"/>
        <v>BUCARAMANGA</v>
      </c>
      <c r="M150" s="9">
        <v>30.0</v>
      </c>
      <c r="N150" s="9" t="s">
        <v>44</v>
      </c>
      <c r="O150" s="10"/>
      <c r="P150" s="10"/>
      <c r="Q150" s="10"/>
      <c r="R150" s="10"/>
      <c r="S150" s="10"/>
      <c r="T150" s="10"/>
      <c r="U150" s="10"/>
      <c r="V150" s="10"/>
      <c r="W150" s="10"/>
      <c r="X150" s="10"/>
      <c r="Y150" s="10"/>
      <c r="Z150" s="10"/>
    </row>
    <row r="151" ht="14.25" customHeight="1">
      <c r="A151" s="1">
        <v>1.098726975E9</v>
      </c>
      <c r="B151" s="2" t="s">
        <v>27</v>
      </c>
      <c r="C151" s="2" t="s">
        <v>28</v>
      </c>
      <c r="D151" s="2" t="s">
        <v>478</v>
      </c>
      <c r="E151" s="3" t="s">
        <v>479</v>
      </c>
      <c r="F151" s="4" t="s">
        <v>38</v>
      </c>
      <c r="G151" s="4" t="s">
        <v>39</v>
      </c>
      <c r="H151" s="19" t="s">
        <v>480</v>
      </c>
      <c r="I151" s="4" t="s">
        <v>76</v>
      </c>
      <c r="J151" s="6" t="s">
        <v>481</v>
      </c>
      <c r="K151" s="7">
        <v>11.0</v>
      </c>
      <c r="L151" s="8" t="str">
        <f t="shared" si="20"/>
        <v>BUCARAMANGA</v>
      </c>
      <c r="M151" s="9">
        <v>1.0</v>
      </c>
      <c r="N151" s="9" t="s">
        <v>44</v>
      </c>
      <c r="O151" s="10"/>
      <c r="P151" s="8" t="s">
        <v>482</v>
      </c>
      <c r="Q151" s="10"/>
      <c r="R151" s="10"/>
      <c r="S151" s="10"/>
      <c r="T151" s="10"/>
      <c r="U151" s="10"/>
      <c r="V151" s="10"/>
      <c r="W151" s="10"/>
      <c r="X151" s="10"/>
      <c r="Y151" s="10"/>
      <c r="Z151" s="10"/>
    </row>
    <row r="152" ht="14.25" customHeight="1">
      <c r="A152" s="1">
        <v>3.7822E7</v>
      </c>
      <c r="B152" s="2" t="s">
        <v>27</v>
      </c>
      <c r="C152" s="2" t="s">
        <v>28</v>
      </c>
      <c r="D152" s="2" t="s">
        <v>483</v>
      </c>
      <c r="E152" s="3" t="s">
        <v>484</v>
      </c>
      <c r="F152" s="4" t="s">
        <v>38</v>
      </c>
      <c r="G152" s="4" t="s">
        <v>39</v>
      </c>
      <c r="H152" s="15" t="s">
        <v>485</v>
      </c>
      <c r="I152" s="4" t="s">
        <v>76</v>
      </c>
      <c r="J152" s="6" t="s">
        <v>486</v>
      </c>
      <c r="K152" s="7">
        <v>2.0</v>
      </c>
      <c r="L152" s="8" t="str">
        <f t="shared" si="20"/>
        <v>BUCARAMANGA</v>
      </c>
      <c r="M152" s="9">
        <v>10.0</v>
      </c>
      <c r="N152" s="9" t="s">
        <v>44</v>
      </c>
      <c r="O152" s="10"/>
      <c r="P152" s="10"/>
      <c r="Q152" s="10"/>
      <c r="R152" s="10"/>
      <c r="S152" s="10"/>
      <c r="T152" s="10"/>
      <c r="U152" s="10"/>
      <c r="V152" s="10"/>
      <c r="W152" s="10"/>
      <c r="X152" s="10"/>
      <c r="Y152" s="10"/>
      <c r="Z152" s="10"/>
    </row>
    <row r="153" ht="14.25" customHeight="1">
      <c r="A153" s="1">
        <v>9.5255677E7</v>
      </c>
      <c r="B153" s="2" t="s">
        <v>27</v>
      </c>
      <c r="C153" s="2" t="s">
        <v>28</v>
      </c>
      <c r="D153" s="2" t="s">
        <v>487</v>
      </c>
      <c r="E153" s="3" t="s">
        <v>488</v>
      </c>
      <c r="F153" s="4" t="s">
        <v>38</v>
      </c>
      <c r="G153" s="4" t="s">
        <v>81</v>
      </c>
      <c r="H153" s="21" t="s">
        <v>489</v>
      </c>
      <c r="I153" s="4" t="s">
        <v>41</v>
      </c>
      <c r="J153" s="6"/>
      <c r="K153" s="7"/>
      <c r="L153" s="8" t="str">
        <f t="shared" si="20"/>
        <v>FLORIDABLANCA</v>
      </c>
      <c r="M153" s="9"/>
      <c r="N153" s="9" t="s">
        <v>59</v>
      </c>
      <c r="O153" s="10" t="s">
        <v>490</v>
      </c>
      <c r="P153" s="10"/>
      <c r="Q153" s="10"/>
      <c r="R153" s="10"/>
      <c r="S153" s="10"/>
      <c r="T153" s="10"/>
      <c r="U153" s="10"/>
      <c r="V153" s="10"/>
      <c r="W153" s="10"/>
      <c r="X153" s="10"/>
      <c r="Y153" s="10"/>
      <c r="Z153" s="10"/>
    </row>
    <row r="154" ht="14.25" customHeight="1">
      <c r="A154" s="1">
        <v>9.1464445E7</v>
      </c>
      <c r="B154" s="2" t="s">
        <v>27</v>
      </c>
      <c r="C154" s="2" t="s">
        <v>28</v>
      </c>
      <c r="D154" s="2" t="s">
        <v>491</v>
      </c>
      <c r="E154" s="3" t="s">
        <v>492</v>
      </c>
      <c r="F154" s="4" t="s">
        <v>38</v>
      </c>
      <c r="G154" s="4" t="s">
        <v>39</v>
      </c>
      <c r="H154" s="17" t="s">
        <v>493</v>
      </c>
      <c r="I154" s="4" t="s">
        <v>41</v>
      </c>
      <c r="J154" s="6" t="s">
        <v>494</v>
      </c>
      <c r="K154" s="7">
        <v>18.0</v>
      </c>
      <c r="L154" s="8" t="str">
        <f t="shared" si="20"/>
        <v>BUCARAMANGA</v>
      </c>
      <c r="M154" s="9">
        <v>4.0</v>
      </c>
      <c r="N154" s="9" t="s">
        <v>59</v>
      </c>
      <c r="O154" s="10"/>
      <c r="P154" s="10"/>
      <c r="Q154" s="10"/>
      <c r="R154" s="10"/>
      <c r="S154" s="10"/>
      <c r="T154" s="10"/>
      <c r="U154" s="10"/>
      <c r="V154" s="10"/>
      <c r="W154" s="10"/>
      <c r="X154" s="10"/>
      <c r="Y154" s="10"/>
      <c r="Z154" s="10"/>
    </row>
    <row r="155" ht="14.25" customHeight="1">
      <c r="A155" s="1">
        <v>9.1492858E7</v>
      </c>
      <c r="B155" s="2" t="s">
        <v>27</v>
      </c>
      <c r="C155" s="2" t="s">
        <v>28</v>
      </c>
      <c r="D155" s="2" t="s">
        <v>495</v>
      </c>
      <c r="E155" s="3" t="s">
        <v>496</v>
      </c>
      <c r="F155" s="4" t="s">
        <v>38</v>
      </c>
      <c r="G155" s="4" t="s">
        <v>39</v>
      </c>
      <c r="H155" s="19" t="s">
        <v>497</v>
      </c>
      <c r="I155" s="4" t="s">
        <v>76</v>
      </c>
      <c r="J155" s="6" t="s">
        <v>498</v>
      </c>
      <c r="K155" s="7">
        <v>4.0</v>
      </c>
      <c r="L155" s="8" t="str">
        <f t="shared" si="20"/>
        <v>BUCARAMANGA</v>
      </c>
      <c r="M155" s="9">
        <v>7.0</v>
      </c>
      <c r="N155" s="9" t="s">
        <v>44</v>
      </c>
      <c r="O155" s="10"/>
      <c r="P155" s="10"/>
      <c r="Q155" s="10"/>
      <c r="R155" s="10"/>
      <c r="S155" s="10"/>
      <c r="T155" s="10"/>
      <c r="U155" s="10"/>
      <c r="V155" s="10"/>
      <c r="W155" s="10"/>
      <c r="X155" s="10"/>
      <c r="Y155" s="10"/>
      <c r="Z155" s="10"/>
    </row>
    <row r="156" ht="14.25" hidden="1" customHeight="1">
      <c r="A156" s="13" t="s">
        <v>499</v>
      </c>
      <c r="B156" s="4" t="s">
        <v>27</v>
      </c>
      <c r="C156" s="4" t="s">
        <v>28</v>
      </c>
      <c r="D156" s="4" t="s">
        <v>500</v>
      </c>
      <c r="E156" s="4">
        <v>3.22731914E9</v>
      </c>
      <c r="F156" s="4" t="s">
        <v>30</v>
      </c>
      <c r="G156" s="4" t="s">
        <v>35</v>
      </c>
      <c r="H156" s="14"/>
      <c r="I156" s="4" t="s">
        <v>32</v>
      </c>
      <c r="J156" s="14"/>
      <c r="K156" s="14"/>
      <c r="L156" s="14"/>
    </row>
    <row r="157" ht="14.25" hidden="1" customHeight="1">
      <c r="A157" s="13" t="s">
        <v>501</v>
      </c>
      <c r="B157" s="4" t="s">
        <v>27</v>
      </c>
      <c r="C157" s="4" t="s">
        <v>28</v>
      </c>
      <c r="D157" s="4" t="s">
        <v>502</v>
      </c>
      <c r="E157" s="4">
        <v>3.22292338E9</v>
      </c>
      <c r="F157" s="4" t="s">
        <v>30</v>
      </c>
      <c r="G157" s="4" t="s">
        <v>31</v>
      </c>
      <c r="H157" s="14"/>
      <c r="I157" s="4" t="s">
        <v>32</v>
      </c>
      <c r="J157" s="14"/>
      <c r="K157" s="14"/>
      <c r="L157" s="14"/>
    </row>
    <row r="158" ht="14.25" hidden="1" customHeight="1">
      <c r="A158" s="13" t="s">
        <v>503</v>
      </c>
      <c r="B158" s="4" t="s">
        <v>27</v>
      </c>
      <c r="C158" s="4" t="s">
        <v>28</v>
      </c>
      <c r="D158" s="4" t="s">
        <v>504</v>
      </c>
      <c r="E158" s="4">
        <v>3.112686296E9</v>
      </c>
      <c r="F158" s="4" t="s">
        <v>30</v>
      </c>
      <c r="G158" s="4" t="s">
        <v>35</v>
      </c>
      <c r="H158" s="14"/>
      <c r="I158" s="4" t="s">
        <v>32</v>
      </c>
      <c r="J158" s="14"/>
      <c r="K158" s="14"/>
      <c r="L158" s="14"/>
    </row>
    <row r="159" ht="14.25" hidden="1" customHeight="1">
      <c r="A159" s="13" t="s">
        <v>505</v>
      </c>
      <c r="B159" s="4" t="s">
        <v>27</v>
      </c>
      <c r="C159" s="4" t="s">
        <v>28</v>
      </c>
      <c r="D159" s="4" t="s">
        <v>506</v>
      </c>
      <c r="E159" s="4">
        <v>3.22292338E9</v>
      </c>
      <c r="F159" s="4" t="s">
        <v>30</v>
      </c>
      <c r="G159" s="4" t="s">
        <v>31</v>
      </c>
      <c r="H159" s="14"/>
      <c r="I159" s="4" t="s">
        <v>32</v>
      </c>
      <c r="J159" s="14"/>
      <c r="K159" s="14"/>
      <c r="L159" s="14"/>
    </row>
    <row r="160" ht="14.25" customHeight="1">
      <c r="A160" s="1">
        <v>6.3395423E7</v>
      </c>
      <c r="B160" s="2" t="s">
        <v>27</v>
      </c>
      <c r="C160" s="2" t="s">
        <v>28</v>
      </c>
      <c r="D160" s="2" t="s">
        <v>507</v>
      </c>
      <c r="E160" s="3" t="s">
        <v>508</v>
      </c>
      <c r="F160" s="4" t="s">
        <v>38</v>
      </c>
      <c r="G160" s="4" t="s">
        <v>81</v>
      </c>
      <c r="H160" s="2" t="s">
        <v>509</v>
      </c>
      <c r="I160" s="4" t="s">
        <v>141</v>
      </c>
      <c r="J160" s="6" t="s">
        <v>510</v>
      </c>
      <c r="K160" s="7">
        <v>10.0</v>
      </c>
      <c r="L160" s="8" t="str">
        <f>UPPER(G160)</f>
        <v>FLORIDABLANCA</v>
      </c>
      <c r="M160" s="9">
        <v>3.0</v>
      </c>
      <c r="N160" s="9" t="s">
        <v>44</v>
      </c>
      <c r="O160" s="10"/>
      <c r="P160" s="10"/>
      <c r="Q160" s="10"/>
      <c r="R160" s="10"/>
      <c r="S160" s="10"/>
      <c r="T160" s="10"/>
      <c r="U160" s="10"/>
      <c r="V160" s="10"/>
      <c r="W160" s="10"/>
      <c r="X160" s="10"/>
      <c r="Y160" s="10"/>
      <c r="Z160" s="10"/>
    </row>
    <row r="161" ht="14.25" hidden="1" customHeight="1">
      <c r="A161" s="13" t="s">
        <v>511</v>
      </c>
      <c r="B161" s="4" t="s">
        <v>27</v>
      </c>
      <c r="C161" s="4" t="s">
        <v>28</v>
      </c>
      <c r="D161" s="4" t="s">
        <v>512</v>
      </c>
      <c r="E161" s="4">
        <v>3.22292338E9</v>
      </c>
      <c r="F161" s="4" t="s">
        <v>30</v>
      </c>
      <c r="G161" s="4" t="s">
        <v>31</v>
      </c>
      <c r="H161" s="14"/>
      <c r="I161" s="4" t="s">
        <v>32</v>
      </c>
      <c r="J161" s="14"/>
      <c r="K161" s="14"/>
      <c r="L161" s="14"/>
    </row>
    <row r="162" ht="14.25" hidden="1" customHeight="1">
      <c r="A162" s="13" t="s">
        <v>513</v>
      </c>
      <c r="B162" s="4" t="s">
        <v>27</v>
      </c>
      <c r="C162" s="4" t="s">
        <v>28</v>
      </c>
      <c r="D162" s="4" t="s">
        <v>514</v>
      </c>
      <c r="E162" s="4">
        <v>3.22292338E9</v>
      </c>
      <c r="F162" s="4" t="s">
        <v>30</v>
      </c>
      <c r="G162" s="4" t="s">
        <v>31</v>
      </c>
      <c r="H162" s="14"/>
      <c r="I162" s="4" t="s">
        <v>32</v>
      </c>
      <c r="J162" s="14"/>
      <c r="K162" s="14"/>
      <c r="L162" s="14"/>
    </row>
    <row r="163" ht="14.25" hidden="1" customHeight="1">
      <c r="A163" s="13" t="s">
        <v>515</v>
      </c>
      <c r="B163" s="4" t="s">
        <v>27</v>
      </c>
      <c r="C163" s="4" t="s">
        <v>28</v>
      </c>
      <c r="D163" s="4" t="s">
        <v>516</v>
      </c>
      <c r="E163" s="4">
        <v>3.212860114E9</v>
      </c>
      <c r="F163" s="4" t="s">
        <v>30</v>
      </c>
      <c r="G163" s="4" t="s">
        <v>35</v>
      </c>
      <c r="H163" s="14"/>
      <c r="I163" s="4" t="s">
        <v>32</v>
      </c>
      <c r="J163" s="14"/>
      <c r="K163" s="14"/>
      <c r="L163" s="14"/>
    </row>
    <row r="164" ht="14.25" hidden="1" customHeight="1">
      <c r="A164" s="13" t="s">
        <v>517</v>
      </c>
      <c r="B164" s="4" t="s">
        <v>27</v>
      </c>
      <c r="C164" s="4" t="s">
        <v>28</v>
      </c>
      <c r="D164" s="4" t="s">
        <v>518</v>
      </c>
      <c r="E164" s="4">
        <v>3.22731914E9</v>
      </c>
      <c r="F164" s="4" t="s">
        <v>30</v>
      </c>
      <c r="G164" s="4" t="s">
        <v>35</v>
      </c>
      <c r="H164" s="14"/>
      <c r="I164" s="4" t="s">
        <v>32</v>
      </c>
      <c r="J164" s="14"/>
      <c r="K164" s="14"/>
      <c r="L164" s="14"/>
    </row>
    <row r="165" ht="14.25" hidden="1" customHeight="1">
      <c r="A165" s="13" t="s">
        <v>519</v>
      </c>
      <c r="B165" s="4" t="s">
        <v>27</v>
      </c>
      <c r="C165" s="4" t="s">
        <v>28</v>
      </c>
      <c r="D165" s="4" t="s">
        <v>520</v>
      </c>
      <c r="E165" s="4">
        <v>3.126545437E9</v>
      </c>
      <c r="F165" s="4" t="s">
        <v>30</v>
      </c>
      <c r="G165" s="4" t="s">
        <v>35</v>
      </c>
      <c r="H165" s="14"/>
      <c r="I165" s="4" t="s">
        <v>32</v>
      </c>
      <c r="J165" s="14"/>
      <c r="K165" s="14"/>
      <c r="L165" s="14"/>
    </row>
    <row r="166" ht="14.25" hidden="1" customHeight="1">
      <c r="A166" s="13" t="s">
        <v>521</v>
      </c>
      <c r="B166" s="4" t="s">
        <v>27</v>
      </c>
      <c r="C166" s="4" t="s">
        <v>28</v>
      </c>
      <c r="D166" s="4" t="s">
        <v>522</v>
      </c>
      <c r="E166" s="4">
        <v>3.229457091E9</v>
      </c>
      <c r="F166" s="4" t="s">
        <v>30</v>
      </c>
      <c r="G166" s="4" t="s">
        <v>31</v>
      </c>
      <c r="H166" s="14"/>
      <c r="I166" s="4" t="s">
        <v>32</v>
      </c>
      <c r="J166" s="14"/>
      <c r="K166" s="14"/>
      <c r="L166" s="14"/>
    </row>
    <row r="167" ht="14.25" hidden="1" customHeight="1">
      <c r="A167" s="13" t="s">
        <v>523</v>
      </c>
      <c r="B167" s="4" t="s">
        <v>27</v>
      </c>
      <c r="C167" s="4" t="s">
        <v>28</v>
      </c>
      <c r="D167" s="4" t="s">
        <v>524</v>
      </c>
      <c r="E167" s="4">
        <v>3.213289711E9</v>
      </c>
      <c r="F167" s="4" t="s">
        <v>30</v>
      </c>
      <c r="G167" s="4" t="s">
        <v>35</v>
      </c>
      <c r="H167" s="14"/>
      <c r="I167" s="4" t="s">
        <v>32</v>
      </c>
      <c r="J167" s="14"/>
      <c r="K167" s="14"/>
      <c r="L167" s="14"/>
    </row>
    <row r="168" ht="14.25" customHeight="1">
      <c r="A168" s="1">
        <v>3.7931429E7</v>
      </c>
      <c r="B168" s="2" t="s">
        <v>27</v>
      </c>
      <c r="C168" s="2" t="s">
        <v>28</v>
      </c>
      <c r="D168" s="2" t="s">
        <v>525</v>
      </c>
      <c r="E168" s="3" t="s">
        <v>526</v>
      </c>
      <c r="F168" s="4" t="s">
        <v>38</v>
      </c>
      <c r="G168" s="4" t="s">
        <v>113</v>
      </c>
      <c r="H168" s="27" t="s">
        <v>527</v>
      </c>
      <c r="I168" s="4" t="s">
        <v>70</v>
      </c>
      <c r="J168" s="6" t="s">
        <v>528</v>
      </c>
      <c r="K168" s="7">
        <v>2.0</v>
      </c>
      <c r="L168" s="8" t="str">
        <f>UPPER(G168)</f>
        <v>BARRANCABERMEJA</v>
      </c>
      <c r="M168" s="9">
        <v>4.0</v>
      </c>
      <c r="N168" s="9" t="s">
        <v>44</v>
      </c>
      <c r="O168" s="10"/>
      <c r="P168" s="23" t="s">
        <v>529</v>
      </c>
      <c r="Q168" s="10"/>
      <c r="R168" s="10"/>
      <c r="S168" s="10"/>
      <c r="T168" s="10"/>
      <c r="U168" s="10"/>
      <c r="V168" s="10"/>
      <c r="W168" s="10"/>
      <c r="X168" s="10"/>
      <c r="Y168" s="10"/>
      <c r="Z168" s="10"/>
    </row>
    <row r="169" ht="14.25" hidden="1" customHeight="1">
      <c r="A169" s="13" t="s">
        <v>530</v>
      </c>
      <c r="B169" s="4" t="s">
        <v>27</v>
      </c>
      <c r="C169" s="4" t="s">
        <v>28</v>
      </c>
      <c r="D169" s="4" t="s">
        <v>531</v>
      </c>
      <c r="E169" s="4">
        <v>3.112886292E9</v>
      </c>
      <c r="F169" s="4" t="s">
        <v>30</v>
      </c>
      <c r="G169" s="4" t="s">
        <v>35</v>
      </c>
      <c r="H169" s="14"/>
      <c r="I169" s="4" t="s">
        <v>32</v>
      </c>
      <c r="J169" s="14"/>
      <c r="K169" s="14"/>
      <c r="L169" s="14"/>
    </row>
    <row r="170" ht="14.25" hidden="1" customHeight="1">
      <c r="A170" s="13" t="s">
        <v>532</v>
      </c>
      <c r="B170" s="4" t="s">
        <v>27</v>
      </c>
      <c r="C170" s="4" t="s">
        <v>28</v>
      </c>
      <c r="D170" s="4" t="s">
        <v>533</v>
      </c>
      <c r="E170" s="4">
        <v>3.102211527E9</v>
      </c>
      <c r="F170" s="4" t="s">
        <v>30</v>
      </c>
      <c r="G170" s="4" t="s">
        <v>35</v>
      </c>
      <c r="H170" s="14"/>
      <c r="I170" s="4" t="s">
        <v>32</v>
      </c>
      <c r="J170" s="14"/>
      <c r="K170" s="14"/>
      <c r="L170" s="14"/>
    </row>
    <row r="171" ht="14.25" customHeight="1">
      <c r="A171" s="1">
        <v>1.095837147E9</v>
      </c>
      <c r="B171" s="2" t="s">
        <v>27</v>
      </c>
      <c r="C171" s="2" t="s">
        <v>28</v>
      </c>
      <c r="D171" s="2" t="s">
        <v>534</v>
      </c>
      <c r="E171" s="3" t="s">
        <v>535</v>
      </c>
      <c r="F171" s="4" t="s">
        <v>38</v>
      </c>
      <c r="G171" s="4" t="s">
        <v>81</v>
      </c>
      <c r="H171" s="2" t="s">
        <v>536</v>
      </c>
      <c r="I171" s="4" t="s">
        <v>41</v>
      </c>
      <c r="J171" s="6" t="s">
        <v>415</v>
      </c>
      <c r="K171" s="7">
        <v>18.0</v>
      </c>
      <c r="L171" s="8" t="str">
        <f>UPPER(G171)</f>
        <v>FLORIDABLANCA</v>
      </c>
      <c r="M171" s="9">
        <v>1.0</v>
      </c>
      <c r="N171" s="9" t="s">
        <v>44</v>
      </c>
      <c r="O171" s="10" t="s">
        <v>44</v>
      </c>
      <c r="P171" s="10"/>
      <c r="Q171" s="10"/>
      <c r="R171" s="10"/>
      <c r="S171" s="10"/>
      <c r="T171" s="10"/>
      <c r="U171" s="10"/>
      <c r="V171" s="10"/>
      <c r="W171" s="10"/>
      <c r="X171" s="10"/>
      <c r="Y171" s="10"/>
      <c r="Z171" s="10"/>
    </row>
    <row r="172" ht="14.25" hidden="1" customHeight="1">
      <c r="A172" s="13" t="s">
        <v>537</v>
      </c>
      <c r="B172" s="4" t="s">
        <v>538</v>
      </c>
      <c r="C172" s="4" t="s">
        <v>28</v>
      </c>
      <c r="D172" s="4" t="s">
        <v>539</v>
      </c>
      <c r="E172" s="4">
        <v>3.118712141E9</v>
      </c>
      <c r="F172" s="4" t="s">
        <v>30</v>
      </c>
      <c r="G172" s="4" t="s">
        <v>35</v>
      </c>
      <c r="H172" s="14"/>
      <c r="I172" s="4" t="s">
        <v>540</v>
      </c>
      <c r="J172" s="14"/>
      <c r="K172" s="14"/>
      <c r="L172" s="14"/>
    </row>
    <row r="173" ht="14.25" hidden="1" customHeight="1">
      <c r="A173" s="13" t="s">
        <v>541</v>
      </c>
      <c r="B173" s="4" t="s">
        <v>27</v>
      </c>
      <c r="C173" s="4" t="s">
        <v>28</v>
      </c>
      <c r="D173" s="4" t="s">
        <v>542</v>
      </c>
      <c r="E173" s="4">
        <v>3.22731914E9</v>
      </c>
      <c r="F173" s="4" t="s">
        <v>30</v>
      </c>
      <c r="G173" s="4" t="s">
        <v>35</v>
      </c>
      <c r="H173" s="14"/>
      <c r="I173" s="4" t="s">
        <v>32</v>
      </c>
      <c r="J173" s="14"/>
      <c r="K173" s="14"/>
      <c r="L173" s="14"/>
    </row>
    <row r="174" ht="14.25" hidden="1" customHeight="1">
      <c r="A174" s="13" t="s">
        <v>543</v>
      </c>
      <c r="B174" s="4" t="s">
        <v>27</v>
      </c>
      <c r="C174" s="4" t="s">
        <v>28</v>
      </c>
      <c r="D174" s="4" t="s">
        <v>544</v>
      </c>
      <c r="E174" s="4">
        <v>3.22292338E9</v>
      </c>
      <c r="F174" s="4" t="s">
        <v>30</v>
      </c>
      <c r="G174" s="4" t="s">
        <v>31</v>
      </c>
      <c r="H174" s="14"/>
      <c r="I174" s="4" t="s">
        <v>32</v>
      </c>
      <c r="J174" s="14"/>
      <c r="K174" s="14"/>
      <c r="L174" s="14"/>
    </row>
    <row r="175" ht="14.25" hidden="1" customHeight="1">
      <c r="A175" s="13" t="s">
        <v>545</v>
      </c>
      <c r="B175" s="4" t="s">
        <v>27</v>
      </c>
      <c r="C175" s="4" t="s">
        <v>28</v>
      </c>
      <c r="D175" s="4" t="s">
        <v>546</v>
      </c>
      <c r="E175" s="4">
        <v>3.104858589E9</v>
      </c>
      <c r="F175" s="4" t="s">
        <v>30</v>
      </c>
      <c r="G175" s="4" t="s">
        <v>31</v>
      </c>
      <c r="H175" s="14"/>
      <c r="I175" s="4" t="s">
        <v>32</v>
      </c>
      <c r="J175" s="14"/>
      <c r="K175" s="14"/>
      <c r="L175" s="14"/>
    </row>
    <row r="176" ht="14.25" hidden="1" customHeight="1">
      <c r="A176" s="13" t="s">
        <v>547</v>
      </c>
      <c r="B176" s="4" t="s">
        <v>27</v>
      </c>
      <c r="C176" s="4" t="s">
        <v>28</v>
      </c>
      <c r="D176" s="4" t="s">
        <v>548</v>
      </c>
      <c r="E176" s="4">
        <v>3.229457091E9</v>
      </c>
      <c r="F176" s="4" t="s">
        <v>30</v>
      </c>
      <c r="G176" s="4" t="s">
        <v>31</v>
      </c>
      <c r="H176" s="14"/>
      <c r="I176" s="4" t="s">
        <v>32</v>
      </c>
      <c r="J176" s="14"/>
      <c r="K176" s="14"/>
      <c r="L176" s="14"/>
    </row>
    <row r="177" ht="14.25" hidden="1" customHeight="1">
      <c r="A177" s="13" t="s">
        <v>549</v>
      </c>
      <c r="B177" s="4" t="s">
        <v>27</v>
      </c>
      <c r="C177" s="4" t="s">
        <v>28</v>
      </c>
      <c r="D177" s="4" t="s">
        <v>550</v>
      </c>
      <c r="E177" s="4">
        <v>3.118713141E9</v>
      </c>
      <c r="F177" s="4" t="s">
        <v>30</v>
      </c>
      <c r="G177" s="4" t="s">
        <v>35</v>
      </c>
      <c r="H177" s="14"/>
      <c r="I177" s="4" t="s">
        <v>32</v>
      </c>
      <c r="J177" s="14"/>
      <c r="K177" s="14"/>
      <c r="L177" s="14"/>
    </row>
    <row r="178" ht="14.25" customHeight="1">
      <c r="A178" s="1">
        <v>1.095928887E9</v>
      </c>
      <c r="B178" s="2" t="s">
        <v>27</v>
      </c>
      <c r="C178" s="2" t="s">
        <v>551</v>
      </c>
      <c r="D178" s="2" t="s">
        <v>552</v>
      </c>
      <c r="E178" s="3" t="s">
        <v>553</v>
      </c>
      <c r="F178" s="4" t="s">
        <v>38</v>
      </c>
      <c r="G178" s="4" t="s">
        <v>75</v>
      </c>
      <c r="H178" s="10"/>
      <c r="I178" s="4" t="s">
        <v>164</v>
      </c>
      <c r="J178" s="6" t="s">
        <v>554</v>
      </c>
      <c r="K178" s="7">
        <v>12.0</v>
      </c>
      <c r="L178" s="8" t="str">
        <f t="shared" ref="L178:L179" si="21">UPPER(G178)</f>
        <v>GIRON</v>
      </c>
      <c r="M178" s="9">
        <v>1.0</v>
      </c>
      <c r="N178" s="9" t="s">
        <v>44</v>
      </c>
      <c r="O178" s="10"/>
      <c r="P178" s="10"/>
      <c r="Q178" s="10"/>
      <c r="R178" s="10"/>
      <c r="S178" s="10"/>
      <c r="T178" s="10"/>
      <c r="U178" s="10"/>
      <c r="V178" s="10"/>
      <c r="W178" s="10"/>
      <c r="X178" s="10"/>
      <c r="Y178" s="10"/>
      <c r="Z178" s="10"/>
    </row>
    <row r="179" ht="14.25" customHeight="1">
      <c r="A179" s="1" t="s">
        <v>555</v>
      </c>
      <c r="B179" s="2" t="s">
        <v>27</v>
      </c>
      <c r="C179" s="2" t="s">
        <v>28</v>
      </c>
      <c r="D179" s="2" t="s">
        <v>556</v>
      </c>
      <c r="E179" s="3" t="s">
        <v>557</v>
      </c>
      <c r="F179" s="4" t="s">
        <v>38</v>
      </c>
      <c r="G179" s="4" t="s">
        <v>39</v>
      </c>
      <c r="H179" s="14"/>
      <c r="I179" s="4" t="s">
        <v>164</v>
      </c>
      <c r="J179" s="6" t="s">
        <v>128</v>
      </c>
      <c r="K179" s="7">
        <v>10.0</v>
      </c>
      <c r="L179" s="8" t="str">
        <f t="shared" si="21"/>
        <v>BUCARAMANGA</v>
      </c>
      <c r="M179" s="9">
        <v>5.0</v>
      </c>
      <c r="N179" s="9" t="s">
        <v>44</v>
      </c>
      <c r="O179" s="10"/>
    </row>
    <row r="180" ht="14.25" customHeight="1">
      <c r="A180" s="1" t="s">
        <v>558</v>
      </c>
      <c r="B180" s="2" t="s">
        <v>27</v>
      </c>
      <c r="C180" s="2" t="s">
        <v>28</v>
      </c>
      <c r="D180" s="2" t="s">
        <v>559</v>
      </c>
      <c r="E180" s="3" t="s">
        <v>560</v>
      </c>
      <c r="F180" s="4" t="s">
        <v>38</v>
      </c>
      <c r="G180" s="4" t="s">
        <v>39</v>
      </c>
      <c r="H180" s="4" t="s">
        <v>40</v>
      </c>
      <c r="I180" s="4" t="s">
        <v>561</v>
      </c>
      <c r="J180" s="6" t="s">
        <v>388</v>
      </c>
      <c r="K180" s="7">
        <v>9.0</v>
      </c>
      <c r="L180" s="8" t="s">
        <v>53</v>
      </c>
      <c r="M180" s="9">
        <v>6.0</v>
      </c>
      <c r="N180" s="11" t="s">
        <v>44</v>
      </c>
      <c r="O180" s="10" t="s">
        <v>44</v>
      </c>
    </row>
    <row r="181" ht="14.25" customHeight="1">
      <c r="A181" s="1" t="s">
        <v>562</v>
      </c>
      <c r="B181" s="2" t="s">
        <v>27</v>
      </c>
      <c r="C181" s="2" t="s">
        <v>28</v>
      </c>
      <c r="D181" s="2" t="s">
        <v>563</v>
      </c>
      <c r="E181" s="3" t="s">
        <v>564</v>
      </c>
      <c r="F181" s="4" t="s">
        <v>69</v>
      </c>
      <c r="G181" s="4" t="s">
        <v>69</v>
      </c>
      <c r="H181" s="4" t="s">
        <v>133</v>
      </c>
      <c r="I181" s="4" t="s">
        <v>51</v>
      </c>
      <c r="J181" s="6" t="s">
        <v>565</v>
      </c>
      <c r="K181" s="7">
        <v>19.0</v>
      </c>
      <c r="L181" s="8" t="str">
        <f>UPPER(G181)</f>
        <v>BOGOTA</v>
      </c>
      <c r="M181" s="9"/>
      <c r="N181" s="11" t="s">
        <v>59</v>
      </c>
      <c r="O181" s="10"/>
    </row>
    <row r="182" ht="14.25" hidden="1" customHeight="1">
      <c r="A182" s="13" t="s">
        <v>566</v>
      </c>
      <c r="B182" s="4" t="s">
        <v>27</v>
      </c>
      <c r="C182" s="4" t="s">
        <v>28</v>
      </c>
      <c r="D182" s="4" t="s">
        <v>567</v>
      </c>
      <c r="E182" s="4">
        <v>3.118713141E9</v>
      </c>
      <c r="F182" s="4" t="s">
        <v>30</v>
      </c>
      <c r="G182" s="4" t="s">
        <v>35</v>
      </c>
      <c r="H182" s="14"/>
      <c r="I182" s="4" t="s">
        <v>32</v>
      </c>
      <c r="J182" s="14"/>
      <c r="K182" s="14"/>
      <c r="L182" s="14"/>
    </row>
    <row r="183" ht="14.25" customHeight="1">
      <c r="A183" s="1" t="s">
        <v>568</v>
      </c>
      <c r="B183" s="2" t="s">
        <v>27</v>
      </c>
      <c r="C183" s="2" t="s">
        <v>28</v>
      </c>
      <c r="D183" s="2" t="s">
        <v>569</v>
      </c>
      <c r="E183" s="3" t="s">
        <v>570</v>
      </c>
      <c r="F183" s="4" t="s">
        <v>38</v>
      </c>
      <c r="G183" s="4" t="s">
        <v>39</v>
      </c>
      <c r="H183" s="14"/>
      <c r="I183" s="4" t="s">
        <v>76</v>
      </c>
      <c r="J183" s="6" t="s">
        <v>486</v>
      </c>
      <c r="K183" s="7">
        <v>6.0</v>
      </c>
      <c r="L183" s="8" t="str">
        <f t="shared" ref="L183:L189" si="22">UPPER(G183)</f>
        <v>BUCARAMANGA</v>
      </c>
      <c r="M183" s="9">
        <v>10.0</v>
      </c>
      <c r="N183" s="11" t="s">
        <v>44</v>
      </c>
      <c r="O183" s="10"/>
    </row>
    <row r="184" ht="14.25" customHeight="1">
      <c r="A184" s="1" t="s">
        <v>571</v>
      </c>
      <c r="B184" s="2" t="s">
        <v>27</v>
      </c>
      <c r="C184" s="2" t="s">
        <v>28</v>
      </c>
      <c r="D184" s="2" t="s">
        <v>572</v>
      </c>
      <c r="E184" s="3" t="s">
        <v>573</v>
      </c>
      <c r="F184" s="4" t="s">
        <v>38</v>
      </c>
      <c r="G184" s="4" t="s">
        <v>39</v>
      </c>
      <c r="H184" s="14"/>
      <c r="I184" s="4" t="s">
        <v>76</v>
      </c>
      <c r="J184" s="6" t="s">
        <v>574</v>
      </c>
      <c r="K184" s="7">
        <v>16.0</v>
      </c>
      <c r="L184" s="8" t="str">
        <f t="shared" si="22"/>
        <v>BUCARAMANGA</v>
      </c>
      <c r="M184" s="9">
        <v>8.0</v>
      </c>
      <c r="N184" s="11" t="s">
        <v>44</v>
      </c>
      <c r="O184" s="10"/>
    </row>
    <row r="185" ht="14.25" customHeight="1">
      <c r="A185" s="1" t="s">
        <v>575</v>
      </c>
      <c r="B185" s="2" t="s">
        <v>27</v>
      </c>
      <c r="C185" s="2" t="s">
        <v>28</v>
      </c>
      <c r="D185" s="2" t="s">
        <v>576</v>
      </c>
      <c r="E185" s="3" t="s">
        <v>577</v>
      </c>
      <c r="F185" s="4" t="s">
        <v>105</v>
      </c>
      <c r="G185" s="4" t="s">
        <v>578</v>
      </c>
      <c r="H185" s="4" t="s">
        <v>579</v>
      </c>
      <c r="I185" s="4" t="s">
        <v>561</v>
      </c>
      <c r="J185" s="6" t="s">
        <v>580</v>
      </c>
      <c r="K185" s="7">
        <v>2.0</v>
      </c>
      <c r="L185" s="8" t="str">
        <f t="shared" si="22"/>
        <v>GUARNE</v>
      </c>
      <c r="M185" s="9"/>
      <c r="N185" s="11" t="s">
        <v>59</v>
      </c>
      <c r="O185" s="10"/>
    </row>
    <row r="186" ht="14.25" customHeight="1">
      <c r="A186" s="1" t="s">
        <v>581</v>
      </c>
      <c r="B186" s="2" t="s">
        <v>27</v>
      </c>
      <c r="C186" s="2" t="s">
        <v>66</v>
      </c>
      <c r="D186" s="2" t="s">
        <v>582</v>
      </c>
      <c r="E186" s="3" t="s">
        <v>583</v>
      </c>
      <c r="F186" s="4" t="s">
        <v>38</v>
      </c>
      <c r="G186" s="4" t="s">
        <v>39</v>
      </c>
      <c r="H186" s="4" t="s">
        <v>584</v>
      </c>
      <c r="I186" s="4" t="s">
        <v>540</v>
      </c>
      <c r="J186" s="6" t="s">
        <v>585</v>
      </c>
      <c r="K186" s="7">
        <v>19.0</v>
      </c>
      <c r="L186" s="8" t="str">
        <f t="shared" si="22"/>
        <v>BUCARAMANGA</v>
      </c>
      <c r="M186" s="9"/>
      <c r="N186" s="9" t="s">
        <v>59</v>
      </c>
      <c r="O186" s="10"/>
    </row>
    <row r="187" ht="14.25" customHeight="1">
      <c r="A187" s="1" t="s">
        <v>586</v>
      </c>
      <c r="B187" s="2" t="s">
        <v>27</v>
      </c>
      <c r="C187" s="2" t="s">
        <v>28</v>
      </c>
      <c r="D187" s="2" t="s">
        <v>587</v>
      </c>
      <c r="E187" s="3" t="s">
        <v>588</v>
      </c>
      <c r="F187" s="4" t="s">
        <v>38</v>
      </c>
      <c r="G187" s="4" t="s">
        <v>39</v>
      </c>
      <c r="H187" s="4" t="s">
        <v>118</v>
      </c>
      <c r="I187" s="4" t="s">
        <v>561</v>
      </c>
      <c r="J187" s="6"/>
      <c r="K187" s="7"/>
      <c r="L187" s="8" t="str">
        <f t="shared" si="22"/>
        <v>BUCARAMANGA</v>
      </c>
      <c r="M187" s="9"/>
      <c r="N187" s="9" t="s">
        <v>59</v>
      </c>
      <c r="O187" s="10"/>
      <c r="P187" s="11" t="s">
        <v>589</v>
      </c>
    </row>
    <row r="188" ht="14.25" customHeight="1">
      <c r="A188" s="1" t="s">
        <v>590</v>
      </c>
      <c r="B188" s="2" t="s">
        <v>27</v>
      </c>
      <c r="C188" s="2" t="s">
        <v>28</v>
      </c>
      <c r="D188" s="2" t="s">
        <v>591</v>
      </c>
      <c r="E188" s="3" t="s">
        <v>592</v>
      </c>
      <c r="F188" s="4" t="s">
        <v>38</v>
      </c>
      <c r="G188" s="4" t="s">
        <v>39</v>
      </c>
      <c r="H188" s="14"/>
      <c r="I188" s="4" t="s">
        <v>76</v>
      </c>
      <c r="J188" s="6" t="s">
        <v>99</v>
      </c>
      <c r="K188" s="7">
        <v>22.0</v>
      </c>
      <c r="L188" s="8" t="str">
        <f t="shared" si="22"/>
        <v>BUCARAMANGA</v>
      </c>
      <c r="M188" s="11">
        <v>1.0</v>
      </c>
      <c r="N188" s="11" t="s">
        <v>59</v>
      </c>
      <c r="O188" s="10"/>
    </row>
    <row r="189" ht="14.25" customHeight="1">
      <c r="A189" s="1" t="s">
        <v>593</v>
      </c>
      <c r="B189" s="2" t="s">
        <v>27</v>
      </c>
      <c r="C189" s="2" t="s">
        <v>28</v>
      </c>
      <c r="D189" s="2" t="s">
        <v>594</v>
      </c>
      <c r="E189" s="3" t="s">
        <v>595</v>
      </c>
      <c r="F189" s="4" t="s">
        <v>38</v>
      </c>
      <c r="G189" s="4" t="s">
        <v>39</v>
      </c>
      <c r="H189" s="14"/>
      <c r="I189" s="4" t="s">
        <v>51</v>
      </c>
      <c r="J189" s="6" t="s">
        <v>596</v>
      </c>
      <c r="K189" s="7">
        <v>39.0</v>
      </c>
      <c r="L189" s="8" t="str">
        <f t="shared" si="22"/>
        <v>BUCARAMANGA</v>
      </c>
      <c r="M189" s="11">
        <v>12.0</v>
      </c>
      <c r="N189" s="11" t="s">
        <v>44</v>
      </c>
      <c r="O189" s="10"/>
    </row>
    <row r="190" ht="14.25" hidden="1" customHeight="1">
      <c r="A190" s="13" t="s">
        <v>597</v>
      </c>
      <c r="B190" s="4" t="s">
        <v>27</v>
      </c>
      <c r="C190" s="4" t="s">
        <v>28</v>
      </c>
      <c r="D190" s="4" t="s">
        <v>594</v>
      </c>
      <c r="E190" s="4">
        <v>3.124295466E9</v>
      </c>
      <c r="F190" s="4" t="s">
        <v>30</v>
      </c>
      <c r="G190" s="4" t="s">
        <v>35</v>
      </c>
      <c r="H190" s="14"/>
      <c r="I190" s="4" t="s">
        <v>32</v>
      </c>
      <c r="J190" s="14"/>
      <c r="K190" s="14"/>
      <c r="L190" s="14"/>
    </row>
    <row r="191" ht="14.25" customHeight="1">
      <c r="A191" s="1" t="s">
        <v>598</v>
      </c>
      <c r="B191" s="2" t="s">
        <v>27</v>
      </c>
      <c r="C191" s="2" t="s">
        <v>28</v>
      </c>
      <c r="D191" s="2" t="s">
        <v>599</v>
      </c>
      <c r="E191" s="3" t="s">
        <v>600</v>
      </c>
      <c r="F191" s="4" t="s">
        <v>38</v>
      </c>
      <c r="G191" s="4" t="s">
        <v>39</v>
      </c>
      <c r="H191" s="14"/>
      <c r="I191" s="4" t="s">
        <v>76</v>
      </c>
      <c r="J191" s="6" t="s">
        <v>165</v>
      </c>
      <c r="K191" s="7">
        <v>9.0</v>
      </c>
      <c r="L191" s="8" t="str">
        <f t="shared" ref="L191:L196" si="23">UPPER(G191)</f>
        <v>BUCARAMANGA</v>
      </c>
      <c r="M191" s="11">
        <v>5.0</v>
      </c>
      <c r="N191" s="11" t="s">
        <v>44</v>
      </c>
      <c r="O191" s="10"/>
    </row>
    <row r="192" ht="14.25" customHeight="1">
      <c r="A192" s="1" t="s">
        <v>601</v>
      </c>
      <c r="B192" s="2" t="s">
        <v>27</v>
      </c>
      <c r="C192" s="2" t="s">
        <v>28</v>
      </c>
      <c r="D192" s="2" t="s">
        <v>602</v>
      </c>
      <c r="E192" s="3" t="s">
        <v>603</v>
      </c>
      <c r="F192" s="4" t="s">
        <v>38</v>
      </c>
      <c r="G192" s="4" t="s">
        <v>39</v>
      </c>
      <c r="H192" s="4" t="s">
        <v>40</v>
      </c>
      <c r="I192" s="4" t="s">
        <v>561</v>
      </c>
      <c r="J192" s="6"/>
      <c r="K192" s="7"/>
      <c r="L192" s="8" t="str">
        <f t="shared" si="23"/>
        <v>BUCARAMANGA</v>
      </c>
      <c r="M192" s="9"/>
      <c r="N192" s="9" t="s">
        <v>59</v>
      </c>
      <c r="O192" s="10"/>
      <c r="P192" s="11" t="s">
        <v>589</v>
      </c>
    </row>
    <row r="193" ht="14.25" customHeight="1">
      <c r="A193" s="1" t="s">
        <v>604</v>
      </c>
      <c r="B193" s="2" t="s">
        <v>27</v>
      </c>
      <c r="C193" s="2" t="s">
        <v>28</v>
      </c>
      <c r="D193" s="2" t="s">
        <v>605</v>
      </c>
      <c r="E193" s="3" t="s">
        <v>606</v>
      </c>
      <c r="F193" s="4" t="s">
        <v>38</v>
      </c>
      <c r="G193" s="4" t="s">
        <v>39</v>
      </c>
      <c r="H193" s="14"/>
      <c r="I193" s="4" t="s">
        <v>76</v>
      </c>
      <c r="J193" s="6" t="s">
        <v>607</v>
      </c>
      <c r="K193" s="7">
        <v>31.0</v>
      </c>
      <c r="L193" s="8" t="str">
        <f t="shared" si="23"/>
        <v>BUCARAMANGA</v>
      </c>
      <c r="M193" s="11">
        <v>1.0</v>
      </c>
      <c r="N193" s="11" t="s">
        <v>44</v>
      </c>
      <c r="O193" s="10"/>
    </row>
    <row r="194" ht="14.25" customHeight="1">
      <c r="A194" s="1" t="s">
        <v>608</v>
      </c>
      <c r="B194" s="2" t="s">
        <v>65</v>
      </c>
      <c r="C194" s="2" t="s">
        <v>28</v>
      </c>
      <c r="D194" s="2" t="s">
        <v>609</v>
      </c>
      <c r="E194" s="3" t="s">
        <v>610</v>
      </c>
      <c r="F194" s="4" t="s">
        <v>38</v>
      </c>
      <c r="G194" s="4" t="s">
        <v>113</v>
      </c>
      <c r="H194" s="14"/>
      <c r="I194" s="4" t="s">
        <v>540</v>
      </c>
      <c r="J194" s="6" t="s">
        <v>611</v>
      </c>
      <c r="K194" s="7">
        <v>5.0</v>
      </c>
      <c r="L194" s="8" t="str">
        <f t="shared" si="23"/>
        <v>BARRANCABERMEJA</v>
      </c>
      <c r="M194" s="11">
        <v>4.0</v>
      </c>
      <c r="N194" s="11" t="s">
        <v>44</v>
      </c>
      <c r="O194" s="23" t="s">
        <v>44</v>
      </c>
    </row>
    <row r="195" ht="14.25" customHeight="1">
      <c r="A195" s="1" t="s">
        <v>612</v>
      </c>
      <c r="B195" s="2" t="s">
        <v>27</v>
      </c>
      <c r="C195" s="2" t="s">
        <v>28</v>
      </c>
      <c r="D195" s="2" t="s">
        <v>613</v>
      </c>
      <c r="E195" s="3" t="s">
        <v>614</v>
      </c>
      <c r="F195" s="4" t="s">
        <v>69</v>
      </c>
      <c r="G195" s="4" t="s">
        <v>69</v>
      </c>
      <c r="H195" s="14"/>
      <c r="I195" s="4" t="s">
        <v>561</v>
      </c>
      <c r="J195" s="6" t="s">
        <v>615</v>
      </c>
      <c r="K195" s="7">
        <v>61.0</v>
      </c>
      <c r="L195" s="8" t="str">
        <f t="shared" si="23"/>
        <v>BOGOTA</v>
      </c>
      <c r="M195" s="11">
        <v>9.0</v>
      </c>
      <c r="N195" s="11" t="s">
        <v>59</v>
      </c>
      <c r="O195" s="10"/>
    </row>
    <row r="196" ht="14.25" customHeight="1">
      <c r="A196" s="1" t="s">
        <v>616</v>
      </c>
      <c r="B196" s="2" t="s">
        <v>27</v>
      </c>
      <c r="C196" s="2" t="s">
        <v>28</v>
      </c>
      <c r="D196" s="2" t="s">
        <v>617</v>
      </c>
      <c r="E196" s="3" t="s">
        <v>618</v>
      </c>
      <c r="F196" s="4" t="s">
        <v>38</v>
      </c>
      <c r="G196" s="4" t="s">
        <v>39</v>
      </c>
      <c r="H196" s="14"/>
      <c r="I196" s="4" t="s">
        <v>51</v>
      </c>
      <c r="J196" s="6" t="s">
        <v>198</v>
      </c>
      <c r="K196" s="7">
        <v>10.0</v>
      </c>
      <c r="L196" s="8" t="str">
        <f t="shared" si="23"/>
        <v>BUCARAMANGA</v>
      </c>
      <c r="M196" s="11">
        <v>5.0</v>
      </c>
      <c r="N196" s="11" t="s">
        <v>59</v>
      </c>
      <c r="O196" s="10"/>
    </row>
    <row r="197" ht="14.25" hidden="1" customHeight="1">
      <c r="A197" s="13" t="s">
        <v>619</v>
      </c>
      <c r="B197" s="4" t="s">
        <v>27</v>
      </c>
      <c r="C197" s="4" t="s">
        <v>28</v>
      </c>
      <c r="D197" s="4" t="s">
        <v>620</v>
      </c>
      <c r="E197" s="4">
        <v>3.118713141E9</v>
      </c>
      <c r="F197" s="4" t="s">
        <v>30</v>
      </c>
      <c r="G197" s="4" t="s">
        <v>35</v>
      </c>
      <c r="H197" s="14"/>
      <c r="I197" s="4" t="s">
        <v>32</v>
      </c>
      <c r="J197" s="14"/>
      <c r="K197" s="14"/>
      <c r="L197" s="14"/>
    </row>
    <row r="198" ht="14.25" customHeight="1">
      <c r="A198" s="1" t="s">
        <v>621</v>
      </c>
      <c r="B198" s="2" t="s">
        <v>27</v>
      </c>
      <c r="C198" s="2" t="s">
        <v>28</v>
      </c>
      <c r="D198" s="2" t="s">
        <v>622</v>
      </c>
      <c r="E198" s="3" t="s">
        <v>623</v>
      </c>
      <c r="F198" s="4" t="s">
        <v>38</v>
      </c>
      <c r="G198" s="4" t="s">
        <v>113</v>
      </c>
      <c r="H198" s="4" t="s">
        <v>357</v>
      </c>
      <c r="I198" s="4" t="s">
        <v>358</v>
      </c>
      <c r="J198" s="6" t="s">
        <v>624</v>
      </c>
      <c r="K198" s="7">
        <v>16.0</v>
      </c>
      <c r="L198" s="8" t="str">
        <f>UPPER(G198)</f>
        <v>BARRANCABERMEJA</v>
      </c>
      <c r="M198" s="11">
        <v>7.0</v>
      </c>
      <c r="N198" s="11" t="s">
        <v>44</v>
      </c>
      <c r="O198" s="23" t="s">
        <v>44</v>
      </c>
    </row>
    <row r="199" ht="14.25" hidden="1" customHeight="1">
      <c r="A199" s="13" t="s">
        <v>625</v>
      </c>
      <c r="B199" s="4" t="s">
        <v>27</v>
      </c>
      <c r="C199" s="4" t="s">
        <v>28</v>
      </c>
      <c r="D199" s="4" t="s">
        <v>626</v>
      </c>
      <c r="E199" s="4">
        <v>3.227649445E9</v>
      </c>
      <c r="F199" s="4" t="s">
        <v>30</v>
      </c>
      <c r="G199" s="4" t="s">
        <v>35</v>
      </c>
      <c r="H199" s="14"/>
      <c r="I199" s="4" t="s">
        <v>32</v>
      </c>
      <c r="J199" s="14"/>
      <c r="K199" s="14"/>
      <c r="L199" s="14"/>
    </row>
    <row r="200" ht="14.25" hidden="1" customHeight="1">
      <c r="A200" s="13" t="s">
        <v>627</v>
      </c>
      <c r="B200" s="4" t="s">
        <v>27</v>
      </c>
      <c r="C200" s="4" t="s">
        <v>28</v>
      </c>
      <c r="D200" s="4" t="s">
        <v>628</v>
      </c>
      <c r="E200" s="4">
        <v>3.14294672E9</v>
      </c>
      <c r="F200" s="4" t="s">
        <v>30</v>
      </c>
      <c r="G200" s="4" t="s">
        <v>35</v>
      </c>
      <c r="H200" s="14"/>
      <c r="I200" s="4" t="s">
        <v>32</v>
      </c>
      <c r="J200" s="14"/>
      <c r="K200" s="14"/>
      <c r="L200" s="14"/>
    </row>
    <row r="201" ht="14.25" hidden="1" customHeight="1">
      <c r="A201" s="13" t="s">
        <v>629</v>
      </c>
      <c r="B201" s="4" t="s">
        <v>27</v>
      </c>
      <c r="C201" s="4" t="s">
        <v>28</v>
      </c>
      <c r="D201" s="4" t="s">
        <v>630</v>
      </c>
      <c r="E201" s="4">
        <v>3.112822716E9</v>
      </c>
      <c r="F201" s="4" t="s">
        <v>30</v>
      </c>
      <c r="G201" s="4" t="s">
        <v>35</v>
      </c>
      <c r="H201" s="14"/>
      <c r="I201" s="4" t="s">
        <v>32</v>
      </c>
      <c r="J201" s="14"/>
      <c r="K201" s="14"/>
      <c r="L201" s="14"/>
    </row>
    <row r="202" ht="14.25" customHeight="1">
      <c r="A202" s="1" t="s">
        <v>631</v>
      </c>
      <c r="B202" s="2" t="s">
        <v>27</v>
      </c>
      <c r="C202" s="2" t="s">
        <v>28</v>
      </c>
      <c r="D202" s="2" t="s">
        <v>632</v>
      </c>
      <c r="E202" s="3" t="s">
        <v>633</v>
      </c>
      <c r="F202" s="4" t="s">
        <v>69</v>
      </c>
      <c r="G202" s="4" t="s">
        <v>69</v>
      </c>
      <c r="H202" s="14"/>
      <c r="I202" s="4" t="s">
        <v>51</v>
      </c>
      <c r="J202" s="6" t="s">
        <v>634</v>
      </c>
      <c r="K202" s="7">
        <v>2.0</v>
      </c>
      <c r="L202" s="8" t="str">
        <f t="shared" ref="L202:L205" si="24">UPPER(G202)</f>
        <v>BOGOTA</v>
      </c>
      <c r="M202" s="11">
        <v>2.0</v>
      </c>
      <c r="N202" s="11" t="s">
        <v>59</v>
      </c>
      <c r="O202" s="10"/>
    </row>
    <row r="203" ht="14.25" customHeight="1">
      <c r="A203" s="1" t="s">
        <v>635</v>
      </c>
      <c r="B203" s="2" t="s">
        <v>27</v>
      </c>
      <c r="C203" s="2" t="s">
        <v>28</v>
      </c>
      <c r="D203" s="2" t="s">
        <v>636</v>
      </c>
      <c r="E203" s="3" t="s">
        <v>637</v>
      </c>
      <c r="F203" s="4" t="s">
        <v>38</v>
      </c>
      <c r="G203" s="4" t="s">
        <v>81</v>
      </c>
      <c r="H203" s="14"/>
      <c r="I203" s="4" t="s">
        <v>164</v>
      </c>
      <c r="J203" s="6" t="s">
        <v>638</v>
      </c>
      <c r="K203" s="7">
        <v>31.0</v>
      </c>
      <c r="L203" s="8" t="str">
        <f t="shared" si="24"/>
        <v>FLORIDABLANCA</v>
      </c>
      <c r="M203" s="11">
        <v>2.0</v>
      </c>
      <c r="N203" s="11" t="s">
        <v>44</v>
      </c>
      <c r="O203" s="10"/>
    </row>
    <row r="204" ht="14.25" customHeight="1">
      <c r="A204" s="1" t="s">
        <v>639</v>
      </c>
      <c r="B204" s="2" t="s">
        <v>27</v>
      </c>
      <c r="C204" s="2" t="s">
        <v>28</v>
      </c>
      <c r="D204" s="2" t="s">
        <v>640</v>
      </c>
      <c r="E204" s="3" t="s">
        <v>641</v>
      </c>
      <c r="F204" s="4" t="s">
        <v>38</v>
      </c>
      <c r="G204" s="4" t="s">
        <v>39</v>
      </c>
      <c r="H204" s="4" t="s">
        <v>642</v>
      </c>
      <c r="I204" s="4" t="s">
        <v>561</v>
      </c>
      <c r="J204" s="6" t="s">
        <v>643</v>
      </c>
      <c r="K204" s="7">
        <v>22.0</v>
      </c>
      <c r="L204" s="8" t="str">
        <f t="shared" si="24"/>
        <v>BUCARAMANGA</v>
      </c>
      <c r="M204" s="11">
        <v>11.0</v>
      </c>
      <c r="N204" s="11" t="s">
        <v>44</v>
      </c>
      <c r="O204" s="10"/>
    </row>
    <row r="205" ht="14.25" customHeight="1">
      <c r="A205" s="1" t="s">
        <v>644</v>
      </c>
      <c r="B205" s="2" t="s">
        <v>27</v>
      </c>
      <c r="C205" s="2" t="s">
        <v>28</v>
      </c>
      <c r="D205" s="2" t="s">
        <v>645</v>
      </c>
      <c r="E205" s="3" t="s">
        <v>646</v>
      </c>
      <c r="F205" s="4" t="s">
        <v>647</v>
      </c>
      <c r="G205" s="4" t="s">
        <v>648</v>
      </c>
      <c r="H205" s="14"/>
      <c r="I205" s="4" t="s">
        <v>51</v>
      </c>
      <c r="J205" s="6" t="s">
        <v>649</v>
      </c>
      <c r="K205" s="7">
        <v>26.0</v>
      </c>
      <c r="L205" s="8" t="str">
        <f t="shared" si="24"/>
        <v>SOGAMOSO</v>
      </c>
      <c r="M205" s="11">
        <v>2.0</v>
      </c>
      <c r="N205" s="11" t="s">
        <v>44</v>
      </c>
      <c r="O205" s="10"/>
    </row>
    <row r="206" ht="14.25" hidden="1" customHeight="1">
      <c r="A206" s="13" t="s">
        <v>650</v>
      </c>
      <c r="B206" s="4" t="s">
        <v>27</v>
      </c>
      <c r="C206" s="4" t="s">
        <v>28</v>
      </c>
      <c r="D206" s="4" t="s">
        <v>651</v>
      </c>
      <c r="E206" s="4">
        <v>3.118713141E9</v>
      </c>
      <c r="F206" s="4" t="s">
        <v>30</v>
      </c>
      <c r="G206" s="4" t="s">
        <v>35</v>
      </c>
      <c r="H206" s="14"/>
      <c r="I206" s="4" t="s">
        <v>32</v>
      </c>
      <c r="J206" s="14"/>
      <c r="K206" s="14"/>
      <c r="L206" s="14"/>
    </row>
    <row r="207" ht="14.25" customHeight="1">
      <c r="A207" s="1" t="s">
        <v>652</v>
      </c>
      <c r="B207" s="2" t="s">
        <v>27</v>
      </c>
      <c r="C207" s="2" t="s">
        <v>28</v>
      </c>
      <c r="D207" s="2" t="s">
        <v>653</v>
      </c>
      <c r="E207" s="3" t="s">
        <v>654</v>
      </c>
      <c r="F207" s="4" t="s">
        <v>655</v>
      </c>
      <c r="G207" s="4" t="s">
        <v>656</v>
      </c>
      <c r="H207" s="14"/>
      <c r="I207" s="4" t="s">
        <v>561</v>
      </c>
      <c r="J207" s="6" t="s">
        <v>657</v>
      </c>
      <c r="K207" s="7">
        <v>1.0</v>
      </c>
      <c r="L207" s="8" t="str">
        <f t="shared" ref="L207:L210" si="25">UPPER(G207)</f>
        <v>VILLA DEL ROSARIO</v>
      </c>
      <c r="M207" s="11">
        <v>1.0</v>
      </c>
      <c r="N207" s="11" t="s">
        <v>59</v>
      </c>
      <c r="O207" s="10"/>
    </row>
    <row r="208" ht="14.25" customHeight="1">
      <c r="A208" s="1" t="s">
        <v>658</v>
      </c>
      <c r="B208" s="2" t="s">
        <v>27</v>
      </c>
      <c r="C208" s="2" t="s">
        <v>28</v>
      </c>
      <c r="D208" s="2" t="s">
        <v>659</v>
      </c>
      <c r="E208" s="3" t="s">
        <v>660</v>
      </c>
      <c r="F208" s="4" t="s">
        <v>212</v>
      </c>
      <c r="G208" s="4" t="s">
        <v>661</v>
      </c>
      <c r="H208" s="4" t="s">
        <v>662</v>
      </c>
      <c r="I208" s="4" t="s">
        <v>32</v>
      </c>
      <c r="J208" s="6" t="s">
        <v>663</v>
      </c>
      <c r="K208" s="7">
        <v>3.0</v>
      </c>
      <c r="L208" s="8" t="str">
        <f t="shared" si="25"/>
        <v>CARTAGENA</v>
      </c>
      <c r="M208" s="11">
        <v>1.0</v>
      </c>
      <c r="N208" s="11" t="s">
        <v>44</v>
      </c>
      <c r="O208" s="10"/>
    </row>
    <row r="209" ht="14.25" customHeight="1">
      <c r="A209" s="1" t="s">
        <v>664</v>
      </c>
      <c r="B209" s="2" t="s">
        <v>27</v>
      </c>
      <c r="C209" s="2" t="s">
        <v>28</v>
      </c>
      <c r="D209" s="2" t="s">
        <v>665</v>
      </c>
      <c r="E209" s="3" t="s">
        <v>666</v>
      </c>
      <c r="F209" s="4" t="s">
        <v>38</v>
      </c>
      <c r="G209" s="4" t="s">
        <v>667</v>
      </c>
      <c r="H209" s="14"/>
      <c r="I209" s="4" t="s">
        <v>540</v>
      </c>
      <c r="J209" s="6" t="s">
        <v>668</v>
      </c>
      <c r="K209" s="7">
        <v>1.0</v>
      </c>
      <c r="L209" s="8" t="str">
        <f t="shared" si="25"/>
        <v>TONA</v>
      </c>
      <c r="M209" s="11">
        <v>99.0</v>
      </c>
      <c r="N209" s="11" t="s">
        <v>44</v>
      </c>
      <c r="O209" s="10"/>
    </row>
    <row r="210" ht="14.25" customHeight="1">
      <c r="A210" s="1" t="s">
        <v>669</v>
      </c>
      <c r="B210" s="2" t="s">
        <v>27</v>
      </c>
      <c r="C210" s="2" t="s">
        <v>28</v>
      </c>
      <c r="D210" s="2" t="s">
        <v>670</v>
      </c>
      <c r="E210" s="3" t="s">
        <v>671</v>
      </c>
      <c r="F210" s="4" t="s">
        <v>38</v>
      </c>
      <c r="G210" s="4" t="s">
        <v>81</v>
      </c>
      <c r="H210" s="4" t="s">
        <v>672</v>
      </c>
      <c r="I210" s="4" t="s">
        <v>561</v>
      </c>
      <c r="J210" s="6"/>
      <c r="K210" s="7"/>
      <c r="L210" s="8" t="str">
        <f t="shared" si="25"/>
        <v>FLORIDABLANCA</v>
      </c>
      <c r="M210" s="9"/>
      <c r="N210" s="9" t="s">
        <v>59</v>
      </c>
      <c r="O210" s="10"/>
      <c r="P210" s="11" t="s">
        <v>673</v>
      </c>
    </row>
    <row r="211" ht="14.25" hidden="1" customHeight="1">
      <c r="A211" s="13" t="s">
        <v>674</v>
      </c>
      <c r="B211" s="4" t="s">
        <v>27</v>
      </c>
      <c r="C211" s="4" t="s">
        <v>28</v>
      </c>
      <c r="D211" s="4" t="s">
        <v>675</v>
      </c>
      <c r="E211" s="4">
        <v>3.227649454E9</v>
      </c>
      <c r="F211" s="4" t="s">
        <v>30</v>
      </c>
      <c r="G211" s="4" t="s">
        <v>35</v>
      </c>
      <c r="H211" s="14"/>
      <c r="I211" s="4" t="s">
        <v>32</v>
      </c>
      <c r="J211" s="14"/>
      <c r="K211" s="14"/>
      <c r="L211" s="14"/>
    </row>
    <row r="212" ht="14.25" hidden="1" customHeight="1">
      <c r="A212" s="13" t="s">
        <v>676</v>
      </c>
      <c r="B212" s="4" t="s">
        <v>27</v>
      </c>
      <c r="C212" s="4" t="s">
        <v>28</v>
      </c>
      <c r="D212" s="4" t="s">
        <v>677</v>
      </c>
      <c r="E212" s="4">
        <v>3.22292338E9</v>
      </c>
      <c r="F212" s="4" t="s">
        <v>30</v>
      </c>
      <c r="G212" s="4" t="s">
        <v>31</v>
      </c>
      <c r="H212" s="14"/>
      <c r="I212" s="4" t="s">
        <v>32</v>
      </c>
      <c r="J212" s="14"/>
      <c r="K212" s="14"/>
      <c r="L212" s="14"/>
    </row>
    <row r="213" ht="14.25" customHeight="1">
      <c r="A213" s="1" t="s">
        <v>678</v>
      </c>
      <c r="B213" s="2" t="s">
        <v>27</v>
      </c>
      <c r="C213" s="2" t="s">
        <v>28</v>
      </c>
      <c r="D213" s="2" t="s">
        <v>679</v>
      </c>
      <c r="E213" s="3" t="s">
        <v>680</v>
      </c>
      <c r="F213" s="4" t="s">
        <v>38</v>
      </c>
      <c r="G213" s="4" t="s">
        <v>39</v>
      </c>
      <c r="H213" s="14"/>
      <c r="I213" s="4" t="s">
        <v>164</v>
      </c>
      <c r="J213" s="6" t="s">
        <v>681</v>
      </c>
      <c r="K213" s="7">
        <v>9.0</v>
      </c>
      <c r="L213" s="8" t="str">
        <f>UPPER(G213)</f>
        <v>BUCARAMANGA</v>
      </c>
      <c r="M213" s="11">
        <v>9.0</v>
      </c>
      <c r="N213" s="11" t="s">
        <v>44</v>
      </c>
      <c r="O213" s="10"/>
    </row>
    <row r="214" ht="14.25" hidden="1" customHeight="1">
      <c r="A214" s="13" t="s">
        <v>682</v>
      </c>
      <c r="B214" s="4" t="s">
        <v>27</v>
      </c>
      <c r="C214" s="4" t="s">
        <v>28</v>
      </c>
      <c r="D214" s="4" t="s">
        <v>683</v>
      </c>
      <c r="E214" s="4">
        <v>3.125540939E9</v>
      </c>
      <c r="F214" s="4" t="s">
        <v>30</v>
      </c>
      <c r="G214" s="4" t="s">
        <v>35</v>
      </c>
      <c r="H214" s="14"/>
      <c r="I214" s="4" t="s">
        <v>32</v>
      </c>
      <c r="J214" s="14"/>
      <c r="K214" s="14"/>
      <c r="L214" s="14"/>
    </row>
    <row r="215" ht="14.25" customHeight="1">
      <c r="A215" s="1" t="s">
        <v>684</v>
      </c>
      <c r="B215" s="2" t="s">
        <v>27</v>
      </c>
      <c r="C215" s="2" t="s">
        <v>28</v>
      </c>
      <c r="D215" s="2" t="s">
        <v>685</v>
      </c>
      <c r="E215" s="3" t="s">
        <v>686</v>
      </c>
      <c r="F215" s="4" t="s">
        <v>105</v>
      </c>
      <c r="G215" s="4" t="s">
        <v>225</v>
      </c>
      <c r="H215" s="14"/>
      <c r="I215" s="4" t="s">
        <v>540</v>
      </c>
      <c r="J215" s="6" t="s">
        <v>687</v>
      </c>
      <c r="K215" s="7">
        <v>3.0</v>
      </c>
      <c r="L215" s="8" t="str">
        <f t="shared" ref="L215:L218" si="26">UPPER(G215)</f>
        <v>MEDELLIN</v>
      </c>
      <c r="M215" s="11">
        <v>21.0</v>
      </c>
      <c r="N215" s="11" t="s">
        <v>59</v>
      </c>
      <c r="O215" s="10"/>
    </row>
    <row r="216" ht="14.25" customHeight="1">
      <c r="A216" s="1" t="s">
        <v>688</v>
      </c>
      <c r="B216" s="2" t="s">
        <v>27</v>
      </c>
      <c r="C216" s="2" t="s">
        <v>28</v>
      </c>
      <c r="D216" s="2" t="s">
        <v>689</v>
      </c>
      <c r="E216" s="3" t="s">
        <v>690</v>
      </c>
      <c r="F216" s="4" t="s">
        <v>38</v>
      </c>
      <c r="G216" s="4" t="s">
        <v>159</v>
      </c>
      <c r="H216" s="4" t="s">
        <v>691</v>
      </c>
      <c r="I216" s="4" t="s">
        <v>76</v>
      </c>
      <c r="J216" s="6" t="s">
        <v>692</v>
      </c>
      <c r="K216" s="7">
        <v>28.0</v>
      </c>
      <c r="L216" s="8" t="str">
        <f t="shared" si="26"/>
        <v>PIEDECUESTA</v>
      </c>
      <c r="M216" s="11">
        <v>2.0</v>
      </c>
      <c r="N216" s="11" t="s">
        <v>59</v>
      </c>
      <c r="O216" s="10"/>
    </row>
    <row r="217" ht="14.25" customHeight="1">
      <c r="A217" s="1" t="s">
        <v>693</v>
      </c>
      <c r="B217" s="2" t="s">
        <v>27</v>
      </c>
      <c r="C217" s="2" t="s">
        <v>28</v>
      </c>
      <c r="D217" s="2" t="s">
        <v>694</v>
      </c>
      <c r="E217" s="3" t="s">
        <v>695</v>
      </c>
      <c r="F217" s="4" t="s">
        <v>38</v>
      </c>
      <c r="G217" s="4" t="s">
        <v>113</v>
      </c>
      <c r="H217" s="14"/>
      <c r="I217" s="4" t="s">
        <v>358</v>
      </c>
      <c r="J217" s="6" t="s">
        <v>696</v>
      </c>
      <c r="K217" s="7">
        <v>9.0</v>
      </c>
      <c r="L217" s="8" t="str">
        <f t="shared" si="26"/>
        <v>BARRANCABERMEJA</v>
      </c>
      <c r="M217" s="11">
        <v>1.0</v>
      </c>
      <c r="N217" s="11" t="s">
        <v>44</v>
      </c>
      <c r="O217" s="23" t="s">
        <v>44</v>
      </c>
    </row>
    <row r="218" ht="14.25" customHeight="1">
      <c r="A218" s="1" t="s">
        <v>697</v>
      </c>
      <c r="B218" s="2" t="s">
        <v>27</v>
      </c>
      <c r="C218" s="2" t="s">
        <v>28</v>
      </c>
      <c r="D218" s="2" t="s">
        <v>698</v>
      </c>
      <c r="E218" s="3" t="s">
        <v>699</v>
      </c>
      <c r="F218" s="4" t="s">
        <v>700</v>
      </c>
      <c r="G218" s="4" t="s">
        <v>69</v>
      </c>
      <c r="H218" s="4" t="s">
        <v>701</v>
      </c>
      <c r="I218" s="4" t="s">
        <v>358</v>
      </c>
      <c r="J218" s="6" t="s">
        <v>702</v>
      </c>
      <c r="K218" s="7">
        <v>1.0</v>
      </c>
      <c r="L218" s="8" t="str">
        <f t="shared" si="26"/>
        <v>BOGOTA</v>
      </c>
      <c r="M218" s="11">
        <v>1.0</v>
      </c>
      <c r="N218" s="11" t="s">
        <v>44</v>
      </c>
      <c r="O218" s="10"/>
    </row>
    <row r="219" ht="14.25" hidden="1" customHeight="1">
      <c r="A219" s="13" t="s">
        <v>703</v>
      </c>
      <c r="B219" s="4" t="s">
        <v>27</v>
      </c>
      <c r="C219" s="4" t="s">
        <v>28</v>
      </c>
      <c r="D219" s="4" t="s">
        <v>704</v>
      </c>
      <c r="E219" s="4">
        <v>3.118713141E9</v>
      </c>
      <c r="F219" s="4" t="s">
        <v>30</v>
      </c>
      <c r="G219" s="4" t="s">
        <v>35</v>
      </c>
      <c r="H219" s="14"/>
      <c r="I219" s="4" t="s">
        <v>32</v>
      </c>
      <c r="J219" s="14"/>
      <c r="K219" s="14"/>
      <c r="L219" s="14"/>
    </row>
    <row r="220" ht="14.25" hidden="1" customHeight="1">
      <c r="A220" s="13" t="s">
        <v>705</v>
      </c>
      <c r="B220" s="4" t="s">
        <v>27</v>
      </c>
      <c r="C220" s="4" t="s">
        <v>28</v>
      </c>
      <c r="D220" s="4" t="s">
        <v>706</v>
      </c>
      <c r="E220" s="4">
        <v>3.118713141E9</v>
      </c>
      <c r="F220" s="4" t="s">
        <v>30</v>
      </c>
      <c r="G220" s="4" t="s">
        <v>35</v>
      </c>
      <c r="H220" s="14"/>
      <c r="I220" s="4" t="s">
        <v>32</v>
      </c>
      <c r="J220" s="14"/>
      <c r="K220" s="14"/>
      <c r="L220" s="14"/>
    </row>
    <row r="221" ht="14.25" hidden="1" customHeight="1">
      <c r="A221" s="13" t="s">
        <v>707</v>
      </c>
      <c r="B221" s="4" t="s">
        <v>27</v>
      </c>
      <c r="C221" s="4" t="s">
        <v>28</v>
      </c>
      <c r="D221" s="4" t="s">
        <v>708</v>
      </c>
      <c r="E221" s="4">
        <v>3.102211527E9</v>
      </c>
      <c r="F221" s="4" t="s">
        <v>30</v>
      </c>
      <c r="G221" s="4" t="s">
        <v>35</v>
      </c>
      <c r="H221" s="14"/>
      <c r="I221" s="4" t="s">
        <v>32</v>
      </c>
      <c r="J221" s="14"/>
      <c r="K221" s="14"/>
      <c r="L221" s="14"/>
    </row>
    <row r="222" ht="14.25" customHeight="1">
      <c r="A222" s="1" t="s">
        <v>709</v>
      </c>
      <c r="B222" s="2" t="s">
        <v>27</v>
      </c>
      <c r="C222" s="2" t="s">
        <v>28</v>
      </c>
      <c r="D222" s="2" t="s">
        <v>710</v>
      </c>
      <c r="E222" s="3" t="s">
        <v>711</v>
      </c>
      <c r="F222" s="4" t="s">
        <v>38</v>
      </c>
      <c r="G222" s="4" t="s">
        <v>39</v>
      </c>
      <c r="H222" s="14"/>
      <c r="I222" s="4" t="s">
        <v>76</v>
      </c>
      <c r="J222" s="6" t="s">
        <v>712</v>
      </c>
      <c r="K222" s="7">
        <v>12.0</v>
      </c>
      <c r="L222" s="8" t="str">
        <f t="shared" ref="L222:L228" si="27">UPPER(G222)</f>
        <v>BUCARAMANGA</v>
      </c>
      <c r="M222" s="11">
        <v>6.0</v>
      </c>
      <c r="N222" s="11" t="s">
        <v>44</v>
      </c>
      <c r="O222" s="23" t="s">
        <v>44</v>
      </c>
    </row>
    <row r="223" ht="14.25" customHeight="1">
      <c r="A223" s="1" t="s">
        <v>713</v>
      </c>
      <c r="B223" s="2" t="s">
        <v>27</v>
      </c>
      <c r="C223" s="2" t="s">
        <v>28</v>
      </c>
      <c r="D223" s="2" t="s">
        <v>714</v>
      </c>
      <c r="E223" s="3" t="s">
        <v>715</v>
      </c>
      <c r="F223" s="4" t="s">
        <v>38</v>
      </c>
      <c r="G223" s="4" t="s">
        <v>39</v>
      </c>
      <c r="H223" s="14"/>
      <c r="I223" s="4" t="s">
        <v>561</v>
      </c>
      <c r="J223" s="6" t="s">
        <v>716</v>
      </c>
      <c r="K223" s="7">
        <v>29.0</v>
      </c>
      <c r="L223" s="8" t="str">
        <f t="shared" si="27"/>
        <v>BUCARAMANGA</v>
      </c>
      <c r="M223" s="11">
        <v>13.0</v>
      </c>
      <c r="N223" s="11" t="s">
        <v>44</v>
      </c>
      <c r="O223" s="10"/>
    </row>
    <row r="224" ht="14.25" customHeight="1">
      <c r="A224" s="1" t="s">
        <v>717</v>
      </c>
      <c r="B224" s="2" t="s">
        <v>27</v>
      </c>
      <c r="C224" s="2" t="s">
        <v>28</v>
      </c>
      <c r="D224" s="2" t="s">
        <v>718</v>
      </c>
      <c r="E224" s="3" t="s">
        <v>719</v>
      </c>
      <c r="F224" s="4" t="s">
        <v>38</v>
      </c>
      <c r="G224" s="4" t="s">
        <v>159</v>
      </c>
      <c r="H224" s="14"/>
      <c r="I224" s="4" t="s">
        <v>164</v>
      </c>
      <c r="J224" s="6" t="s">
        <v>160</v>
      </c>
      <c r="K224" s="7">
        <v>13.0</v>
      </c>
      <c r="L224" s="8" t="str">
        <f t="shared" si="27"/>
        <v>PIEDECUESTA</v>
      </c>
      <c r="M224" s="11">
        <v>1.0</v>
      </c>
      <c r="N224" s="11" t="s">
        <v>44</v>
      </c>
      <c r="O224" s="10"/>
    </row>
    <row r="225" ht="14.25" customHeight="1">
      <c r="A225" s="1" t="s">
        <v>720</v>
      </c>
      <c r="B225" s="2" t="s">
        <v>27</v>
      </c>
      <c r="C225" s="2" t="s">
        <v>28</v>
      </c>
      <c r="D225" s="2" t="s">
        <v>721</v>
      </c>
      <c r="E225" s="3" t="s">
        <v>722</v>
      </c>
      <c r="F225" s="4" t="s">
        <v>38</v>
      </c>
      <c r="G225" s="4" t="s">
        <v>39</v>
      </c>
      <c r="H225" s="4" t="s">
        <v>40</v>
      </c>
      <c r="I225" s="4" t="s">
        <v>561</v>
      </c>
      <c r="J225" s="6" t="s">
        <v>723</v>
      </c>
      <c r="K225" s="7">
        <v>26.0</v>
      </c>
      <c r="L225" s="8" t="str">
        <f t="shared" si="27"/>
        <v>BUCARAMANGA</v>
      </c>
      <c r="M225" s="11">
        <v>18.0</v>
      </c>
      <c r="N225" s="11" t="s">
        <v>44</v>
      </c>
      <c r="O225" s="10"/>
    </row>
    <row r="226" ht="14.25" customHeight="1">
      <c r="A226" s="1" t="s">
        <v>724</v>
      </c>
      <c r="B226" s="2" t="s">
        <v>27</v>
      </c>
      <c r="C226" s="2" t="s">
        <v>28</v>
      </c>
      <c r="D226" s="2" t="s">
        <v>725</v>
      </c>
      <c r="E226" s="3" t="s">
        <v>726</v>
      </c>
      <c r="F226" s="4" t="s">
        <v>647</v>
      </c>
      <c r="G226" s="4" t="s">
        <v>727</v>
      </c>
      <c r="H226" s="4" t="s">
        <v>181</v>
      </c>
      <c r="I226" s="4" t="s">
        <v>182</v>
      </c>
      <c r="J226" s="6" t="s">
        <v>171</v>
      </c>
      <c r="K226" s="7">
        <v>4.0</v>
      </c>
      <c r="L226" s="8" t="str">
        <f t="shared" si="27"/>
        <v>SAN PABLO DE BORBUR</v>
      </c>
      <c r="M226" s="11">
        <v>1.0</v>
      </c>
      <c r="N226" s="11" t="s">
        <v>44</v>
      </c>
      <c r="O226" s="10"/>
    </row>
    <row r="227" ht="14.25" customHeight="1">
      <c r="A227" s="1" t="s">
        <v>728</v>
      </c>
      <c r="B227" s="2" t="s">
        <v>27</v>
      </c>
      <c r="C227" s="2" t="s">
        <v>28</v>
      </c>
      <c r="D227" s="2" t="s">
        <v>729</v>
      </c>
      <c r="E227" s="3" t="s">
        <v>730</v>
      </c>
      <c r="F227" s="4" t="s">
        <v>731</v>
      </c>
      <c r="G227" s="4" t="s">
        <v>732</v>
      </c>
      <c r="H227" s="14"/>
      <c r="I227" s="4" t="s">
        <v>51</v>
      </c>
      <c r="J227" s="6" t="s">
        <v>733</v>
      </c>
      <c r="K227" s="7">
        <v>3.0</v>
      </c>
      <c r="L227" s="8" t="str">
        <f t="shared" si="27"/>
        <v>BARRANQUILLA</v>
      </c>
      <c r="M227" s="11">
        <v>5.0</v>
      </c>
      <c r="N227" s="11" t="s">
        <v>59</v>
      </c>
      <c r="O227" s="10"/>
    </row>
    <row r="228" ht="14.25" customHeight="1">
      <c r="A228" s="1" t="s">
        <v>734</v>
      </c>
      <c r="B228" s="2" t="s">
        <v>27</v>
      </c>
      <c r="C228" s="2" t="s">
        <v>28</v>
      </c>
      <c r="D228" s="2" t="s">
        <v>735</v>
      </c>
      <c r="E228" s="3" t="s">
        <v>736</v>
      </c>
      <c r="F228" s="4" t="s">
        <v>424</v>
      </c>
      <c r="G228" s="4" t="s">
        <v>425</v>
      </c>
      <c r="H228" s="4" t="s">
        <v>118</v>
      </c>
      <c r="I228" s="4" t="s">
        <v>561</v>
      </c>
      <c r="J228" s="6" t="s">
        <v>737</v>
      </c>
      <c r="K228" s="7">
        <v>18.0</v>
      </c>
      <c r="L228" s="8" t="str">
        <f t="shared" si="27"/>
        <v>MONTERIA</v>
      </c>
      <c r="M228" s="11">
        <v>3.0</v>
      </c>
      <c r="N228" s="11" t="s">
        <v>59</v>
      </c>
      <c r="O228" s="10"/>
    </row>
    <row r="229" ht="14.25" hidden="1" customHeight="1">
      <c r="A229" s="13" t="s">
        <v>738</v>
      </c>
      <c r="B229" s="4" t="s">
        <v>27</v>
      </c>
      <c r="C229" s="4" t="s">
        <v>28</v>
      </c>
      <c r="D229" s="4" t="s">
        <v>739</v>
      </c>
      <c r="E229" s="4">
        <v>3.23450271E9</v>
      </c>
      <c r="F229" s="4" t="s">
        <v>30</v>
      </c>
      <c r="G229" s="4" t="s">
        <v>35</v>
      </c>
      <c r="H229" s="14"/>
      <c r="I229" s="4" t="s">
        <v>32</v>
      </c>
      <c r="J229" s="14"/>
      <c r="K229" s="14"/>
      <c r="L229" s="14"/>
    </row>
    <row r="230" ht="14.25" hidden="1" customHeight="1">
      <c r="A230" s="13" t="s">
        <v>740</v>
      </c>
      <c r="B230" s="4" t="s">
        <v>27</v>
      </c>
      <c r="C230" s="4" t="s">
        <v>28</v>
      </c>
      <c r="D230" s="4" t="s">
        <v>741</v>
      </c>
      <c r="E230" s="4">
        <v>3.118012734E9</v>
      </c>
      <c r="F230" s="4" t="s">
        <v>30</v>
      </c>
      <c r="G230" s="4" t="s">
        <v>35</v>
      </c>
      <c r="H230" s="14"/>
      <c r="I230" s="4" t="s">
        <v>32</v>
      </c>
      <c r="J230" s="14"/>
      <c r="K230" s="14"/>
      <c r="L230" s="14"/>
    </row>
    <row r="231" ht="14.25" hidden="1" customHeight="1">
      <c r="A231" s="13" t="s">
        <v>742</v>
      </c>
      <c r="B231" s="4" t="s">
        <v>27</v>
      </c>
      <c r="C231" s="4" t="s">
        <v>28</v>
      </c>
      <c r="D231" s="4" t="s">
        <v>743</v>
      </c>
      <c r="E231" s="4">
        <v>3.102211527E9</v>
      </c>
      <c r="F231" s="4" t="s">
        <v>30</v>
      </c>
      <c r="G231" s="4" t="s">
        <v>35</v>
      </c>
      <c r="H231" s="14"/>
      <c r="I231" s="4" t="s">
        <v>32</v>
      </c>
      <c r="J231" s="14"/>
      <c r="K231" s="14"/>
      <c r="L231" s="14"/>
    </row>
    <row r="232" ht="14.25" hidden="1" customHeight="1">
      <c r="A232" s="13" t="s">
        <v>744</v>
      </c>
      <c r="B232" s="4" t="s">
        <v>27</v>
      </c>
      <c r="C232" s="4" t="s">
        <v>28</v>
      </c>
      <c r="D232" s="4" t="s">
        <v>745</v>
      </c>
      <c r="E232" s="4">
        <v>3.124295466E9</v>
      </c>
      <c r="F232" s="4" t="s">
        <v>30</v>
      </c>
      <c r="G232" s="4" t="s">
        <v>35</v>
      </c>
      <c r="H232" s="14"/>
      <c r="I232" s="4" t="s">
        <v>32</v>
      </c>
      <c r="J232" s="14"/>
      <c r="K232" s="14"/>
      <c r="L232" s="14"/>
    </row>
    <row r="233" ht="14.25" customHeight="1">
      <c r="A233" s="1" t="s">
        <v>746</v>
      </c>
      <c r="B233" s="2" t="s">
        <v>27</v>
      </c>
      <c r="C233" s="2" t="s">
        <v>28</v>
      </c>
      <c r="D233" s="2" t="s">
        <v>747</v>
      </c>
      <c r="E233" s="3" t="s">
        <v>748</v>
      </c>
      <c r="F233" s="4" t="s">
        <v>38</v>
      </c>
      <c r="G233" s="4" t="s">
        <v>39</v>
      </c>
      <c r="H233" s="4" t="s">
        <v>229</v>
      </c>
      <c r="I233" s="4" t="s">
        <v>76</v>
      </c>
      <c r="J233" s="6" t="s">
        <v>749</v>
      </c>
      <c r="K233" s="7">
        <v>10.0</v>
      </c>
      <c r="L233" s="8" t="str">
        <f t="shared" ref="L233:L234" si="28">UPPER(G233)</f>
        <v>BUCARAMANGA</v>
      </c>
      <c r="M233" s="11">
        <v>6.0</v>
      </c>
      <c r="N233" s="11" t="s">
        <v>44</v>
      </c>
      <c r="O233" s="10"/>
    </row>
    <row r="234" ht="14.25" customHeight="1">
      <c r="A234" s="1" t="s">
        <v>750</v>
      </c>
      <c r="B234" s="2" t="s">
        <v>27</v>
      </c>
      <c r="C234" s="2" t="s">
        <v>28</v>
      </c>
      <c r="D234" s="2" t="s">
        <v>751</v>
      </c>
      <c r="E234" s="3" t="s">
        <v>752</v>
      </c>
      <c r="F234" s="4" t="s">
        <v>38</v>
      </c>
      <c r="G234" s="4" t="s">
        <v>39</v>
      </c>
      <c r="H234" s="14"/>
      <c r="I234" s="4" t="s">
        <v>164</v>
      </c>
      <c r="J234" s="6" t="s">
        <v>300</v>
      </c>
      <c r="K234" s="7">
        <v>1.0</v>
      </c>
      <c r="L234" s="8" t="str">
        <f t="shared" si="28"/>
        <v>BUCARAMANGA</v>
      </c>
      <c r="M234" s="11">
        <v>7.0</v>
      </c>
      <c r="N234" s="11" t="s">
        <v>59</v>
      </c>
      <c r="O234" s="10"/>
    </row>
    <row r="235" ht="14.25" hidden="1" customHeight="1">
      <c r="A235" s="13" t="s">
        <v>753</v>
      </c>
      <c r="B235" s="4" t="s">
        <v>27</v>
      </c>
      <c r="C235" s="4" t="s">
        <v>28</v>
      </c>
      <c r="D235" s="4" t="s">
        <v>754</v>
      </c>
      <c r="E235" s="4">
        <v>3.102211527E9</v>
      </c>
      <c r="F235" s="4" t="s">
        <v>30</v>
      </c>
      <c r="G235" s="4" t="s">
        <v>35</v>
      </c>
      <c r="H235" s="14"/>
      <c r="I235" s="4" t="s">
        <v>32</v>
      </c>
      <c r="J235" s="14"/>
      <c r="K235" s="14"/>
      <c r="L235" s="14"/>
    </row>
    <row r="236" ht="14.25" customHeight="1">
      <c r="A236" s="1" t="s">
        <v>755</v>
      </c>
      <c r="B236" s="2" t="s">
        <v>27</v>
      </c>
      <c r="C236" s="2" t="s">
        <v>28</v>
      </c>
      <c r="D236" s="2" t="s">
        <v>756</v>
      </c>
      <c r="E236" s="3" t="s">
        <v>757</v>
      </c>
      <c r="F236" s="4" t="s">
        <v>38</v>
      </c>
      <c r="G236" s="4" t="s">
        <v>75</v>
      </c>
      <c r="H236" s="14"/>
      <c r="I236" s="4" t="s">
        <v>561</v>
      </c>
      <c r="J236" s="6" t="s">
        <v>77</v>
      </c>
      <c r="K236" s="7">
        <v>7.0</v>
      </c>
      <c r="L236" s="8" t="str">
        <f>UPPER(G236)</f>
        <v>GIRON</v>
      </c>
      <c r="M236" s="11">
        <v>2.0</v>
      </c>
      <c r="N236" s="11" t="s">
        <v>44</v>
      </c>
      <c r="O236" s="23" t="s">
        <v>44</v>
      </c>
    </row>
    <row r="237" ht="14.25" hidden="1" customHeight="1">
      <c r="A237" s="13" t="s">
        <v>758</v>
      </c>
      <c r="B237" s="4" t="s">
        <v>27</v>
      </c>
      <c r="C237" s="4" t="s">
        <v>28</v>
      </c>
      <c r="D237" s="4" t="s">
        <v>759</v>
      </c>
      <c r="E237" s="4">
        <v>3.22292338E9</v>
      </c>
      <c r="F237" s="4" t="s">
        <v>30</v>
      </c>
      <c r="G237" s="4" t="s">
        <v>31</v>
      </c>
      <c r="H237" s="14"/>
      <c r="I237" s="4" t="s">
        <v>32</v>
      </c>
      <c r="J237" s="14"/>
      <c r="K237" s="14"/>
      <c r="L237" s="14"/>
    </row>
    <row r="238" ht="14.25" customHeight="1">
      <c r="A238" s="1" t="s">
        <v>760</v>
      </c>
      <c r="B238" s="2" t="s">
        <v>27</v>
      </c>
      <c r="C238" s="2" t="s">
        <v>28</v>
      </c>
      <c r="D238" s="2" t="s">
        <v>761</v>
      </c>
      <c r="E238" s="3" t="s">
        <v>762</v>
      </c>
      <c r="F238" s="4" t="s">
        <v>38</v>
      </c>
      <c r="G238" s="4" t="s">
        <v>201</v>
      </c>
      <c r="H238" s="14"/>
      <c r="I238" s="4" t="s">
        <v>76</v>
      </c>
      <c r="J238" s="6" t="s">
        <v>763</v>
      </c>
      <c r="K238" s="7">
        <v>1.0</v>
      </c>
      <c r="L238" s="8" t="str">
        <f t="shared" ref="L238:L244" si="29">UPPER(G238)</f>
        <v>LEBRIJA</v>
      </c>
      <c r="M238" s="11">
        <v>99.0</v>
      </c>
      <c r="N238" s="11" t="s">
        <v>44</v>
      </c>
      <c r="O238" s="10"/>
    </row>
    <row r="239" ht="14.25" customHeight="1">
      <c r="A239" s="1" t="s">
        <v>764</v>
      </c>
      <c r="B239" s="2" t="s">
        <v>27</v>
      </c>
      <c r="C239" s="2" t="s">
        <v>28</v>
      </c>
      <c r="D239" s="2" t="s">
        <v>765</v>
      </c>
      <c r="E239" s="3" t="s">
        <v>766</v>
      </c>
      <c r="F239" s="4" t="s">
        <v>38</v>
      </c>
      <c r="G239" s="4" t="s">
        <v>113</v>
      </c>
      <c r="H239" s="4" t="s">
        <v>767</v>
      </c>
      <c r="I239" s="4" t="s">
        <v>358</v>
      </c>
      <c r="J239" s="6" t="s">
        <v>768</v>
      </c>
      <c r="K239" s="7">
        <v>3.0</v>
      </c>
      <c r="L239" s="8" t="str">
        <f t="shared" si="29"/>
        <v>BARRANCABERMEJA</v>
      </c>
      <c r="M239" s="11">
        <v>3.0</v>
      </c>
      <c r="N239" s="11" t="s">
        <v>44</v>
      </c>
      <c r="O239" s="23" t="s">
        <v>44</v>
      </c>
    </row>
    <row r="240" ht="14.25" customHeight="1">
      <c r="A240" s="1" t="s">
        <v>769</v>
      </c>
      <c r="B240" s="2" t="s">
        <v>27</v>
      </c>
      <c r="C240" s="2" t="s">
        <v>28</v>
      </c>
      <c r="D240" s="2" t="s">
        <v>770</v>
      </c>
      <c r="E240" s="3" t="s">
        <v>771</v>
      </c>
      <c r="F240" s="4" t="s">
        <v>38</v>
      </c>
      <c r="G240" s="4" t="s">
        <v>39</v>
      </c>
      <c r="H240" s="14"/>
      <c r="I240" s="4" t="s">
        <v>76</v>
      </c>
      <c r="J240" s="6" t="s">
        <v>643</v>
      </c>
      <c r="K240" s="7">
        <v>5.0</v>
      </c>
      <c r="L240" s="8" t="str">
        <f t="shared" si="29"/>
        <v>BUCARAMANGA</v>
      </c>
      <c r="M240" s="11">
        <v>11.0</v>
      </c>
      <c r="N240" s="11" t="s">
        <v>44</v>
      </c>
      <c r="O240" s="23" t="s">
        <v>44</v>
      </c>
    </row>
    <row r="241" ht="14.25" customHeight="1">
      <c r="A241" s="1" t="s">
        <v>772</v>
      </c>
      <c r="B241" s="2" t="s">
        <v>27</v>
      </c>
      <c r="C241" s="2" t="s">
        <v>28</v>
      </c>
      <c r="D241" s="2" t="s">
        <v>773</v>
      </c>
      <c r="E241" s="3" t="s">
        <v>774</v>
      </c>
      <c r="F241" s="4" t="s">
        <v>38</v>
      </c>
      <c r="G241" s="4" t="s">
        <v>81</v>
      </c>
      <c r="H241" s="14"/>
      <c r="I241" s="4" t="s">
        <v>561</v>
      </c>
      <c r="J241" s="6"/>
      <c r="K241" s="7"/>
      <c r="L241" s="8" t="str">
        <f t="shared" si="29"/>
        <v>FLORIDABLANCA</v>
      </c>
      <c r="M241" s="9"/>
      <c r="N241" s="9" t="s">
        <v>59</v>
      </c>
      <c r="O241" s="10"/>
      <c r="P241" s="11" t="s">
        <v>589</v>
      </c>
    </row>
    <row r="242" ht="14.25" customHeight="1">
      <c r="A242" s="1" t="s">
        <v>775</v>
      </c>
      <c r="B242" s="2" t="s">
        <v>27</v>
      </c>
      <c r="C242" s="2" t="s">
        <v>28</v>
      </c>
      <c r="D242" s="2" t="s">
        <v>776</v>
      </c>
      <c r="E242" s="3" t="s">
        <v>777</v>
      </c>
      <c r="F242" s="4" t="s">
        <v>38</v>
      </c>
      <c r="G242" s="4" t="s">
        <v>81</v>
      </c>
      <c r="H242" s="14"/>
      <c r="I242" s="4" t="s">
        <v>51</v>
      </c>
      <c r="J242" s="6" t="s">
        <v>174</v>
      </c>
      <c r="K242" s="7">
        <v>8.0</v>
      </c>
      <c r="L242" s="8" t="str">
        <f t="shared" si="29"/>
        <v>FLORIDABLANCA</v>
      </c>
      <c r="M242" s="11">
        <v>2.0</v>
      </c>
      <c r="N242" s="11" t="s">
        <v>44</v>
      </c>
      <c r="O242" s="10"/>
      <c r="P242" s="28"/>
    </row>
    <row r="243" ht="14.25" customHeight="1">
      <c r="A243" s="1" t="s">
        <v>778</v>
      </c>
      <c r="B243" s="2" t="s">
        <v>27</v>
      </c>
      <c r="C243" s="2" t="s">
        <v>28</v>
      </c>
      <c r="D243" s="2" t="s">
        <v>779</v>
      </c>
      <c r="E243" s="3" t="s">
        <v>780</v>
      </c>
      <c r="F243" s="4" t="s">
        <v>38</v>
      </c>
      <c r="G243" s="4" t="s">
        <v>113</v>
      </c>
      <c r="H243" s="14"/>
      <c r="I243" s="4" t="s">
        <v>358</v>
      </c>
      <c r="J243" s="6" t="s">
        <v>359</v>
      </c>
      <c r="K243" s="7">
        <v>2.0</v>
      </c>
      <c r="L243" s="8" t="str">
        <f t="shared" si="29"/>
        <v>BARRANCABERMEJA</v>
      </c>
      <c r="M243" s="11">
        <v>1.0</v>
      </c>
      <c r="N243" s="11" t="s">
        <v>44</v>
      </c>
      <c r="O243" s="10"/>
    </row>
    <row r="244" ht="14.25" customHeight="1">
      <c r="A244" s="1" t="s">
        <v>781</v>
      </c>
      <c r="B244" s="2" t="s">
        <v>27</v>
      </c>
      <c r="C244" s="2" t="s">
        <v>28</v>
      </c>
      <c r="D244" s="2" t="s">
        <v>782</v>
      </c>
      <c r="E244" s="3" t="s">
        <v>783</v>
      </c>
      <c r="F244" s="4" t="s">
        <v>38</v>
      </c>
      <c r="G244" s="4" t="s">
        <v>784</v>
      </c>
      <c r="H244" s="14"/>
      <c r="I244" s="4" t="s">
        <v>561</v>
      </c>
      <c r="J244" s="6" t="s">
        <v>785</v>
      </c>
      <c r="K244" s="7">
        <v>3.0</v>
      </c>
      <c r="L244" s="8" t="str">
        <f t="shared" si="29"/>
        <v>SAN GIL</v>
      </c>
      <c r="M244" s="11">
        <v>2.0</v>
      </c>
      <c r="N244" s="11" t="s">
        <v>44</v>
      </c>
      <c r="O244" s="23" t="s">
        <v>44</v>
      </c>
    </row>
    <row r="245" ht="14.25" hidden="1" customHeight="1">
      <c r="A245" s="13" t="s">
        <v>786</v>
      </c>
      <c r="B245" s="4" t="s">
        <v>27</v>
      </c>
      <c r="C245" s="4" t="s">
        <v>28</v>
      </c>
      <c r="D245" s="4" t="s">
        <v>787</v>
      </c>
      <c r="E245" s="4">
        <v>3.124295466E9</v>
      </c>
      <c r="F245" s="4" t="s">
        <v>30</v>
      </c>
      <c r="G245" s="4" t="s">
        <v>35</v>
      </c>
      <c r="H245" s="14"/>
      <c r="I245" s="4" t="s">
        <v>32</v>
      </c>
      <c r="J245" s="14"/>
      <c r="K245" s="14"/>
      <c r="L245" s="14"/>
    </row>
    <row r="246" ht="14.25" hidden="1" customHeight="1">
      <c r="A246" s="13" t="s">
        <v>788</v>
      </c>
      <c r="B246" s="4" t="s">
        <v>27</v>
      </c>
      <c r="C246" s="4" t="s">
        <v>28</v>
      </c>
      <c r="D246" s="4" t="s">
        <v>789</v>
      </c>
      <c r="E246" s="4">
        <v>3.102211527E9</v>
      </c>
      <c r="F246" s="4" t="s">
        <v>30</v>
      </c>
      <c r="G246" s="4" t="s">
        <v>35</v>
      </c>
      <c r="H246" s="14"/>
      <c r="I246" s="4" t="s">
        <v>32</v>
      </c>
      <c r="J246" s="14"/>
      <c r="K246" s="14"/>
      <c r="L246" s="14"/>
      <c r="M246" s="28"/>
      <c r="O246" s="28"/>
      <c r="P246" s="29"/>
    </row>
    <row r="247" ht="14.25" customHeight="1">
      <c r="A247" s="1" t="s">
        <v>790</v>
      </c>
      <c r="B247" s="2" t="s">
        <v>27</v>
      </c>
      <c r="C247" s="2" t="s">
        <v>28</v>
      </c>
      <c r="D247" s="2" t="s">
        <v>791</v>
      </c>
      <c r="E247" s="3" t="s">
        <v>792</v>
      </c>
      <c r="F247" s="4" t="s">
        <v>105</v>
      </c>
      <c r="G247" s="4" t="s">
        <v>225</v>
      </c>
      <c r="H247" s="14"/>
      <c r="I247" s="4" t="s">
        <v>540</v>
      </c>
      <c r="J247" s="6" t="s">
        <v>226</v>
      </c>
      <c r="K247" s="7">
        <v>2.0</v>
      </c>
      <c r="L247" s="8" t="str">
        <f t="shared" ref="L247:L251" si="30">UPPER(G247)</f>
        <v>MEDELLIN</v>
      </c>
      <c r="M247" s="11">
        <v>27.0</v>
      </c>
      <c r="N247" s="11" t="s">
        <v>59</v>
      </c>
      <c r="O247" s="10"/>
      <c r="P247" s="28"/>
    </row>
    <row r="248" ht="14.25" customHeight="1">
      <c r="A248" s="1" t="s">
        <v>793</v>
      </c>
      <c r="B248" s="2" t="s">
        <v>27</v>
      </c>
      <c r="C248" s="2" t="s">
        <v>28</v>
      </c>
      <c r="D248" s="2" t="s">
        <v>794</v>
      </c>
      <c r="E248" s="3" t="s">
        <v>795</v>
      </c>
      <c r="F248" s="4" t="s">
        <v>38</v>
      </c>
      <c r="G248" s="4" t="s">
        <v>39</v>
      </c>
      <c r="H248" s="30"/>
      <c r="I248" s="4" t="s">
        <v>76</v>
      </c>
      <c r="J248" s="6" t="s">
        <v>796</v>
      </c>
      <c r="K248" s="7">
        <v>1.0</v>
      </c>
      <c r="L248" s="8" t="str">
        <f t="shared" si="30"/>
        <v>BUCARAMANGA</v>
      </c>
      <c r="M248" s="11">
        <v>1.0</v>
      </c>
      <c r="N248" s="11" t="s">
        <v>44</v>
      </c>
      <c r="O248" s="23" t="s">
        <v>44</v>
      </c>
      <c r="P248" s="28"/>
    </row>
    <row r="249" ht="14.25" customHeight="1">
      <c r="A249" s="1" t="s">
        <v>797</v>
      </c>
      <c r="B249" s="2" t="s">
        <v>27</v>
      </c>
      <c r="C249" s="2" t="s">
        <v>28</v>
      </c>
      <c r="D249" s="2" t="s">
        <v>798</v>
      </c>
      <c r="E249" s="3" t="s">
        <v>799</v>
      </c>
      <c r="F249" s="4" t="s">
        <v>38</v>
      </c>
      <c r="G249" s="4" t="s">
        <v>39</v>
      </c>
      <c r="H249" s="14"/>
      <c r="I249" s="4" t="s">
        <v>76</v>
      </c>
      <c r="J249" s="6"/>
      <c r="K249" s="7"/>
      <c r="L249" s="8" t="str">
        <f t="shared" si="30"/>
        <v>BUCARAMANGA</v>
      </c>
      <c r="M249" s="9"/>
      <c r="N249" s="9" t="s">
        <v>59</v>
      </c>
      <c r="O249" s="10"/>
      <c r="P249" s="29" t="s">
        <v>589</v>
      </c>
    </row>
    <row r="250" ht="14.25" customHeight="1">
      <c r="A250" s="1" t="s">
        <v>800</v>
      </c>
      <c r="B250" s="2" t="s">
        <v>27</v>
      </c>
      <c r="C250" s="2" t="s">
        <v>28</v>
      </c>
      <c r="D250" s="27" t="s">
        <v>801</v>
      </c>
      <c r="E250" s="3" t="s">
        <v>802</v>
      </c>
      <c r="F250" s="4" t="s">
        <v>69</v>
      </c>
      <c r="G250" s="4" t="s">
        <v>69</v>
      </c>
      <c r="H250" s="14"/>
      <c r="I250" s="4" t="s">
        <v>51</v>
      </c>
      <c r="J250" s="6" t="s">
        <v>803</v>
      </c>
      <c r="K250" s="7">
        <v>22.0</v>
      </c>
      <c r="L250" s="8" t="str">
        <f t="shared" si="30"/>
        <v>BOGOTA</v>
      </c>
      <c r="M250" s="11">
        <v>1.0</v>
      </c>
      <c r="N250" s="11" t="s">
        <v>59</v>
      </c>
      <c r="O250" s="10"/>
      <c r="P250" s="28"/>
    </row>
    <row r="251" ht="14.25" customHeight="1">
      <c r="A251" s="1" t="s">
        <v>804</v>
      </c>
      <c r="B251" s="2" t="s">
        <v>27</v>
      </c>
      <c r="C251" s="2" t="s">
        <v>28</v>
      </c>
      <c r="D251" s="2" t="s">
        <v>805</v>
      </c>
      <c r="E251" s="3" t="s">
        <v>806</v>
      </c>
      <c r="F251" s="4" t="s">
        <v>38</v>
      </c>
      <c r="G251" s="4" t="s">
        <v>39</v>
      </c>
      <c r="H251" s="14"/>
      <c r="I251" s="4" t="s">
        <v>76</v>
      </c>
      <c r="J251" s="6" t="s">
        <v>643</v>
      </c>
      <c r="K251" s="7">
        <v>17.0</v>
      </c>
      <c r="L251" s="8" t="str">
        <f t="shared" si="30"/>
        <v>BUCARAMANGA</v>
      </c>
      <c r="M251" s="11">
        <v>11.0</v>
      </c>
      <c r="N251" s="11" t="s">
        <v>44</v>
      </c>
      <c r="O251" s="10"/>
      <c r="P251" s="28"/>
    </row>
    <row r="252" ht="14.25" hidden="1" customHeight="1">
      <c r="A252" s="13" t="s">
        <v>807</v>
      </c>
      <c r="B252" s="4" t="s">
        <v>27</v>
      </c>
      <c r="C252" s="4" t="s">
        <v>28</v>
      </c>
      <c r="D252" s="4" t="s">
        <v>808</v>
      </c>
      <c r="E252" s="4">
        <v>3.124295466E9</v>
      </c>
      <c r="F252" s="4" t="s">
        <v>30</v>
      </c>
      <c r="G252" s="4" t="s">
        <v>35</v>
      </c>
      <c r="H252" s="14"/>
      <c r="I252" s="4" t="s">
        <v>32</v>
      </c>
      <c r="J252" s="30"/>
      <c r="K252" s="30"/>
      <c r="L252" s="14"/>
      <c r="M252" s="29"/>
      <c r="N252" s="29"/>
      <c r="O252" s="29"/>
      <c r="P252" s="28"/>
    </row>
    <row r="253" ht="14.25" customHeight="1">
      <c r="A253" s="1" t="s">
        <v>809</v>
      </c>
      <c r="B253" s="2" t="s">
        <v>27</v>
      </c>
      <c r="C253" s="2" t="s">
        <v>28</v>
      </c>
      <c r="D253" s="2" t="s">
        <v>810</v>
      </c>
      <c r="E253" s="3" t="s">
        <v>811</v>
      </c>
      <c r="F253" s="4" t="s">
        <v>38</v>
      </c>
      <c r="G253" s="4" t="s">
        <v>39</v>
      </c>
      <c r="H253" s="14"/>
      <c r="I253" s="4" t="s">
        <v>76</v>
      </c>
      <c r="J253" s="6" t="s">
        <v>812</v>
      </c>
      <c r="K253" s="7">
        <v>19.0</v>
      </c>
      <c r="L253" s="8" t="str">
        <f>UPPER(G253)</f>
        <v>BUCARAMANGA</v>
      </c>
      <c r="M253" s="11">
        <v>7.0</v>
      </c>
      <c r="N253" s="11" t="s">
        <v>44</v>
      </c>
      <c r="O253" s="10"/>
      <c r="P253" s="28"/>
    </row>
    <row r="254" ht="14.25" hidden="1" customHeight="1">
      <c r="A254" s="13" t="s">
        <v>813</v>
      </c>
      <c r="B254" s="4" t="s">
        <v>27</v>
      </c>
      <c r="C254" s="4" t="s">
        <v>28</v>
      </c>
      <c r="D254" s="4" t="s">
        <v>814</v>
      </c>
      <c r="E254" s="4">
        <v>3.102211527E9</v>
      </c>
      <c r="F254" s="4" t="s">
        <v>30</v>
      </c>
      <c r="G254" s="4" t="s">
        <v>35</v>
      </c>
      <c r="H254" s="14"/>
      <c r="I254" s="4" t="s">
        <v>32</v>
      </c>
      <c r="J254" s="30"/>
      <c r="K254" s="30"/>
      <c r="L254" s="14"/>
      <c r="M254" s="29"/>
      <c r="N254" s="29"/>
      <c r="O254" s="28"/>
      <c r="P254" s="28"/>
    </row>
    <row r="255" ht="14.25" hidden="1" customHeight="1">
      <c r="A255" s="13" t="s">
        <v>815</v>
      </c>
      <c r="B255" s="4" t="s">
        <v>27</v>
      </c>
      <c r="C255" s="4" t="s">
        <v>28</v>
      </c>
      <c r="D255" s="4" t="s">
        <v>816</v>
      </c>
      <c r="E255" s="4">
        <v>3.123645498E9</v>
      </c>
      <c r="F255" s="4" t="s">
        <v>30</v>
      </c>
      <c r="G255" s="4" t="s">
        <v>35</v>
      </c>
      <c r="H255" s="14"/>
      <c r="I255" s="4" t="s">
        <v>32</v>
      </c>
      <c r="J255" s="30"/>
      <c r="K255" s="30"/>
      <c r="L255" s="14"/>
      <c r="M255" s="29"/>
      <c r="N255" s="29"/>
      <c r="O255" s="29"/>
      <c r="P255" s="28"/>
    </row>
    <row r="256" ht="14.25" hidden="1" customHeight="1">
      <c r="A256" s="13" t="s">
        <v>817</v>
      </c>
      <c r="B256" s="4" t="s">
        <v>27</v>
      </c>
      <c r="C256" s="4" t="s">
        <v>28</v>
      </c>
      <c r="D256" s="4" t="s">
        <v>818</v>
      </c>
      <c r="E256" s="4">
        <v>3.22292338E9</v>
      </c>
      <c r="F256" s="4" t="s">
        <v>30</v>
      </c>
      <c r="G256" s="4" t="s">
        <v>31</v>
      </c>
      <c r="H256" s="14"/>
      <c r="I256" s="4" t="s">
        <v>32</v>
      </c>
      <c r="J256" s="30"/>
      <c r="K256" s="30"/>
      <c r="L256" s="14"/>
      <c r="M256" s="29"/>
      <c r="N256" s="29"/>
      <c r="O256" s="29"/>
      <c r="P256" s="28"/>
    </row>
    <row r="257" ht="14.25" customHeight="1">
      <c r="A257" s="1" t="s">
        <v>819</v>
      </c>
      <c r="B257" s="2" t="s">
        <v>27</v>
      </c>
      <c r="C257" s="2" t="s">
        <v>28</v>
      </c>
      <c r="D257" s="2" t="s">
        <v>820</v>
      </c>
      <c r="E257" s="3" t="s">
        <v>821</v>
      </c>
      <c r="F257" s="4" t="s">
        <v>69</v>
      </c>
      <c r="G257" s="4" t="s">
        <v>69</v>
      </c>
      <c r="H257" s="14"/>
      <c r="I257" s="4" t="s">
        <v>51</v>
      </c>
      <c r="J257" s="6" t="s">
        <v>822</v>
      </c>
      <c r="K257" s="7">
        <v>6.0</v>
      </c>
      <c r="L257" s="8" t="str">
        <f t="shared" ref="L257:L259" si="31">UPPER(G257)</f>
        <v>BOGOTA</v>
      </c>
      <c r="M257" s="11">
        <v>12.0</v>
      </c>
      <c r="N257" s="11" t="s">
        <v>44</v>
      </c>
      <c r="O257" s="10"/>
    </row>
    <row r="258" ht="14.25" customHeight="1">
      <c r="A258" s="1" t="s">
        <v>823</v>
      </c>
      <c r="B258" s="2" t="s">
        <v>27</v>
      </c>
      <c r="C258" s="2" t="s">
        <v>28</v>
      </c>
      <c r="D258" s="2" t="s">
        <v>824</v>
      </c>
      <c r="E258" s="3" t="s">
        <v>825</v>
      </c>
      <c r="F258" s="4" t="s">
        <v>38</v>
      </c>
      <c r="G258" s="4" t="s">
        <v>113</v>
      </c>
      <c r="H258" s="4" t="s">
        <v>826</v>
      </c>
      <c r="I258" s="4" t="s">
        <v>358</v>
      </c>
      <c r="J258" s="6" t="s">
        <v>368</v>
      </c>
      <c r="K258" s="7">
        <v>2.0</v>
      </c>
      <c r="L258" s="8" t="str">
        <f t="shared" si="31"/>
        <v>BARRANCABERMEJA</v>
      </c>
      <c r="M258" s="11">
        <v>99.0</v>
      </c>
      <c r="N258" s="11" t="s">
        <v>44</v>
      </c>
      <c r="O258" s="23" t="s">
        <v>44</v>
      </c>
    </row>
    <row r="259" ht="14.25" customHeight="1">
      <c r="A259" s="1" t="s">
        <v>827</v>
      </c>
      <c r="B259" s="2" t="s">
        <v>27</v>
      </c>
      <c r="C259" s="2" t="s">
        <v>66</v>
      </c>
      <c r="D259" s="2" t="s">
        <v>828</v>
      </c>
      <c r="E259" s="3" t="s">
        <v>829</v>
      </c>
      <c r="F259" s="4" t="s">
        <v>38</v>
      </c>
      <c r="G259" s="4" t="s">
        <v>39</v>
      </c>
      <c r="H259" s="4" t="s">
        <v>830</v>
      </c>
      <c r="I259" s="4" t="s">
        <v>540</v>
      </c>
      <c r="J259" s="6" t="s">
        <v>812</v>
      </c>
      <c r="K259" s="7">
        <v>8.0</v>
      </c>
      <c r="L259" s="8" t="str">
        <f t="shared" si="31"/>
        <v>BUCARAMANGA</v>
      </c>
      <c r="M259" s="11">
        <v>7.0</v>
      </c>
      <c r="N259" s="11" t="s">
        <v>44</v>
      </c>
      <c r="O259" s="23" t="s">
        <v>44</v>
      </c>
    </row>
    <row r="260" ht="14.25" hidden="1" customHeight="1">
      <c r="A260" s="13" t="s">
        <v>831</v>
      </c>
      <c r="B260" s="4" t="s">
        <v>27</v>
      </c>
      <c r="C260" s="4" t="s">
        <v>28</v>
      </c>
      <c r="D260" s="4" t="s">
        <v>832</v>
      </c>
      <c r="E260" s="4">
        <v>3.113855088E9</v>
      </c>
      <c r="F260" s="4" t="s">
        <v>30</v>
      </c>
      <c r="G260" s="4" t="s">
        <v>35</v>
      </c>
      <c r="H260" s="14"/>
      <c r="I260" s="4" t="s">
        <v>32</v>
      </c>
      <c r="J260" s="30"/>
      <c r="K260" s="30"/>
      <c r="L260" s="30"/>
      <c r="M260" s="29"/>
      <c r="N260" s="29"/>
      <c r="O260" s="29"/>
      <c r="P260" s="28"/>
    </row>
    <row r="261" ht="14.25" customHeight="1">
      <c r="A261" s="1" t="s">
        <v>833</v>
      </c>
      <c r="B261" s="2" t="s">
        <v>27</v>
      </c>
      <c r="C261" s="2" t="s">
        <v>28</v>
      </c>
      <c r="D261" s="2" t="s">
        <v>834</v>
      </c>
      <c r="E261" s="3" t="s">
        <v>835</v>
      </c>
      <c r="F261" s="4" t="s">
        <v>38</v>
      </c>
      <c r="G261" s="4" t="s">
        <v>221</v>
      </c>
      <c r="H261" s="14"/>
      <c r="I261" s="4" t="s">
        <v>561</v>
      </c>
      <c r="J261" s="6" t="s">
        <v>836</v>
      </c>
      <c r="K261" s="7">
        <v>1.0</v>
      </c>
      <c r="L261" s="8" t="str">
        <f>UPPER(G261)</f>
        <v>CHARTA</v>
      </c>
      <c r="M261" s="11">
        <v>99.0</v>
      </c>
      <c r="N261" s="11" t="s">
        <v>44</v>
      </c>
      <c r="O261" s="10"/>
    </row>
    <row r="262" ht="14.25" hidden="1" customHeight="1">
      <c r="A262" s="13" t="s">
        <v>837</v>
      </c>
      <c r="B262" s="4" t="s">
        <v>27</v>
      </c>
      <c r="C262" s="4" t="s">
        <v>28</v>
      </c>
      <c r="D262" s="4" t="s">
        <v>838</v>
      </c>
      <c r="E262" s="4">
        <v>3.22292338E9</v>
      </c>
      <c r="F262" s="4" t="s">
        <v>30</v>
      </c>
      <c r="G262" s="4" t="s">
        <v>31</v>
      </c>
      <c r="H262" s="14"/>
      <c r="I262" s="4" t="s">
        <v>32</v>
      </c>
      <c r="J262" s="14"/>
      <c r="K262" s="14"/>
      <c r="L262" s="14"/>
    </row>
    <row r="263" ht="14.25" hidden="1" customHeight="1">
      <c r="A263" s="13" t="s">
        <v>839</v>
      </c>
      <c r="B263" s="4" t="s">
        <v>27</v>
      </c>
      <c r="C263" s="4" t="s">
        <v>28</v>
      </c>
      <c r="D263" s="4" t="s">
        <v>838</v>
      </c>
      <c r="E263" s="4">
        <v>3.22292338E9</v>
      </c>
      <c r="F263" s="4" t="s">
        <v>30</v>
      </c>
      <c r="G263" s="4" t="s">
        <v>35</v>
      </c>
      <c r="H263" s="14"/>
      <c r="I263" s="4" t="s">
        <v>32</v>
      </c>
      <c r="J263" s="14"/>
      <c r="K263" s="14"/>
      <c r="L263" s="14"/>
    </row>
    <row r="264" ht="14.25" customHeight="1">
      <c r="A264" s="1" t="s">
        <v>840</v>
      </c>
      <c r="B264" s="2" t="s">
        <v>27</v>
      </c>
      <c r="C264" s="2" t="s">
        <v>28</v>
      </c>
      <c r="D264" s="2" t="s">
        <v>841</v>
      </c>
      <c r="E264" s="3" t="s">
        <v>842</v>
      </c>
      <c r="F264" s="4" t="s">
        <v>38</v>
      </c>
      <c r="G264" s="4" t="s">
        <v>81</v>
      </c>
      <c r="H264" s="14"/>
      <c r="I264" s="4" t="s">
        <v>561</v>
      </c>
      <c r="J264" s="6" t="s">
        <v>388</v>
      </c>
      <c r="K264" s="7">
        <v>13.0</v>
      </c>
      <c r="L264" s="8" t="str">
        <f t="shared" ref="L264:L268" si="32">UPPER(G264)</f>
        <v>FLORIDABLANCA</v>
      </c>
      <c r="M264" s="11">
        <v>6.0</v>
      </c>
      <c r="N264" s="11" t="s">
        <v>44</v>
      </c>
      <c r="O264" s="10"/>
      <c r="P264" s="28"/>
    </row>
    <row r="265" ht="14.25" customHeight="1">
      <c r="A265" s="1" t="s">
        <v>843</v>
      </c>
      <c r="B265" s="2" t="s">
        <v>27</v>
      </c>
      <c r="C265" s="2" t="s">
        <v>28</v>
      </c>
      <c r="D265" s="2" t="s">
        <v>844</v>
      </c>
      <c r="E265" s="3" t="s">
        <v>845</v>
      </c>
      <c r="F265" s="4" t="s">
        <v>38</v>
      </c>
      <c r="G265" s="4" t="s">
        <v>75</v>
      </c>
      <c r="H265" s="14"/>
      <c r="I265" s="4" t="s">
        <v>846</v>
      </c>
      <c r="J265" s="6" t="s">
        <v>847</v>
      </c>
      <c r="K265" s="7">
        <v>19.0</v>
      </c>
      <c r="L265" s="8" t="str">
        <f t="shared" si="32"/>
        <v>GIRON</v>
      </c>
      <c r="M265" s="11">
        <v>4.0</v>
      </c>
      <c r="N265" s="11" t="s">
        <v>59</v>
      </c>
      <c r="O265" s="10"/>
      <c r="P265" s="28"/>
    </row>
    <row r="266" ht="14.25" customHeight="1">
      <c r="A266" s="1" t="s">
        <v>848</v>
      </c>
      <c r="B266" s="2" t="s">
        <v>27</v>
      </c>
      <c r="C266" s="2" t="s">
        <v>28</v>
      </c>
      <c r="D266" s="2" t="s">
        <v>849</v>
      </c>
      <c r="E266" s="3" t="s">
        <v>850</v>
      </c>
      <c r="F266" s="4" t="s">
        <v>38</v>
      </c>
      <c r="G266" s="4" t="s">
        <v>39</v>
      </c>
      <c r="H266" s="14"/>
      <c r="I266" s="4" t="s">
        <v>76</v>
      </c>
      <c r="J266" s="6" t="s">
        <v>851</v>
      </c>
      <c r="K266" s="7">
        <v>34.0</v>
      </c>
      <c r="L266" s="8" t="str">
        <f t="shared" si="32"/>
        <v>BUCARAMANGA</v>
      </c>
      <c r="M266" s="11">
        <v>11.0</v>
      </c>
      <c r="N266" s="11" t="s">
        <v>44</v>
      </c>
      <c r="O266" s="10"/>
      <c r="P266" s="28"/>
    </row>
    <row r="267" ht="14.25" customHeight="1">
      <c r="A267" s="1" t="s">
        <v>852</v>
      </c>
      <c r="B267" s="2" t="s">
        <v>27</v>
      </c>
      <c r="C267" s="2" t="s">
        <v>28</v>
      </c>
      <c r="D267" s="2" t="s">
        <v>853</v>
      </c>
      <c r="E267" s="3" t="s">
        <v>854</v>
      </c>
      <c r="F267" s="4" t="s">
        <v>38</v>
      </c>
      <c r="G267" s="4" t="s">
        <v>75</v>
      </c>
      <c r="H267" s="4" t="s">
        <v>855</v>
      </c>
      <c r="I267" s="4" t="s">
        <v>846</v>
      </c>
      <c r="J267" s="6"/>
      <c r="K267" s="7"/>
      <c r="L267" s="8" t="str">
        <f t="shared" si="32"/>
        <v>GIRON</v>
      </c>
      <c r="M267" s="9"/>
      <c r="N267" s="9" t="s">
        <v>59</v>
      </c>
      <c r="O267" s="10"/>
      <c r="P267" s="11" t="s">
        <v>589</v>
      </c>
    </row>
    <row r="268" ht="14.25" customHeight="1">
      <c r="A268" s="1" t="s">
        <v>856</v>
      </c>
      <c r="B268" s="2" t="s">
        <v>27</v>
      </c>
      <c r="C268" s="2" t="s">
        <v>28</v>
      </c>
      <c r="D268" s="2" t="s">
        <v>857</v>
      </c>
      <c r="E268" s="3" t="s">
        <v>858</v>
      </c>
      <c r="F268" s="4" t="s">
        <v>69</v>
      </c>
      <c r="G268" s="4" t="s">
        <v>69</v>
      </c>
      <c r="H268" s="4" t="s">
        <v>133</v>
      </c>
      <c r="I268" s="4" t="s">
        <v>51</v>
      </c>
      <c r="J268" s="6" t="s">
        <v>859</v>
      </c>
      <c r="K268" s="7">
        <v>24.0</v>
      </c>
      <c r="L268" s="8" t="str">
        <f t="shared" si="32"/>
        <v>BOGOTA</v>
      </c>
      <c r="M268" s="11">
        <v>7.0</v>
      </c>
      <c r="N268" s="11" t="s">
        <v>59</v>
      </c>
      <c r="O268" s="10"/>
      <c r="P268" s="28"/>
    </row>
    <row r="269" ht="14.25" hidden="1" customHeight="1">
      <c r="A269" s="13" t="s">
        <v>860</v>
      </c>
      <c r="B269" s="4" t="s">
        <v>27</v>
      </c>
      <c r="C269" s="4" t="s">
        <v>28</v>
      </c>
      <c r="D269" s="4" t="s">
        <v>861</v>
      </c>
      <c r="E269" s="4">
        <v>3.22292338E9</v>
      </c>
      <c r="F269" s="4" t="s">
        <v>30</v>
      </c>
      <c r="G269" s="4" t="s">
        <v>31</v>
      </c>
      <c r="H269" s="14"/>
      <c r="I269" s="4" t="s">
        <v>32</v>
      </c>
      <c r="J269" s="30"/>
      <c r="K269" s="30"/>
      <c r="L269" s="14"/>
      <c r="M269" s="29"/>
      <c r="N269" s="29"/>
      <c r="O269" s="28"/>
      <c r="P269" s="28"/>
    </row>
    <row r="270" ht="14.25" hidden="1" customHeight="1">
      <c r="A270" s="13" t="s">
        <v>862</v>
      </c>
      <c r="B270" s="4" t="s">
        <v>27</v>
      </c>
      <c r="C270" s="4" t="s">
        <v>28</v>
      </c>
      <c r="D270" s="4" t="s">
        <v>863</v>
      </c>
      <c r="E270" s="4">
        <v>3.229457091E9</v>
      </c>
      <c r="F270" s="4" t="s">
        <v>30</v>
      </c>
      <c r="G270" s="4" t="s">
        <v>31</v>
      </c>
      <c r="H270" s="14"/>
      <c r="I270" s="4" t="s">
        <v>32</v>
      </c>
      <c r="J270" s="30"/>
      <c r="K270" s="30"/>
      <c r="L270" s="14"/>
      <c r="M270" s="29"/>
      <c r="O270" s="28"/>
      <c r="P270" s="28"/>
    </row>
    <row r="271" ht="14.25" hidden="1" customHeight="1">
      <c r="A271" s="13" t="s">
        <v>864</v>
      </c>
      <c r="B271" s="4" t="s">
        <v>27</v>
      </c>
      <c r="C271" s="4" t="s">
        <v>28</v>
      </c>
      <c r="D271" s="4" t="s">
        <v>865</v>
      </c>
      <c r="E271" s="4">
        <v>3.123975302E9</v>
      </c>
      <c r="F271" s="4" t="s">
        <v>30</v>
      </c>
      <c r="G271" s="4" t="s">
        <v>35</v>
      </c>
      <c r="H271" s="14"/>
      <c r="I271" s="4" t="s">
        <v>32</v>
      </c>
      <c r="J271" s="14"/>
      <c r="K271" s="14"/>
      <c r="L271" s="14"/>
    </row>
    <row r="272" ht="14.25" customHeight="1">
      <c r="A272" s="1" t="s">
        <v>866</v>
      </c>
      <c r="B272" s="2" t="s">
        <v>27</v>
      </c>
      <c r="C272" s="2" t="s">
        <v>551</v>
      </c>
      <c r="D272" s="2" t="s">
        <v>867</v>
      </c>
      <c r="E272" s="3" t="s">
        <v>868</v>
      </c>
      <c r="F272" s="4" t="s">
        <v>38</v>
      </c>
      <c r="G272" s="4" t="s">
        <v>81</v>
      </c>
      <c r="H272" s="14"/>
      <c r="I272" s="4" t="s">
        <v>164</v>
      </c>
      <c r="J272" s="6" t="s">
        <v>869</v>
      </c>
      <c r="K272" s="7">
        <v>2.0</v>
      </c>
      <c r="L272" s="8" t="str">
        <f t="shared" ref="L272:L280" si="33">UPPER(G272)</f>
        <v>FLORIDABLANCA</v>
      </c>
      <c r="M272" s="11">
        <v>1.0</v>
      </c>
      <c r="N272" s="11" t="s">
        <v>44</v>
      </c>
      <c r="O272" s="10"/>
    </row>
    <row r="273" ht="14.25" customHeight="1">
      <c r="A273" s="1" t="s">
        <v>870</v>
      </c>
      <c r="B273" s="2" t="s">
        <v>27</v>
      </c>
      <c r="C273" s="2" t="s">
        <v>66</v>
      </c>
      <c r="D273" s="2" t="s">
        <v>871</v>
      </c>
      <c r="E273" s="3" t="s">
        <v>872</v>
      </c>
      <c r="F273" s="4" t="s">
        <v>38</v>
      </c>
      <c r="G273" s="4" t="s">
        <v>39</v>
      </c>
      <c r="H273" s="4" t="s">
        <v>642</v>
      </c>
      <c r="I273" s="4" t="s">
        <v>540</v>
      </c>
      <c r="J273" s="6" t="s">
        <v>851</v>
      </c>
      <c r="K273" s="7">
        <v>28.0</v>
      </c>
      <c r="L273" s="8" t="str">
        <f t="shared" si="33"/>
        <v>BUCARAMANGA</v>
      </c>
      <c r="M273" s="11">
        <v>11.0</v>
      </c>
      <c r="N273" s="11" t="s">
        <v>44</v>
      </c>
      <c r="O273" s="23" t="s">
        <v>44</v>
      </c>
      <c r="P273" s="28"/>
    </row>
    <row r="274" ht="14.25" customHeight="1">
      <c r="A274" s="1" t="s">
        <v>873</v>
      </c>
      <c r="B274" s="2" t="s">
        <v>27</v>
      </c>
      <c r="C274" s="2" t="s">
        <v>28</v>
      </c>
      <c r="D274" s="27" t="s">
        <v>874</v>
      </c>
      <c r="E274" s="3" t="s">
        <v>875</v>
      </c>
      <c r="F274" s="4" t="s">
        <v>38</v>
      </c>
      <c r="G274" s="4" t="s">
        <v>39</v>
      </c>
      <c r="H274" s="14"/>
      <c r="I274" s="4" t="s">
        <v>76</v>
      </c>
      <c r="J274" s="6" t="s">
        <v>259</v>
      </c>
      <c r="K274" s="7">
        <v>7.0</v>
      </c>
      <c r="L274" s="8" t="str">
        <f t="shared" si="33"/>
        <v>BUCARAMANGA</v>
      </c>
      <c r="M274" s="11">
        <v>2.0</v>
      </c>
      <c r="N274" s="11" t="s">
        <v>44</v>
      </c>
      <c r="O274" s="10"/>
      <c r="P274" s="28"/>
    </row>
    <row r="275" ht="14.25" customHeight="1">
      <c r="A275" s="1" t="s">
        <v>876</v>
      </c>
      <c r="B275" s="2" t="s">
        <v>27</v>
      </c>
      <c r="C275" s="2" t="s">
        <v>28</v>
      </c>
      <c r="D275" s="2" t="s">
        <v>877</v>
      </c>
      <c r="E275" s="3" t="s">
        <v>878</v>
      </c>
      <c r="F275" s="4" t="s">
        <v>38</v>
      </c>
      <c r="G275" s="4" t="s">
        <v>81</v>
      </c>
      <c r="H275" s="14"/>
      <c r="I275" s="4" t="s">
        <v>561</v>
      </c>
      <c r="J275" s="6"/>
      <c r="K275" s="7"/>
      <c r="L275" s="8" t="str">
        <f t="shared" si="33"/>
        <v>FLORIDABLANCA</v>
      </c>
      <c r="M275" s="9"/>
      <c r="N275" s="9" t="s">
        <v>879</v>
      </c>
      <c r="O275" s="10"/>
      <c r="P275" s="11" t="s">
        <v>589</v>
      </c>
    </row>
    <row r="276" ht="14.25" customHeight="1">
      <c r="A276" s="1" t="s">
        <v>880</v>
      </c>
      <c r="B276" s="2" t="s">
        <v>27</v>
      </c>
      <c r="C276" s="2" t="s">
        <v>28</v>
      </c>
      <c r="D276" s="2" t="s">
        <v>881</v>
      </c>
      <c r="E276" s="3" t="s">
        <v>882</v>
      </c>
      <c r="F276" s="4" t="s">
        <v>38</v>
      </c>
      <c r="G276" s="4" t="s">
        <v>39</v>
      </c>
      <c r="H276" s="4" t="s">
        <v>58</v>
      </c>
      <c r="I276" s="4" t="s">
        <v>561</v>
      </c>
      <c r="J276" s="6" t="s">
        <v>230</v>
      </c>
      <c r="K276" s="7">
        <v>8.0</v>
      </c>
      <c r="L276" s="8" t="str">
        <f t="shared" si="33"/>
        <v>BUCARAMANGA</v>
      </c>
      <c r="M276" s="11">
        <v>13.0</v>
      </c>
      <c r="N276" s="11" t="s">
        <v>44</v>
      </c>
      <c r="O276" s="10"/>
    </row>
    <row r="277" ht="14.25" customHeight="1">
      <c r="A277" s="1" t="s">
        <v>883</v>
      </c>
      <c r="B277" s="2" t="s">
        <v>27</v>
      </c>
      <c r="C277" s="2" t="s">
        <v>28</v>
      </c>
      <c r="D277" s="2" t="s">
        <v>884</v>
      </c>
      <c r="E277" s="3" t="s">
        <v>885</v>
      </c>
      <c r="F277" s="4" t="s">
        <v>38</v>
      </c>
      <c r="G277" s="4" t="s">
        <v>39</v>
      </c>
      <c r="H277" s="4" t="s">
        <v>886</v>
      </c>
      <c r="I277" s="4" t="s">
        <v>76</v>
      </c>
      <c r="J277" s="6" t="s">
        <v>887</v>
      </c>
      <c r="K277" s="7">
        <v>8.0</v>
      </c>
      <c r="L277" s="8" t="str">
        <f t="shared" si="33"/>
        <v>BUCARAMANGA</v>
      </c>
      <c r="M277" s="11">
        <v>2.0</v>
      </c>
      <c r="N277" s="11" t="s">
        <v>44</v>
      </c>
      <c r="O277" s="10"/>
      <c r="P277" s="28"/>
    </row>
    <row r="278" ht="14.25" customHeight="1">
      <c r="A278" s="1" t="s">
        <v>888</v>
      </c>
      <c r="B278" s="2" t="s">
        <v>889</v>
      </c>
      <c r="C278" s="2" t="s">
        <v>28</v>
      </c>
      <c r="D278" s="2" t="s">
        <v>890</v>
      </c>
      <c r="E278" s="3" t="s">
        <v>891</v>
      </c>
      <c r="F278" s="4" t="s">
        <v>38</v>
      </c>
      <c r="G278" s="4" t="s">
        <v>39</v>
      </c>
      <c r="H278" s="4" t="s">
        <v>642</v>
      </c>
      <c r="I278" s="4" t="s">
        <v>540</v>
      </c>
      <c r="J278" s="6" t="s">
        <v>311</v>
      </c>
      <c r="K278" s="7">
        <v>4.0</v>
      </c>
      <c r="L278" s="8" t="str">
        <f t="shared" si="33"/>
        <v>BUCARAMANGA</v>
      </c>
      <c r="M278" s="11">
        <v>18.0</v>
      </c>
      <c r="N278" s="11" t="s">
        <v>59</v>
      </c>
      <c r="O278" s="10"/>
      <c r="P278" s="31"/>
    </row>
    <row r="279" ht="14.25" customHeight="1">
      <c r="A279" s="1" t="s">
        <v>892</v>
      </c>
      <c r="B279" s="2" t="s">
        <v>27</v>
      </c>
      <c r="C279" s="2" t="s">
        <v>28</v>
      </c>
      <c r="D279" s="2" t="s">
        <v>893</v>
      </c>
      <c r="E279" s="3" t="s">
        <v>894</v>
      </c>
      <c r="F279" s="4" t="s">
        <v>38</v>
      </c>
      <c r="G279" s="4" t="s">
        <v>39</v>
      </c>
      <c r="H279" s="14"/>
      <c r="I279" s="4" t="s">
        <v>76</v>
      </c>
      <c r="J279" s="6" t="s">
        <v>259</v>
      </c>
      <c r="K279" s="7">
        <v>7.0</v>
      </c>
      <c r="L279" s="8" t="str">
        <f t="shared" si="33"/>
        <v>BUCARAMANGA</v>
      </c>
      <c r="M279" s="11">
        <v>2.0</v>
      </c>
      <c r="N279" s="11" t="s">
        <v>44</v>
      </c>
      <c r="O279" s="10"/>
    </row>
    <row r="280" ht="14.25" customHeight="1">
      <c r="A280" s="1">
        <v>1.019070271E9</v>
      </c>
      <c r="B280" s="2" t="s">
        <v>27</v>
      </c>
      <c r="C280" s="2" t="s">
        <v>28</v>
      </c>
      <c r="D280" s="2" t="s">
        <v>895</v>
      </c>
      <c r="E280" s="3" t="s">
        <v>896</v>
      </c>
      <c r="F280" s="4" t="s">
        <v>69</v>
      </c>
      <c r="G280" s="4" t="s">
        <v>69</v>
      </c>
      <c r="H280" s="16"/>
      <c r="I280" s="4" t="s">
        <v>182</v>
      </c>
      <c r="J280" s="6" t="s">
        <v>897</v>
      </c>
      <c r="K280" s="7">
        <v>39.0</v>
      </c>
      <c r="L280" s="8" t="str">
        <f t="shared" si="33"/>
        <v>BOGOTA</v>
      </c>
      <c r="M280" s="9">
        <v>11.0</v>
      </c>
      <c r="N280" s="9" t="s">
        <v>44</v>
      </c>
      <c r="O280" s="10"/>
      <c r="P280" s="10"/>
      <c r="Q280" s="10"/>
      <c r="R280" s="10"/>
      <c r="S280" s="10"/>
      <c r="T280" s="10"/>
      <c r="U280" s="10"/>
      <c r="V280" s="10"/>
      <c r="W280" s="10"/>
      <c r="X280" s="10"/>
      <c r="Y280" s="10"/>
      <c r="Z280" s="10"/>
    </row>
    <row r="281" ht="14.25" hidden="1" customHeight="1">
      <c r="A281" s="13" t="s">
        <v>898</v>
      </c>
      <c r="B281" s="4" t="s">
        <v>27</v>
      </c>
      <c r="C281" s="4" t="s">
        <v>28</v>
      </c>
      <c r="D281" s="4" t="s">
        <v>899</v>
      </c>
      <c r="E281" s="4">
        <v>3.126882431E9</v>
      </c>
      <c r="F281" s="4" t="s">
        <v>30</v>
      </c>
      <c r="G281" s="4" t="s">
        <v>35</v>
      </c>
      <c r="H281" s="14"/>
      <c r="I281" s="4" t="s">
        <v>32</v>
      </c>
      <c r="J281" s="30"/>
      <c r="K281" s="30"/>
      <c r="L281" s="14"/>
    </row>
    <row r="282" ht="14.25" hidden="1" customHeight="1">
      <c r="A282" s="13" t="s">
        <v>900</v>
      </c>
      <c r="B282" s="4" t="s">
        <v>27</v>
      </c>
      <c r="C282" s="4" t="s">
        <v>28</v>
      </c>
      <c r="D282" s="4" t="s">
        <v>901</v>
      </c>
      <c r="E282" s="4">
        <v>3.22292338E9</v>
      </c>
      <c r="F282" s="4" t="s">
        <v>30</v>
      </c>
      <c r="G282" s="4" t="s">
        <v>31</v>
      </c>
      <c r="H282" s="14"/>
      <c r="I282" s="4" t="s">
        <v>32</v>
      </c>
      <c r="J282" s="30"/>
      <c r="K282" s="30"/>
      <c r="L282" s="14"/>
    </row>
    <row r="283" ht="14.25" hidden="1" customHeight="1">
      <c r="A283" s="13" t="s">
        <v>902</v>
      </c>
      <c r="B283" s="4" t="s">
        <v>27</v>
      </c>
      <c r="C283" s="4" t="s">
        <v>28</v>
      </c>
      <c r="D283" s="4" t="s">
        <v>903</v>
      </c>
      <c r="E283" s="4">
        <v>3.229457091E9</v>
      </c>
      <c r="F283" s="4" t="s">
        <v>30</v>
      </c>
      <c r="G283" s="4" t="s">
        <v>31</v>
      </c>
      <c r="H283" s="14"/>
      <c r="I283" s="4" t="s">
        <v>32</v>
      </c>
      <c r="J283" s="14"/>
      <c r="K283" s="14"/>
      <c r="L283" s="14"/>
    </row>
    <row r="284" ht="14.25" customHeight="1">
      <c r="A284" s="1">
        <v>8.0471242E7</v>
      </c>
      <c r="B284" s="2" t="s">
        <v>27</v>
      </c>
      <c r="C284" s="2" t="s">
        <v>28</v>
      </c>
      <c r="D284" s="2" t="s">
        <v>904</v>
      </c>
      <c r="E284" s="3" t="s">
        <v>905</v>
      </c>
      <c r="F284" s="4" t="s">
        <v>69</v>
      </c>
      <c r="G284" s="4" t="s">
        <v>69</v>
      </c>
      <c r="H284" s="18"/>
      <c r="I284" s="4" t="s">
        <v>182</v>
      </c>
      <c r="J284" s="6"/>
      <c r="K284" s="7"/>
      <c r="L284" s="8" t="str">
        <f t="shared" ref="L284:L287" si="34">UPPER(G284)</f>
        <v>BOGOTA</v>
      </c>
      <c r="M284" s="9"/>
      <c r="N284" s="9" t="s">
        <v>59</v>
      </c>
      <c r="O284" s="10"/>
      <c r="P284" s="32" t="s">
        <v>906</v>
      </c>
      <c r="Q284" s="10"/>
      <c r="R284" s="10"/>
      <c r="S284" s="10"/>
      <c r="T284" s="10"/>
      <c r="U284" s="10"/>
      <c r="V284" s="10"/>
      <c r="W284" s="10"/>
      <c r="X284" s="10"/>
      <c r="Y284" s="10"/>
      <c r="Z284" s="10"/>
    </row>
    <row r="285" ht="14.25" customHeight="1">
      <c r="A285" s="1">
        <v>3.53749E7</v>
      </c>
      <c r="B285" s="2" t="s">
        <v>27</v>
      </c>
      <c r="C285" s="2" t="s">
        <v>28</v>
      </c>
      <c r="D285" s="2" t="s">
        <v>907</v>
      </c>
      <c r="E285" s="3" t="s">
        <v>908</v>
      </c>
      <c r="F285" s="4" t="s">
        <v>69</v>
      </c>
      <c r="G285" s="4" t="s">
        <v>69</v>
      </c>
      <c r="H285" s="18"/>
      <c r="I285" s="4" t="s">
        <v>51</v>
      </c>
      <c r="J285" s="6" t="s">
        <v>909</v>
      </c>
      <c r="K285" s="7">
        <v>5.0</v>
      </c>
      <c r="L285" s="8" t="str">
        <f t="shared" si="34"/>
        <v>BOGOTA</v>
      </c>
      <c r="M285" s="9"/>
      <c r="N285" s="9" t="s">
        <v>59</v>
      </c>
      <c r="O285" s="10"/>
      <c r="P285" s="10"/>
      <c r="Q285" s="10"/>
      <c r="R285" s="10"/>
      <c r="S285" s="10"/>
      <c r="T285" s="10"/>
      <c r="U285" s="10"/>
      <c r="V285" s="10"/>
      <c r="W285" s="10"/>
      <c r="X285" s="10"/>
      <c r="Y285" s="10"/>
      <c r="Z285" s="10"/>
    </row>
    <row r="286" ht="14.25" customHeight="1">
      <c r="A286" s="1">
        <v>6.334054E7</v>
      </c>
      <c r="B286" s="2" t="s">
        <v>27</v>
      </c>
      <c r="C286" s="2" t="s">
        <v>28</v>
      </c>
      <c r="D286" s="2" t="s">
        <v>910</v>
      </c>
      <c r="E286" s="3" t="s">
        <v>911</v>
      </c>
      <c r="F286" s="4" t="s">
        <v>38</v>
      </c>
      <c r="G286" s="4" t="s">
        <v>39</v>
      </c>
      <c r="H286" s="16"/>
      <c r="I286" s="4" t="s">
        <v>51</v>
      </c>
      <c r="J286" s="6" t="s">
        <v>328</v>
      </c>
      <c r="K286" s="7">
        <v>7.0</v>
      </c>
      <c r="L286" s="8" t="str">
        <f t="shared" si="34"/>
        <v>BUCARAMANGA</v>
      </c>
      <c r="M286" s="9">
        <v>8.0</v>
      </c>
      <c r="N286" s="9" t="s">
        <v>44</v>
      </c>
      <c r="O286" s="10" t="s">
        <v>59</v>
      </c>
      <c r="P286" s="10"/>
      <c r="Q286" s="10"/>
      <c r="R286" s="10"/>
      <c r="S286" s="10"/>
      <c r="T286" s="10"/>
      <c r="U286" s="10"/>
      <c r="V286" s="10"/>
      <c r="W286" s="10"/>
      <c r="X286" s="10"/>
      <c r="Y286" s="10"/>
      <c r="Z286" s="10"/>
    </row>
    <row r="287" ht="14.25" customHeight="1">
      <c r="A287" s="1">
        <v>6.3455488E7</v>
      </c>
      <c r="B287" s="2" t="s">
        <v>27</v>
      </c>
      <c r="C287" s="2" t="s">
        <v>28</v>
      </c>
      <c r="D287" s="2" t="s">
        <v>912</v>
      </c>
      <c r="E287" s="3" t="s">
        <v>913</v>
      </c>
      <c r="F287" s="4" t="s">
        <v>38</v>
      </c>
      <c r="G287" s="4" t="s">
        <v>113</v>
      </c>
      <c r="H287" s="16"/>
      <c r="I287" s="4" t="s">
        <v>164</v>
      </c>
      <c r="J287" s="6" t="s">
        <v>914</v>
      </c>
      <c r="K287" s="7">
        <v>7.0</v>
      </c>
      <c r="L287" s="8" t="str">
        <f t="shared" si="34"/>
        <v>BARRANCABERMEJA</v>
      </c>
      <c r="M287" s="9">
        <v>3.0</v>
      </c>
      <c r="N287" s="9" t="s">
        <v>44</v>
      </c>
      <c r="O287" s="10" t="s">
        <v>44</v>
      </c>
      <c r="P287" s="10"/>
      <c r="Q287" s="10"/>
      <c r="R287" s="10"/>
      <c r="S287" s="10"/>
      <c r="T287" s="10"/>
      <c r="U287" s="10"/>
      <c r="V287" s="10"/>
      <c r="W287" s="10"/>
      <c r="X287" s="10"/>
      <c r="Y287" s="10"/>
      <c r="Z287" s="10"/>
    </row>
    <row r="288" ht="14.25" hidden="1" customHeight="1">
      <c r="A288" s="13" t="s">
        <v>915</v>
      </c>
      <c r="B288" s="4" t="s">
        <v>27</v>
      </c>
      <c r="C288" s="4" t="s">
        <v>28</v>
      </c>
      <c r="D288" s="4" t="s">
        <v>916</v>
      </c>
      <c r="E288" s="4">
        <v>3.118713141E9</v>
      </c>
      <c r="F288" s="4" t="s">
        <v>30</v>
      </c>
      <c r="G288" s="4" t="s">
        <v>35</v>
      </c>
      <c r="H288" s="14"/>
      <c r="I288" s="4" t="s">
        <v>32</v>
      </c>
      <c r="J288" s="14"/>
      <c r="K288" s="14"/>
      <c r="L288" s="14"/>
    </row>
    <row r="289" ht="14.25" customHeight="1">
      <c r="A289" s="1">
        <v>5.1729936E7</v>
      </c>
      <c r="B289" s="2" t="s">
        <v>27</v>
      </c>
      <c r="C289" s="2" t="s">
        <v>28</v>
      </c>
      <c r="D289" s="2" t="s">
        <v>917</v>
      </c>
      <c r="E289" s="3" t="s">
        <v>918</v>
      </c>
      <c r="F289" s="4" t="s">
        <v>69</v>
      </c>
      <c r="G289" s="4" t="s">
        <v>69</v>
      </c>
      <c r="H289" s="18"/>
      <c r="I289" s="4" t="s">
        <v>51</v>
      </c>
      <c r="J289" s="6" t="s">
        <v>919</v>
      </c>
      <c r="K289" s="7">
        <v>13.0</v>
      </c>
      <c r="L289" s="8" t="str">
        <f t="shared" ref="L289:L291" si="35">UPPER(G289)</f>
        <v>BOGOTA</v>
      </c>
      <c r="M289" s="9">
        <v>11.0</v>
      </c>
      <c r="N289" s="11" t="s">
        <v>59</v>
      </c>
      <c r="O289" s="10"/>
      <c r="P289" s="10"/>
      <c r="Q289" s="10"/>
      <c r="R289" s="10"/>
      <c r="S289" s="10"/>
      <c r="T289" s="10"/>
      <c r="U289" s="10"/>
      <c r="V289" s="10"/>
      <c r="W289" s="10"/>
      <c r="X289" s="10"/>
      <c r="Y289" s="10"/>
      <c r="Z289" s="10"/>
    </row>
    <row r="290" ht="14.25" customHeight="1">
      <c r="A290" s="1">
        <v>5.2500209E7</v>
      </c>
      <c r="B290" s="2" t="s">
        <v>27</v>
      </c>
      <c r="C290" s="2" t="s">
        <v>28</v>
      </c>
      <c r="D290" s="2" t="s">
        <v>920</v>
      </c>
      <c r="E290" s="3" t="s">
        <v>921</v>
      </c>
      <c r="F290" s="4" t="s">
        <v>922</v>
      </c>
      <c r="G290" s="4" t="s">
        <v>923</v>
      </c>
      <c r="H290" s="16"/>
      <c r="I290" s="4" t="s">
        <v>51</v>
      </c>
      <c r="J290" s="6" t="s">
        <v>924</v>
      </c>
      <c r="K290" s="7">
        <v>17.0</v>
      </c>
      <c r="L290" s="8" t="str">
        <f t="shared" si="35"/>
        <v>MOSQUERA</v>
      </c>
      <c r="M290" s="9">
        <v>7.0</v>
      </c>
      <c r="N290" s="11" t="s">
        <v>44</v>
      </c>
      <c r="O290" s="10" t="s">
        <v>59</v>
      </c>
      <c r="P290" s="10"/>
      <c r="Q290" s="10"/>
      <c r="R290" s="10"/>
      <c r="S290" s="10"/>
      <c r="T290" s="10"/>
      <c r="U290" s="10"/>
      <c r="V290" s="10"/>
      <c r="W290" s="10"/>
      <c r="X290" s="10"/>
      <c r="Y290" s="10"/>
      <c r="Z290" s="10"/>
    </row>
    <row r="291" ht="14.25" customHeight="1">
      <c r="A291" s="1">
        <v>6.3499708E7</v>
      </c>
      <c r="B291" s="2" t="s">
        <v>27</v>
      </c>
      <c r="C291" s="2" t="s">
        <v>28</v>
      </c>
      <c r="D291" s="2" t="s">
        <v>925</v>
      </c>
      <c r="E291" s="3" t="s">
        <v>926</v>
      </c>
      <c r="F291" s="4" t="s">
        <v>38</v>
      </c>
      <c r="G291" s="4" t="s">
        <v>81</v>
      </c>
      <c r="H291" s="16"/>
      <c r="I291" s="4" t="s">
        <v>41</v>
      </c>
      <c r="J291" s="6" t="s">
        <v>388</v>
      </c>
      <c r="K291" s="7">
        <v>11.0</v>
      </c>
      <c r="L291" s="8" t="str">
        <f t="shared" si="35"/>
        <v>FLORIDABLANCA</v>
      </c>
      <c r="M291" s="9">
        <v>6.0</v>
      </c>
      <c r="N291" s="11" t="s">
        <v>44</v>
      </c>
      <c r="O291" s="10" t="s">
        <v>59</v>
      </c>
      <c r="P291" s="10"/>
      <c r="Q291" s="10"/>
      <c r="R291" s="10"/>
      <c r="S291" s="10"/>
      <c r="T291" s="10"/>
      <c r="U291" s="10"/>
      <c r="V291" s="10"/>
      <c r="W291" s="10"/>
      <c r="X291" s="10"/>
      <c r="Y291" s="10"/>
      <c r="Z291" s="10"/>
    </row>
    <row r="292" ht="14.25" hidden="1" customHeight="1">
      <c r="A292" s="13" t="s">
        <v>927</v>
      </c>
      <c r="B292" s="4" t="s">
        <v>27</v>
      </c>
      <c r="C292" s="4" t="s">
        <v>28</v>
      </c>
      <c r="D292" s="4" t="s">
        <v>928</v>
      </c>
      <c r="E292" s="4">
        <v>3.118713141E9</v>
      </c>
      <c r="F292" s="4" t="s">
        <v>30</v>
      </c>
      <c r="G292" s="4" t="s">
        <v>35</v>
      </c>
      <c r="H292" s="14"/>
      <c r="I292" s="4" t="s">
        <v>32</v>
      </c>
      <c r="J292" s="14"/>
      <c r="K292" s="14"/>
      <c r="L292" s="14"/>
    </row>
    <row r="293" ht="14.25" customHeight="1">
      <c r="A293" s="1">
        <v>6.3487936E7</v>
      </c>
      <c r="B293" s="2" t="s">
        <v>27</v>
      </c>
      <c r="C293" s="2" t="s">
        <v>28</v>
      </c>
      <c r="D293" s="2" t="s">
        <v>929</v>
      </c>
      <c r="E293" s="3" t="s">
        <v>930</v>
      </c>
      <c r="F293" s="4" t="s">
        <v>38</v>
      </c>
      <c r="G293" s="4" t="s">
        <v>39</v>
      </c>
      <c r="H293" s="33" t="s">
        <v>40</v>
      </c>
      <c r="I293" s="4" t="s">
        <v>76</v>
      </c>
      <c r="J293" s="6" t="s">
        <v>931</v>
      </c>
      <c r="K293" s="7">
        <v>15.0</v>
      </c>
      <c r="L293" s="8" t="str">
        <f t="shared" ref="L293:L296" si="36">UPPER(G293)</f>
        <v>BUCARAMANGA</v>
      </c>
      <c r="M293" s="9">
        <v>5.0</v>
      </c>
      <c r="N293" s="9" t="s">
        <v>44</v>
      </c>
      <c r="O293" s="10" t="s">
        <v>59</v>
      </c>
      <c r="P293" s="10"/>
      <c r="Q293" s="10"/>
      <c r="R293" s="10"/>
      <c r="S293" s="10"/>
      <c r="T293" s="10"/>
      <c r="U293" s="10"/>
      <c r="V293" s="10"/>
      <c r="W293" s="10"/>
      <c r="X293" s="10"/>
      <c r="Y293" s="10"/>
      <c r="Z293" s="10"/>
    </row>
    <row r="294" ht="14.25" customHeight="1">
      <c r="A294" s="1">
        <v>1.09867259E9</v>
      </c>
      <c r="B294" s="2" t="s">
        <v>27</v>
      </c>
      <c r="C294" s="2" t="s">
        <v>66</v>
      </c>
      <c r="D294" s="2" t="s">
        <v>932</v>
      </c>
      <c r="E294" s="3" t="s">
        <v>933</v>
      </c>
      <c r="F294" s="4" t="s">
        <v>38</v>
      </c>
      <c r="G294" s="4" t="s">
        <v>39</v>
      </c>
      <c r="H294" s="16"/>
      <c r="I294" s="4" t="s">
        <v>164</v>
      </c>
      <c r="J294" s="6" t="s">
        <v>345</v>
      </c>
      <c r="K294" s="7">
        <v>53.0</v>
      </c>
      <c r="L294" s="8" t="str">
        <f t="shared" si="36"/>
        <v>BUCARAMANGA</v>
      </c>
      <c r="M294" s="9">
        <v>11.0</v>
      </c>
      <c r="N294" s="9" t="s">
        <v>44</v>
      </c>
      <c r="O294" s="10"/>
      <c r="P294" s="10"/>
      <c r="Q294" s="10"/>
      <c r="R294" s="10"/>
      <c r="S294" s="10"/>
      <c r="T294" s="10"/>
      <c r="U294" s="10"/>
      <c r="V294" s="10"/>
      <c r="W294" s="10"/>
      <c r="X294" s="10"/>
      <c r="Y294" s="10"/>
      <c r="Z294" s="10"/>
    </row>
    <row r="295" ht="14.25" customHeight="1">
      <c r="A295" s="1">
        <v>6.3340197E7</v>
      </c>
      <c r="B295" s="2" t="s">
        <v>27</v>
      </c>
      <c r="C295" s="2" t="s">
        <v>28</v>
      </c>
      <c r="D295" s="2" t="s">
        <v>934</v>
      </c>
      <c r="E295" s="3" t="s">
        <v>935</v>
      </c>
      <c r="F295" s="4" t="s">
        <v>38</v>
      </c>
      <c r="G295" s="4" t="s">
        <v>39</v>
      </c>
      <c r="H295" s="16"/>
      <c r="I295" s="4" t="s">
        <v>41</v>
      </c>
      <c r="J295" s="6" t="s">
        <v>936</v>
      </c>
      <c r="K295" s="7">
        <v>16.0</v>
      </c>
      <c r="L295" s="8" t="str">
        <f t="shared" si="36"/>
        <v>BUCARAMANGA</v>
      </c>
      <c r="M295" s="9">
        <v>14.0</v>
      </c>
      <c r="N295" s="9" t="s">
        <v>44</v>
      </c>
      <c r="O295" s="10" t="s">
        <v>59</v>
      </c>
      <c r="P295" s="10"/>
      <c r="Q295" s="10"/>
      <c r="R295" s="10"/>
      <c r="S295" s="10"/>
      <c r="T295" s="10"/>
      <c r="U295" s="10"/>
      <c r="V295" s="10"/>
      <c r="W295" s="10"/>
      <c r="X295" s="10"/>
      <c r="Y295" s="10"/>
      <c r="Z295" s="10"/>
    </row>
    <row r="296" ht="14.25" customHeight="1">
      <c r="A296" s="1">
        <v>6.3486198E7</v>
      </c>
      <c r="B296" s="2" t="s">
        <v>27</v>
      </c>
      <c r="C296" s="2" t="s">
        <v>28</v>
      </c>
      <c r="D296" s="2" t="s">
        <v>937</v>
      </c>
      <c r="E296" s="3" t="s">
        <v>938</v>
      </c>
      <c r="F296" s="4" t="s">
        <v>38</v>
      </c>
      <c r="G296" s="4" t="s">
        <v>75</v>
      </c>
      <c r="H296" s="16"/>
      <c r="I296" s="4" t="s">
        <v>76</v>
      </c>
      <c r="J296" s="6" t="s">
        <v>939</v>
      </c>
      <c r="K296" s="7">
        <v>3.0</v>
      </c>
      <c r="L296" s="8" t="str">
        <f t="shared" si="36"/>
        <v>GIRON</v>
      </c>
      <c r="M296" s="9">
        <v>2.0</v>
      </c>
      <c r="N296" s="9" t="s">
        <v>44</v>
      </c>
      <c r="O296" s="10" t="s">
        <v>59</v>
      </c>
      <c r="P296" s="10"/>
      <c r="Q296" s="10"/>
      <c r="R296" s="10"/>
      <c r="S296" s="10"/>
      <c r="T296" s="10"/>
      <c r="U296" s="10"/>
      <c r="V296" s="10"/>
      <c r="W296" s="10"/>
      <c r="X296" s="10"/>
      <c r="Y296" s="10"/>
      <c r="Z296" s="10"/>
    </row>
    <row r="297" ht="14.25" hidden="1" customHeight="1">
      <c r="A297" s="13" t="s">
        <v>940</v>
      </c>
      <c r="B297" s="4" t="s">
        <v>27</v>
      </c>
      <c r="C297" s="4" t="s">
        <v>28</v>
      </c>
      <c r="D297" s="4" t="s">
        <v>941</v>
      </c>
      <c r="E297" s="4">
        <v>3.12591924E9</v>
      </c>
      <c r="F297" s="4" t="s">
        <v>30</v>
      </c>
      <c r="G297" s="4" t="s">
        <v>35</v>
      </c>
      <c r="H297" s="14"/>
      <c r="I297" s="4" t="s">
        <v>32</v>
      </c>
      <c r="J297" s="14"/>
      <c r="K297" s="14"/>
      <c r="L297" s="14"/>
    </row>
    <row r="298" ht="14.25" hidden="1" customHeight="1">
      <c r="A298" s="13" t="s">
        <v>942</v>
      </c>
      <c r="B298" s="4" t="s">
        <v>27</v>
      </c>
      <c r="C298" s="4" t="s">
        <v>28</v>
      </c>
      <c r="D298" s="4" t="s">
        <v>943</v>
      </c>
      <c r="E298" s="4">
        <v>3.22292338E9</v>
      </c>
      <c r="F298" s="4" t="s">
        <v>30</v>
      </c>
      <c r="G298" s="4" t="s">
        <v>31</v>
      </c>
      <c r="H298" s="14"/>
      <c r="I298" s="4" t="s">
        <v>32</v>
      </c>
      <c r="J298" s="14"/>
      <c r="K298" s="14"/>
      <c r="L298" s="14"/>
    </row>
    <row r="299" ht="14.25" hidden="1" customHeight="1">
      <c r="A299" s="13" t="s">
        <v>944</v>
      </c>
      <c r="B299" s="4" t="s">
        <v>27</v>
      </c>
      <c r="C299" s="4" t="s">
        <v>28</v>
      </c>
      <c r="D299" s="4" t="s">
        <v>945</v>
      </c>
      <c r="E299" s="4">
        <v>3.125540939E9</v>
      </c>
      <c r="F299" s="4" t="s">
        <v>30</v>
      </c>
      <c r="G299" s="4" t="s">
        <v>35</v>
      </c>
      <c r="H299" s="14"/>
      <c r="I299" s="4" t="s">
        <v>32</v>
      </c>
      <c r="J299" s="14"/>
      <c r="K299" s="14"/>
      <c r="L299" s="14"/>
    </row>
    <row r="300" ht="14.25" hidden="1" customHeight="1">
      <c r="A300" s="13" t="s">
        <v>946</v>
      </c>
      <c r="B300" s="4" t="s">
        <v>27</v>
      </c>
      <c r="C300" s="4" t="s">
        <v>28</v>
      </c>
      <c r="D300" s="4" t="s">
        <v>947</v>
      </c>
      <c r="E300" s="4">
        <v>3.118713141E9</v>
      </c>
      <c r="F300" s="4" t="s">
        <v>30</v>
      </c>
      <c r="G300" s="4" t="s">
        <v>35</v>
      </c>
      <c r="H300" s="14"/>
      <c r="I300" s="4" t="s">
        <v>32</v>
      </c>
      <c r="J300" s="14"/>
      <c r="K300" s="14"/>
      <c r="L300" s="14"/>
    </row>
    <row r="301" ht="14.25" customHeight="1">
      <c r="A301" s="1">
        <v>6.3512102E7</v>
      </c>
      <c r="B301" s="2" t="s">
        <v>27</v>
      </c>
      <c r="C301" s="2" t="s">
        <v>28</v>
      </c>
      <c r="D301" s="2" t="s">
        <v>948</v>
      </c>
      <c r="E301" s="3" t="s">
        <v>949</v>
      </c>
      <c r="F301" s="4" t="s">
        <v>38</v>
      </c>
      <c r="G301" s="4" t="s">
        <v>39</v>
      </c>
      <c r="H301" s="16"/>
      <c r="I301" s="4" t="s">
        <v>41</v>
      </c>
      <c r="J301" s="6" t="s">
        <v>723</v>
      </c>
      <c r="K301" s="7">
        <v>14.0</v>
      </c>
      <c r="L301" s="8" t="s">
        <v>43</v>
      </c>
      <c r="M301" s="9">
        <v>18.0</v>
      </c>
      <c r="N301" s="9" t="s">
        <v>44</v>
      </c>
      <c r="O301" s="10" t="s">
        <v>59</v>
      </c>
      <c r="P301" s="10"/>
      <c r="Q301" s="10"/>
      <c r="R301" s="10"/>
      <c r="S301" s="10"/>
      <c r="T301" s="10"/>
      <c r="U301" s="10"/>
      <c r="V301" s="10"/>
      <c r="W301" s="10"/>
      <c r="X301" s="10"/>
      <c r="Y301" s="10"/>
      <c r="Z301" s="10"/>
    </row>
    <row r="302" ht="14.25" hidden="1" customHeight="1">
      <c r="A302" s="13" t="s">
        <v>950</v>
      </c>
      <c r="B302" s="4" t="s">
        <v>27</v>
      </c>
      <c r="C302" s="4" t="s">
        <v>28</v>
      </c>
      <c r="D302" s="4" t="s">
        <v>951</v>
      </c>
      <c r="E302" s="4">
        <v>3.102211527E9</v>
      </c>
      <c r="F302" s="4" t="s">
        <v>30</v>
      </c>
      <c r="G302" s="4" t="s">
        <v>35</v>
      </c>
      <c r="H302" s="14"/>
      <c r="I302" s="4" t="s">
        <v>32</v>
      </c>
      <c r="J302" s="14"/>
      <c r="K302" s="14"/>
      <c r="L302" s="14"/>
    </row>
    <row r="303" ht="14.25" hidden="1" customHeight="1">
      <c r="A303" s="13" t="s">
        <v>952</v>
      </c>
      <c r="B303" s="4" t="s">
        <v>27</v>
      </c>
      <c r="C303" s="4" t="s">
        <v>28</v>
      </c>
      <c r="D303" s="4" t="s">
        <v>953</v>
      </c>
      <c r="E303" s="4">
        <v>3.125007711E9</v>
      </c>
      <c r="F303" s="4" t="s">
        <v>30</v>
      </c>
      <c r="G303" s="4" t="s">
        <v>31</v>
      </c>
      <c r="H303" s="14"/>
      <c r="I303" s="4" t="s">
        <v>32</v>
      </c>
      <c r="J303" s="14"/>
      <c r="K303" s="14"/>
      <c r="L303" s="14"/>
    </row>
    <row r="304" ht="14.25" hidden="1" customHeight="1">
      <c r="A304" s="13" t="s">
        <v>954</v>
      </c>
      <c r="B304" s="4" t="s">
        <v>27</v>
      </c>
      <c r="C304" s="4" t="s">
        <v>28</v>
      </c>
      <c r="D304" s="4" t="s">
        <v>955</v>
      </c>
      <c r="E304" s="4">
        <v>3.22292338E9</v>
      </c>
      <c r="F304" s="4" t="s">
        <v>30</v>
      </c>
      <c r="G304" s="4" t="s">
        <v>31</v>
      </c>
      <c r="H304" s="14"/>
      <c r="I304" s="4" t="s">
        <v>32</v>
      </c>
      <c r="J304" s="14"/>
      <c r="K304" s="14"/>
      <c r="L304" s="14"/>
    </row>
    <row r="305" ht="14.25" customHeight="1">
      <c r="A305" s="1">
        <v>1.116804093E9</v>
      </c>
      <c r="B305" s="2" t="s">
        <v>27</v>
      </c>
      <c r="C305" s="2" t="s">
        <v>28</v>
      </c>
      <c r="D305" s="2" t="s">
        <v>956</v>
      </c>
      <c r="E305" s="3" t="s">
        <v>957</v>
      </c>
      <c r="F305" s="4" t="s">
        <v>38</v>
      </c>
      <c r="G305" s="4" t="s">
        <v>39</v>
      </c>
      <c r="H305" s="16"/>
      <c r="I305" s="4" t="s">
        <v>51</v>
      </c>
      <c r="J305" s="6" t="s">
        <v>958</v>
      </c>
      <c r="K305" s="7">
        <v>47.0</v>
      </c>
      <c r="L305" s="8" t="str">
        <f t="shared" ref="L305:L306" si="37">UPPER(G305)</f>
        <v>BUCARAMANGA</v>
      </c>
      <c r="M305" s="9">
        <v>3.0</v>
      </c>
      <c r="N305" s="9" t="s">
        <v>44</v>
      </c>
      <c r="O305" s="10" t="s">
        <v>59</v>
      </c>
      <c r="P305" s="10"/>
      <c r="Q305" s="10"/>
      <c r="R305" s="10"/>
      <c r="S305" s="10"/>
      <c r="T305" s="10"/>
      <c r="U305" s="10"/>
      <c r="V305" s="10"/>
      <c r="W305" s="10"/>
      <c r="X305" s="10"/>
      <c r="Y305" s="10"/>
      <c r="Z305" s="10"/>
    </row>
    <row r="306" ht="14.25" customHeight="1">
      <c r="A306" s="1">
        <v>9.1523262E7</v>
      </c>
      <c r="B306" s="2" t="s">
        <v>27</v>
      </c>
      <c r="C306" s="2" t="s">
        <v>28</v>
      </c>
      <c r="D306" s="2" t="s">
        <v>959</v>
      </c>
      <c r="E306" s="3" t="s">
        <v>960</v>
      </c>
      <c r="F306" s="4" t="s">
        <v>38</v>
      </c>
      <c r="G306" s="4" t="s">
        <v>39</v>
      </c>
      <c r="H306" s="34" t="s">
        <v>118</v>
      </c>
      <c r="I306" s="4" t="s">
        <v>41</v>
      </c>
      <c r="J306" s="6" t="s">
        <v>961</v>
      </c>
      <c r="K306" s="7">
        <v>10.0</v>
      </c>
      <c r="L306" s="8" t="str">
        <f t="shared" si="37"/>
        <v>BUCARAMANGA</v>
      </c>
      <c r="M306" s="9">
        <v>14.0</v>
      </c>
      <c r="N306" s="9" t="s">
        <v>59</v>
      </c>
      <c r="O306" s="10"/>
      <c r="P306" s="10"/>
      <c r="Q306" s="10"/>
      <c r="R306" s="10"/>
      <c r="S306" s="10"/>
      <c r="T306" s="10"/>
      <c r="U306" s="10"/>
      <c r="V306" s="10"/>
      <c r="W306" s="10"/>
      <c r="X306" s="10"/>
      <c r="Y306" s="10"/>
      <c r="Z306" s="10"/>
    </row>
    <row r="307" ht="14.25" customHeight="1">
      <c r="A307" s="1">
        <v>1.121221288E9</v>
      </c>
      <c r="B307" s="2" t="s">
        <v>27</v>
      </c>
      <c r="C307" s="2" t="s">
        <v>962</v>
      </c>
      <c r="D307" s="2" t="s">
        <v>963</v>
      </c>
      <c r="E307" s="3" t="s">
        <v>964</v>
      </c>
      <c r="F307" s="4" t="s">
        <v>105</v>
      </c>
      <c r="G307" s="4" t="s">
        <v>225</v>
      </c>
      <c r="H307" s="34" t="s">
        <v>965</v>
      </c>
      <c r="I307" s="4" t="s">
        <v>966</v>
      </c>
      <c r="J307" s="6" t="s">
        <v>967</v>
      </c>
      <c r="K307" s="7">
        <v>24.0</v>
      </c>
      <c r="L307" s="8" t="s">
        <v>968</v>
      </c>
      <c r="M307" s="9">
        <v>21.0</v>
      </c>
      <c r="N307" s="9" t="s">
        <v>59</v>
      </c>
      <c r="O307" s="10"/>
      <c r="P307" s="10"/>
      <c r="Q307" s="10"/>
      <c r="R307" s="10"/>
      <c r="S307" s="10"/>
      <c r="T307" s="10"/>
      <c r="U307" s="10"/>
      <c r="V307" s="10"/>
      <c r="W307" s="10"/>
      <c r="X307" s="10"/>
      <c r="Y307" s="10"/>
      <c r="Z307" s="10"/>
    </row>
    <row r="308" ht="14.25" hidden="1" customHeight="1">
      <c r="A308" s="13" t="s">
        <v>969</v>
      </c>
      <c r="B308" s="4" t="s">
        <v>27</v>
      </c>
      <c r="C308" s="4" t="s">
        <v>28</v>
      </c>
      <c r="D308" s="4" t="s">
        <v>970</v>
      </c>
      <c r="E308" s="4">
        <v>3.125540939E9</v>
      </c>
      <c r="F308" s="4" t="s">
        <v>30</v>
      </c>
      <c r="G308" s="4" t="s">
        <v>35</v>
      </c>
      <c r="H308" s="14"/>
      <c r="I308" s="4" t="s">
        <v>32</v>
      </c>
      <c r="J308" s="14"/>
      <c r="K308" s="14"/>
      <c r="L308" s="14"/>
    </row>
    <row r="309" ht="14.25" customHeight="1">
      <c r="A309" s="1">
        <v>9.124251E7</v>
      </c>
      <c r="B309" s="2" t="s">
        <v>27</v>
      </c>
      <c r="C309" s="2" t="s">
        <v>28</v>
      </c>
      <c r="D309" s="2" t="s">
        <v>971</v>
      </c>
      <c r="E309" s="3" t="s">
        <v>972</v>
      </c>
      <c r="F309" s="4" t="s">
        <v>38</v>
      </c>
      <c r="G309" s="4" t="s">
        <v>81</v>
      </c>
      <c r="H309" s="16"/>
      <c r="I309" s="4" t="s">
        <v>41</v>
      </c>
      <c r="J309" s="6" t="s">
        <v>973</v>
      </c>
      <c r="K309" s="7">
        <v>10.0</v>
      </c>
      <c r="L309" s="8" t="str">
        <f t="shared" ref="L309:L311" si="38">UPPER(G309)</f>
        <v>FLORIDABLANCA</v>
      </c>
      <c r="M309" s="9"/>
      <c r="N309" s="9" t="s">
        <v>44</v>
      </c>
      <c r="O309" s="10"/>
      <c r="P309" s="10"/>
      <c r="Q309" s="10"/>
      <c r="R309" s="10"/>
      <c r="S309" s="10"/>
      <c r="T309" s="10"/>
      <c r="U309" s="10"/>
      <c r="V309" s="10"/>
      <c r="W309" s="10"/>
      <c r="X309" s="10"/>
      <c r="Y309" s="10"/>
      <c r="Z309" s="10"/>
    </row>
    <row r="310" ht="14.25" customHeight="1">
      <c r="A310" s="1">
        <v>1.9084722E7</v>
      </c>
      <c r="B310" s="2" t="s">
        <v>27</v>
      </c>
      <c r="C310" s="2" t="s">
        <v>28</v>
      </c>
      <c r="D310" s="2" t="s">
        <v>974</v>
      </c>
      <c r="E310" s="3" t="s">
        <v>975</v>
      </c>
      <c r="F310" s="4" t="s">
        <v>69</v>
      </c>
      <c r="G310" s="4" t="s">
        <v>69</v>
      </c>
      <c r="H310" s="18"/>
      <c r="I310" s="4" t="s">
        <v>51</v>
      </c>
      <c r="J310" s="6" t="s">
        <v>976</v>
      </c>
      <c r="K310" s="7">
        <v>10.0</v>
      </c>
      <c r="L310" s="8" t="str">
        <f t="shared" si="38"/>
        <v>BOGOTA</v>
      </c>
      <c r="M310" s="9">
        <v>1.0</v>
      </c>
      <c r="N310" s="9" t="s">
        <v>879</v>
      </c>
      <c r="O310" s="10"/>
      <c r="P310" s="10"/>
      <c r="Q310" s="10"/>
      <c r="R310" s="10"/>
      <c r="S310" s="10"/>
      <c r="T310" s="10"/>
      <c r="U310" s="10"/>
      <c r="V310" s="10"/>
      <c r="W310" s="10"/>
      <c r="X310" s="10"/>
      <c r="Y310" s="10"/>
      <c r="Z310" s="10"/>
    </row>
    <row r="311" ht="14.25" customHeight="1">
      <c r="A311" s="1">
        <v>9.12275E7</v>
      </c>
      <c r="B311" s="2" t="s">
        <v>27</v>
      </c>
      <c r="C311" s="2" t="s">
        <v>28</v>
      </c>
      <c r="D311" s="2" t="s">
        <v>977</v>
      </c>
      <c r="E311" s="3" t="s">
        <v>978</v>
      </c>
      <c r="F311" s="4" t="s">
        <v>38</v>
      </c>
      <c r="G311" s="4" t="s">
        <v>39</v>
      </c>
      <c r="H311" s="33" t="s">
        <v>40</v>
      </c>
      <c r="I311" s="4" t="s">
        <v>41</v>
      </c>
      <c r="J311" s="6" t="s">
        <v>979</v>
      </c>
      <c r="K311" s="7">
        <v>32.0</v>
      </c>
      <c r="L311" s="8" t="str">
        <f t="shared" si="38"/>
        <v>BUCARAMANGA</v>
      </c>
      <c r="M311" s="9">
        <v>3.0</v>
      </c>
      <c r="N311" s="9" t="s">
        <v>44</v>
      </c>
      <c r="O311" s="10"/>
      <c r="P311" s="10"/>
      <c r="Q311" s="10"/>
      <c r="R311" s="10"/>
      <c r="S311" s="10"/>
      <c r="T311" s="10"/>
      <c r="U311" s="10"/>
      <c r="V311" s="10"/>
      <c r="W311" s="10"/>
      <c r="X311" s="10"/>
      <c r="Y311" s="10"/>
      <c r="Z311" s="10"/>
    </row>
    <row r="312" ht="14.25" customHeight="1">
      <c r="A312" s="1" t="s">
        <v>980</v>
      </c>
      <c r="B312" s="2" t="s">
        <v>27</v>
      </c>
      <c r="C312" s="2" t="s">
        <v>28</v>
      </c>
      <c r="D312" s="2" t="s">
        <v>981</v>
      </c>
      <c r="E312" s="3" t="s">
        <v>982</v>
      </c>
      <c r="F312" s="4" t="s">
        <v>38</v>
      </c>
      <c r="G312" s="4" t="s">
        <v>113</v>
      </c>
      <c r="H312" s="14"/>
      <c r="I312" s="4" t="s">
        <v>358</v>
      </c>
      <c r="J312" s="6" t="s">
        <v>983</v>
      </c>
      <c r="K312" s="7">
        <v>4.0</v>
      </c>
      <c r="L312" s="8"/>
      <c r="O312" s="10"/>
    </row>
    <row r="313" ht="14.25" customHeight="1">
      <c r="A313" s="1" t="s">
        <v>984</v>
      </c>
      <c r="B313" s="2" t="s">
        <v>27</v>
      </c>
      <c r="C313" s="2" t="s">
        <v>28</v>
      </c>
      <c r="D313" s="2" t="s">
        <v>985</v>
      </c>
      <c r="E313" s="3" t="s">
        <v>986</v>
      </c>
      <c r="F313" s="4" t="s">
        <v>38</v>
      </c>
      <c r="G313" s="4" t="s">
        <v>113</v>
      </c>
      <c r="H313" s="4" t="s">
        <v>357</v>
      </c>
      <c r="I313" s="4" t="s">
        <v>358</v>
      </c>
      <c r="J313" s="6"/>
      <c r="K313" s="7"/>
      <c r="L313" s="8"/>
      <c r="M313" s="9"/>
      <c r="N313" s="9" t="s">
        <v>59</v>
      </c>
      <c r="O313" s="10"/>
      <c r="P313" s="11" t="s">
        <v>987</v>
      </c>
    </row>
    <row r="314" ht="14.25" customHeight="1">
      <c r="A314" s="1">
        <v>3.7551136E7</v>
      </c>
      <c r="B314" s="2" t="s">
        <v>27</v>
      </c>
      <c r="C314" s="2" t="s">
        <v>28</v>
      </c>
      <c r="D314" s="2" t="s">
        <v>988</v>
      </c>
      <c r="E314" s="3" t="s">
        <v>989</v>
      </c>
      <c r="F314" s="4" t="s">
        <v>38</v>
      </c>
      <c r="G314" s="4" t="s">
        <v>75</v>
      </c>
      <c r="H314" s="20"/>
      <c r="I314" s="4" t="s">
        <v>41</v>
      </c>
      <c r="J314" s="6" t="s">
        <v>990</v>
      </c>
      <c r="K314" s="7">
        <v>3.0</v>
      </c>
      <c r="L314" s="8" t="s">
        <v>78</v>
      </c>
      <c r="M314" s="9">
        <v>4.0</v>
      </c>
      <c r="N314" s="9" t="s">
        <v>44</v>
      </c>
      <c r="O314" s="10"/>
      <c r="P314" s="10"/>
      <c r="Q314" s="10"/>
      <c r="R314" s="10"/>
      <c r="S314" s="10"/>
      <c r="T314" s="10"/>
      <c r="U314" s="10"/>
      <c r="V314" s="10"/>
      <c r="W314" s="10"/>
      <c r="X314" s="10"/>
      <c r="Y314" s="10"/>
      <c r="Z314" s="10"/>
    </row>
    <row r="315" ht="14.25" customHeight="1">
      <c r="A315" s="1">
        <v>4.2482805E7</v>
      </c>
      <c r="B315" s="2" t="s">
        <v>27</v>
      </c>
      <c r="C315" s="2" t="s">
        <v>28</v>
      </c>
      <c r="D315" s="2" t="s">
        <v>991</v>
      </c>
      <c r="E315" s="3" t="s">
        <v>992</v>
      </c>
      <c r="F315" s="4" t="s">
        <v>455</v>
      </c>
      <c r="G315" s="4" t="s">
        <v>993</v>
      </c>
      <c r="H315" s="10"/>
      <c r="I315" s="4" t="s">
        <v>41</v>
      </c>
      <c r="J315" s="6" t="s">
        <v>994</v>
      </c>
      <c r="K315" s="7">
        <v>11.0</v>
      </c>
      <c r="L315" s="8" t="str">
        <f>UPPER(G315)</f>
        <v>SAN DIEGO</v>
      </c>
      <c r="O315" s="10"/>
      <c r="P315" s="10"/>
      <c r="Q315" s="10"/>
      <c r="R315" s="10"/>
      <c r="S315" s="10"/>
      <c r="T315" s="10"/>
      <c r="U315" s="10"/>
      <c r="V315" s="10"/>
      <c r="W315" s="10"/>
      <c r="X315" s="10"/>
      <c r="Y315" s="10"/>
      <c r="Z315" s="10"/>
    </row>
    <row r="316" ht="14.25" hidden="1" customHeight="1">
      <c r="A316" s="13" t="s">
        <v>995</v>
      </c>
      <c r="B316" s="4" t="s">
        <v>27</v>
      </c>
      <c r="C316" s="4" t="s">
        <v>28</v>
      </c>
      <c r="D316" s="4" t="s">
        <v>996</v>
      </c>
      <c r="E316" s="4">
        <v>3.229457091E9</v>
      </c>
      <c r="F316" s="4" t="s">
        <v>30</v>
      </c>
      <c r="G316" s="4" t="s">
        <v>31</v>
      </c>
      <c r="H316" s="14"/>
      <c r="I316" s="4" t="s">
        <v>32</v>
      </c>
      <c r="J316" s="14"/>
      <c r="K316" s="14"/>
      <c r="L316" s="14"/>
    </row>
    <row r="317" ht="14.25" hidden="1" customHeight="1">
      <c r="A317" s="13" t="s">
        <v>997</v>
      </c>
      <c r="B317" s="4" t="s">
        <v>27</v>
      </c>
      <c r="C317" s="4" t="s">
        <v>28</v>
      </c>
      <c r="D317" s="4" t="s">
        <v>998</v>
      </c>
      <c r="E317" s="4">
        <v>3.124265466E9</v>
      </c>
      <c r="F317" s="4" t="s">
        <v>30</v>
      </c>
      <c r="G317" s="4" t="s">
        <v>35</v>
      </c>
      <c r="H317" s="14"/>
      <c r="I317" s="4" t="s">
        <v>32</v>
      </c>
      <c r="J317" s="14"/>
      <c r="K317" s="14"/>
      <c r="L317" s="14"/>
    </row>
    <row r="318" ht="14.25" hidden="1" customHeight="1">
      <c r="A318" s="13" t="s">
        <v>999</v>
      </c>
      <c r="B318" s="4" t="s">
        <v>27</v>
      </c>
      <c r="C318" s="4" t="s">
        <v>28</v>
      </c>
      <c r="D318" s="4" t="s">
        <v>1000</v>
      </c>
      <c r="E318" s="4">
        <v>3.229457091E9</v>
      </c>
      <c r="F318" s="4" t="s">
        <v>30</v>
      </c>
      <c r="G318" s="4" t="s">
        <v>35</v>
      </c>
      <c r="H318" s="14"/>
      <c r="I318" s="4" t="s">
        <v>32</v>
      </c>
      <c r="J318" s="14"/>
      <c r="K318" s="14"/>
      <c r="L318" s="14"/>
    </row>
    <row r="319" ht="14.25" customHeight="1">
      <c r="A319" s="1">
        <v>6.3550875E7</v>
      </c>
      <c r="B319" s="2" t="s">
        <v>27</v>
      </c>
      <c r="C319" s="2" t="s">
        <v>28</v>
      </c>
      <c r="D319" s="2" t="s">
        <v>1001</v>
      </c>
      <c r="E319" s="3" t="s">
        <v>1002</v>
      </c>
      <c r="F319" s="4" t="s">
        <v>38</v>
      </c>
      <c r="G319" s="4" t="s">
        <v>39</v>
      </c>
      <c r="H319" s="33" t="s">
        <v>40</v>
      </c>
      <c r="I319" s="4" t="s">
        <v>41</v>
      </c>
      <c r="J319" s="6" t="s">
        <v>1003</v>
      </c>
      <c r="K319" s="7">
        <v>10.0</v>
      </c>
      <c r="L319" s="8" t="str">
        <f t="shared" ref="L319:L332" si="39">UPPER(G319)</f>
        <v>BUCARAMANGA</v>
      </c>
      <c r="M319" s="9">
        <v>1.0</v>
      </c>
      <c r="N319" s="9" t="s">
        <v>44</v>
      </c>
      <c r="O319" s="10" t="s">
        <v>59</v>
      </c>
      <c r="P319" s="10"/>
      <c r="Q319" s="10"/>
      <c r="R319" s="10"/>
      <c r="S319" s="10"/>
      <c r="T319" s="10"/>
      <c r="U319" s="10"/>
      <c r="V319" s="10"/>
      <c r="W319" s="10"/>
      <c r="X319" s="10"/>
      <c r="Y319" s="10"/>
      <c r="Z319" s="10"/>
    </row>
    <row r="320" ht="14.25" customHeight="1">
      <c r="A320" s="1">
        <v>1.000076963E9</v>
      </c>
      <c r="B320" s="2" t="s">
        <v>27</v>
      </c>
      <c r="C320" s="2" t="s">
        <v>28</v>
      </c>
      <c r="D320" s="2" t="s">
        <v>1004</v>
      </c>
      <c r="E320" s="3" t="s">
        <v>1005</v>
      </c>
      <c r="F320" s="4" t="s">
        <v>69</v>
      </c>
      <c r="G320" s="4" t="s">
        <v>69</v>
      </c>
      <c r="H320" s="18"/>
      <c r="I320" s="4" t="s">
        <v>51</v>
      </c>
      <c r="J320" s="6" t="s">
        <v>1006</v>
      </c>
      <c r="K320" s="7">
        <v>13.0</v>
      </c>
      <c r="L320" s="8" t="str">
        <f t="shared" si="39"/>
        <v>BOGOTA</v>
      </c>
      <c r="M320" s="9"/>
      <c r="N320" s="9" t="s">
        <v>59</v>
      </c>
      <c r="O320" s="10"/>
      <c r="P320" s="35" t="s">
        <v>1007</v>
      </c>
      <c r="Q320" s="10"/>
      <c r="R320" s="10"/>
      <c r="S320" s="10"/>
      <c r="T320" s="10"/>
      <c r="U320" s="10"/>
      <c r="V320" s="10"/>
      <c r="W320" s="10"/>
      <c r="X320" s="10"/>
      <c r="Y320" s="10"/>
      <c r="Z320" s="10"/>
    </row>
    <row r="321" ht="14.25" customHeight="1">
      <c r="A321" s="1">
        <v>1.010960217E9</v>
      </c>
      <c r="B321" s="2" t="s">
        <v>27</v>
      </c>
      <c r="C321" s="2" t="s">
        <v>28</v>
      </c>
      <c r="D321" s="2" t="s">
        <v>1008</v>
      </c>
      <c r="E321" s="3" t="s">
        <v>1009</v>
      </c>
      <c r="F321" s="4" t="s">
        <v>212</v>
      </c>
      <c r="G321" s="4" t="s">
        <v>213</v>
      </c>
      <c r="H321" s="10"/>
      <c r="I321" s="4" t="s">
        <v>70</v>
      </c>
      <c r="J321" s="6" t="s">
        <v>1010</v>
      </c>
      <c r="K321" s="7">
        <v>3.0</v>
      </c>
      <c r="L321" s="8" t="str">
        <f t="shared" si="39"/>
        <v>BARRANCO DE LOBA</v>
      </c>
      <c r="O321" s="10"/>
      <c r="P321" s="10"/>
      <c r="Q321" s="10"/>
      <c r="R321" s="10"/>
      <c r="S321" s="10"/>
      <c r="T321" s="10"/>
      <c r="U321" s="10"/>
      <c r="V321" s="10"/>
      <c r="W321" s="10"/>
      <c r="X321" s="10"/>
      <c r="Y321" s="10"/>
      <c r="Z321" s="10"/>
    </row>
    <row r="322" ht="14.25" customHeight="1">
      <c r="A322" s="1">
        <v>1.001220064E9</v>
      </c>
      <c r="B322" s="2" t="s">
        <v>27</v>
      </c>
      <c r="C322" s="2" t="s">
        <v>28</v>
      </c>
      <c r="D322" s="2" t="s">
        <v>1011</v>
      </c>
      <c r="E322" s="3" t="s">
        <v>1012</v>
      </c>
      <c r="F322" s="4" t="s">
        <v>69</v>
      </c>
      <c r="G322" s="4" t="s">
        <v>69</v>
      </c>
      <c r="H322" s="18"/>
      <c r="I322" s="4" t="s">
        <v>51</v>
      </c>
      <c r="J322" s="6" t="s">
        <v>803</v>
      </c>
      <c r="K322" s="7">
        <v>14.0</v>
      </c>
      <c r="L322" s="8" t="str">
        <f t="shared" si="39"/>
        <v>BOGOTA</v>
      </c>
      <c r="M322" s="9">
        <v>1.0</v>
      </c>
      <c r="N322" s="11" t="s">
        <v>59</v>
      </c>
      <c r="O322" s="10"/>
      <c r="P322" s="10"/>
      <c r="Q322" s="10"/>
      <c r="R322" s="10"/>
      <c r="S322" s="10"/>
      <c r="T322" s="10"/>
      <c r="U322" s="10"/>
      <c r="V322" s="10"/>
      <c r="W322" s="10"/>
      <c r="X322" s="10"/>
      <c r="Y322" s="10"/>
      <c r="Z322" s="10"/>
    </row>
    <row r="323" ht="14.25" customHeight="1">
      <c r="A323" s="1">
        <v>1.104129982E9</v>
      </c>
      <c r="B323" s="2" t="s">
        <v>27</v>
      </c>
      <c r="C323" s="2" t="s">
        <v>551</v>
      </c>
      <c r="D323" s="2" t="s">
        <v>1013</v>
      </c>
      <c r="E323" s="3" t="s">
        <v>1014</v>
      </c>
      <c r="F323" s="4" t="s">
        <v>38</v>
      </c>
      <c r="G323" s="4" t="s">
        <v>113</v>
      </c>
      <c r="H323" s="15" t="s">
        <v>466</v>
      </c>
      <c r="I323" s="4" t="s">
        <v>419</v>
      </c>
      <c r="J323" s="6" t="s">
        <v>1015</v>
      </c>
      <c r="K323" s="7">
        <v>5.0</v>
      </c>
      <c r="L323" s="8" t="str">
        <f t="shared" si="39"/>
        <v>BARRANCABERMEJA</v>
      </c>
      <c r="M323" s="9"/>
      <c r="N323" s="9" t="s">
        <v>44</v>
      </c>
      <c r="O323" s="23" t="s">
        <v>59</v>
      </c>
      <c r="P323" s="10"/>
      <c r="Q323" s="10"/>
      <c r="R323" s="10"/>
      <c r="S323" s="10"/>
      <c r="T323" s="10"/>
      <c r="U323" s="10"/>
      <c r="V323" s="10"/>
      <c r="W323" s="10"/>
      <c r="X323" s="10"/>
      <c r="Y323" s="10"/>
      <c r="Z323" s="10"/>
    </row>
    <row r="324" ht="14.25" customHeight="1">
      <c r="A324" s="1">
        <v>1.005298108E9</v>
      </c>
      <c r="B324" s="2" t="s">
        <v>27</v>
      </c>
      <c r="C324" s="2" t="s">
        <v>28</v>
      </c>
      <c r="D324" s="2" t="s">
        <v>1016</v>
      </c>
      <c r="E324" s="3" t="s">
        <v>1017</v>
      </c>
      <c r="F324" s="4" t="s">
        <v>38</v>
      </c>
      <c r="G324" s="4" t="s">
        <v>39</v>
      </c>
      <c r="H324" s="2" t="s">
        <v>40</v>
      </c>
      <c r="I324" s="4" t="s">
        <v>41</v>
      </c>
      <c r="J324" s="6" t="s">
        <v>99</v>
      </c>
      <c r="K324" s="7">
        <v>21.0</v>
      </c>
      <c r="L324" s="8" t="str">
        <f t="shared" si="39"/>
        <v>BUCARAMANGA</v>
      </c>
      <c r="O324" s="10"/>
      <c r="P324" s="10"/>
      <c r="Q324" s="10"/>
      <c r="R324" s="10"/>
      <c r="S324" s="10"/>
      <c r="T324" s="10"/>
      <c r="U324" s="10"/>
      <c r="V324" s="10"/>
      <c r="W324" s="10"/>
      <c r="X324" s="10"/>
      <c r="Y324" s="10"/>
      <c r="Z324" s="10"/>
    </row>
    <row r="325" ht="14.25" customHeight="1">
      <c r="A325" s="1">
        <v>1.095838097E9</v>
      </c>
      <c r="B325" s="2" t="s">
        <v>27</v>
      </c>
      <c r="C325" s="2" t="s">
        <v>28</v>
      </c>
      <c r="D325" s="2" t="s">
        <v>1018</v>
      </c>
      <c r="E325" s="3" t="s">
        <v>1019</v>
      </c>
      <c r="F325" s="4" t="s">
        <v>38</v>
      </c>
      <c r="G325" s="4" t="s">
        <v>39</v>
      </c>
      <c r="H325" s="2" t="s">
        <v>40</v>
      </c>
      <c r="I325" s="4" t="s">
        <v>41</v>
      </c>
      <c r="J325" s="6" t="s">
        <v>402</v>
      </c>
      <c r="K325" s="7">
        <v>18.0</v>
      </c>
      <c r="L325" s="8" t="str">
        <f t="shared" si="39"/>
        <v>BUCARAMANGA</v>
      </c>
      <c r="O325" s="10"/>
      <c r="P325" s="10"/>
      <c r="Q325" s="10"/>
      <c r="R325" s="10"/>
      <c r="S325" s="10"/>
      <c r="T325" s="10"/>
      <c r="U325" s="10"/>
      <c r="V325" s="10"/>
      <c r="W325" s="10"/>
      <c r="X325" s="10"/>
      <c r="Y325" s="10"/>
      <c r="Z325" s="10"/>
    </row>
    <row r="326" ht="14.25" customHeight="1">
      <c r="A326" s="1" t="s">
        <v>1020</v>
      </c>
      <c r="B326" s="2" t="s">
        <v>27</v>
      </c>
      <c r="C326" s="2" t="s">
        <v>28</v>
      </c>
      <c r="D326" s="2" t="s">
        <v>1021</v>
      </c>
      <c r="E326" s="3" t="s">
        <v>1022</v>
      </c>
      <c r="F326" s="4" t="s">
        <v>38</v>
      </c>
      <c r="G326" s="4" t="s">
        <v>39</v>
      </c>
      <c r="H326" s="4" t="s">
        <v>40</v>
      </c>
      <c r="I326" s="4" t="s">
        <v>561</v>
      </c>
      <c r="J326" s="6" t="s">
        <v>230</v>
      </c>
      <c r="K326" s="7">
        <v>17.0</v>
      </c>
      <c r="L326" s="8" t="str">
        <f t="shared" si="39"/>
        <v>BUCARAMANGA</v>
      </c>
      <c r="O326" s="10"/>
    </row>
    <row r="327" ht="14.25" customHeight="1">
      <c r="A327" s="1" t="s">
        <v>1023</v>
      </c>
      <c r="B327" s="2" t="s">
        <v>65</v>
      </c>
      <c r="C327" s="2" t="s">
        <v>28</v>
      </c>
      <c r="D327" s="2" t="s">
        <v>1024</v>
      </c>
      <c r="E327" s="3" t="s">
        <v>1025</v>
      </c>
      <c r="F327" s="4" t="s">
        <v>38</v>
      </c>
      <c r="G327" s="4" t="s">
        <v>113</v>
      </c>
      <c r="H327" s="14"/>
      <c r="I327" s="4" t="s">
        <v>540</v>
      </c>
      <c r="J327" s="6"/>
      <c r="K327" s="7"/>
      <c r="L327" s="8" t="str">
        <f t="shared" si="39"/>
        <v>BARRANCABERMEJA</v>
      </c>
      <c r="M327" s="9"/>
      <c r="N327" s="9" t="s">
        <v>59</v>
      </c>
      <c r="O327" s="10"/>
    </row>
    <row r="328" ht="14.25" customHeight="1">
      <c r="A328" s="1" t="s">
        <v>1026</v>
      </c>
      <c r="B328" s="2" t="s">
        <v>27</v>
      </c>
      <c r="C328" s="2" t="s">
        <v>28</v>
      </c>
      <c r="D328" s="2" t="s">
        <v>1027</v>
      </c>
      <c r="E328" s="3" t="s">
        <v>1028</v>
      </c>
      <c r="F328" s="4" t="s">
        <v>38</v>
      </c>
      <c r="G328" s="4" t="s">
        <v>39</v>
      </c>
      <c r="H328" s="14"/>
      <c r="I328" s="4" t="s">
        <v>358</v>
      </c>
      <c r="J328" s="6" t="s">
        <v>300</v>
      </c>
      <c r="K328" s="7">
        <v>4.0</v>
      </c>
      <c r="L328" s="8" t="str">
        <f t="shared" si="39"/>
        <v>BUCARAMANGA</v>
      </c>
      <c r="O328" s="10"/>
    </row>
    <row r="329" ht="14.25" customHeight="1">
      <c r="A329" s="1" t="s">
        <v>1029</v>
      </c>
      <c r="B329" s="2" t="s">
        <v>27</v>
      </c>
      <c r="C329" s="2" t="s">
        <v>28</v>
      </c>
      <c r="D329" s="2" t="s">
        <v>1030</v>
      </c>
      <c r="E329" s="3" t="s">
        <v>1031</v>
      </c>
      <c r="F329" s="4" t="s">
        <v>69</v>
      </c>
      <c r="G329" s="4" t="s">
        <v>69</v>
      </c>
      <c r="H329" s="14"/>
      <c r="I329" s="4" t="s">
        <v>51</v>
      </c>
      <c r="J329" s="6" t="s">
        <v>1032</v>
      </c>
      <c r="K329" s="7">
        <v>26.0</v>
      </c>
      <c r="L329" s="8" t="str">
        <f t="shared" si="39"/>
        <v>BOGOTA</v>
      </c>
      <c r="O329" s="10"/>
    </row>
    <row r="330" ht="14.25" customHeight="1">
      <c r="A330" s="1" t="s">
        <v>1033</v>
      </c>
      <c r="B330" s="2" t="s">
        <v>27</v>
      </c>
      <c r="C330" s="2" t="s">
        <v>28</v>
      </c>
      <c r="D330" s="2" t="s">
        <v>1034</v>
      </c>
      <c r="E330" s="3" t="s">
        <v>1035</v>
      </c>
      <c r="F330" s="4" t="s">
        <v>38</v>
      </c>
      <c r="G330" s="4" t="s">
        <v>201</v>
      </c>
      <c r="H330" s="4" t="s">
        <v>1036</v>
      </c>
      <c r="I330" s="4" t="s">
        <v>561</v>
      </c>
      <c r="J330" s="6" t="s">
        <v>202</v>
      </c>
      <c r="K330" s="7">
        <v>15.0</v>
      </c>
      <c r="L330" s="8" t="str">
        <f t="shared" si="39"/>
        <v>LEBRIJA</v>
      </c>
      <c r="O330" s="10"/>
    </row>
    <row r="331" ht="14.25" customHeight="1">
      <c r="A331" s="1" t="s">
        <v>1037</v>
      </c>
      <c r="B331" s="2" t="s">
        <v>27</v>
      </c>
      <c r="C331" s="2" t="s">
        <v>28</v>
      </c>
      <c r="D331" s="2" t="s">
        <v>1038</v>
      </c>
      <c r="E331" s="3" t="s">
        <v>1039</v>
      </c>
      <c r="F331" s="4" t="s">
        <v>38</v>
      </c>
      <c r="G331" s="4" t="s">
        <v>39</v>
      </c>
      <c r="H331" s="4" t="s">
        <v>40</v>
      </c>
      <c r="I331" s="4" t="s">
        <v>561</v>
      </c>
      <c r="J331" s="6" t="s">
        <v>1040</v>
      </c>
      <c r="K331" s="7">
        <v>21.0</v>
      </c>
      <c r="L331" s="8" t="str">
        <f t="shared" si="39"/>
        <v>BUCARAMANGA</v>
      </c>
      <c r="O331" s="10"/>
    </row>
    <row r="332" ht="14.25" customHeight="1">
      <c r="A332" s="1" t="s">
        <v>1041</v>
      </c>
      <c r="B332" s="2" t="s">
        <v>27</v>
      </c>
      <c r="C332" s="2" t="s">
        <v>28</v>
      </c>
      <c r="D332" s="2" t="s">
        <v>1042</v>
      </c>
      <c r="E332" s="3" t="s">
        <v>1043</v>
      </c>
      <c r="F332" s="4" t="s">
        <v>38</v>
      </c>
      <c r="G332" s="4" t="s">
        <v>39</v>
      </c>
      <c r="H332" s="4" t="s">
        <v>58</v>
      </c>
      <c r="I332" s="4" t="s">
        <v>182</v>
      </c>
      <c r="J332" s="6" t="s">
        <v>399</v>
      </c>
      <c r="K332" s="7">
        <v>8.0</v>
      </c>
      <c r="L332" s="8" t="str">
        <f t="shared" si="39"/>
        <v>BUCARAMANGA</v>
      </c>
      <c r="O332" s="10"/>
    </row>
    <row r="333" ht="14.25" hidden="1" customHeight="1">
      <c r="A333" s="13" t="s">
        <v>1044</v>
      </c>
      <c r="B333" s="4" t="s">
        <v>27</v>
      </c>
      <c r="C333" s="4" t="s">
        <v>28</v>
      </c>
      <c r="D333" s="4" t="s">
        <v>1045</v>
      </c>
      <c r="E333" s="4">
        <v>3.229457091E9</v>
      </c>
      <c r="F333" s="4" t="s">
        <v>30</v>
      </c>
      <c r="G333" s="4" t="s">
        <v>31</v>
      </c>
      <c r="H333" s="14"/>
      <c r="I333" s="4" t="s">
        <v>32</v>
      </c>
      <c r="J333" s="14"/>
      <c r="K333" s="14"/>
      <c r="L333" s="14"/>
    </row>
    <row r="334" ht="14.25" hidden="1" customHeight="1">
      <c r="A334" s="13" t="s">
        <v>1046</v>
      </c>
      <c r="B334" s="4" t="s">
        <v>27</v>
      </c>
      <c r="C334" s="4" t="s">
        <v>28</v>
      </c>
      <c r="D334" s="4" t="s">
        <v>1047</v>
      </c>
      <c r="E334" s="4">
        <v>3.016379406E9</v>
      </c>
      <c r="F334" s="4" t="s">
        <v>30</v>
      </c>
      <c r="G334" s="4" t="s">
        <v>31</v>
      </c>
      <c r="H334" s="14"/>
      <c r="I334" s="4" t="s">
        <v>32</v>
      </c>
      <c r="J334" s="14"/>
      <c r="K334" s="14"/>
      <c r="L334" s="14"/>
    </row>
    <row r="335" ht="14.25" customHeight="1">
      <c r="A335" s="1" t="s">
        <v>1048</v>
      </c>
      <c r="B335" s="2" t="s">
        <v>27</v>
      </c>
      <c r="C335" s="2" t="s">
        <v>28</v>
      </c>
      <c r="D335" s="2" t="s">
        <v>1049</v>
      </c>
      <c r="E335" s="3" t="s">
        <v>1050</v>
      </c>
      <c r="F335" s="4" t="s">
        <v>69</v>
      </c>
      <c r="G335" s="4" t="s">
        <v>69</v>
      </c>
      <c r="H335" s="4" t="s">
        <v>133</v>
      </c>
      <c r="I335" s="4" t="s">
        <v>51</v>
      </c>
      <c r="J335" s="6"/>
      <c r="K335" s="7"/>
      <c r="L335" s="8" t="str">
        <f t="shared" ref="L335:L338" si="40">UPPER(G335)</f>
        <v>BOGOTA</v>
      </c>
      <c r="M335" s="9"/>
      <c r="N335" s="9" t="s">
        <v>59</v>
      </c>
      <c r="O335" s="10"/>
      <c r="P335" s="11" t="s">
        <v>1051</v>
      </c>
    </row>
    <row r="336" ht="14.25" customHeight="1">
      <c r="A336" s="1" t="s">
        <v>1052</v>
      </c>
      <c r="B336" s="2" t="s">
        <v>27</v>
      </c>
      <c r="C336" s="2" t="s">
        <v>28</v>
      </c>
      <c r="D336" s="2" t="s">
        <v>1053</v>
      </c>
      <c r="E336" s="3" t="s">
        <v>1054</v>
      </c>
      <c r="F336" s="4" t="s">
        <v>38</v>
      </c>
      <c r="G336" s="4" t="s">
        <v>81</v>
      </c>
      <c r="H336" s="4" t="s">
        <v>1055</v>
      </c>
      <c r="I336" s="4" t="s">
        <v>561</v>
      </c>
      <c r="J336" s="6"/>
      <c r="K336" s="7"/>
      <c r="L336" s="8" t="str">
        <f t="shared" si="40"/>
        <v>FLORIDABLANCA</v>
      </c>
      <c r="M336" s="9"/>
      <c r="N336" s="9" t="s">
        <v>59</v>
      </c>
      <c r="O336" s="10"/>
      <c r="P336" s="11" t="s">
        <v>1051</v>
      </c>
    </row>
    <row r="337" ht="14.25" customHeight="1">
      <c r="A337" s="1" t="s">
        <v>1056</v>
      </c>
      <c r="B337" s="2" t="s">
        <v>27</v>
      </c>
      <c r="C337" s="2" t="s">
        <v>28</v>
      </c>
      <c r="D337" s="2" t="s">
        <v>1057</v>
      </c>
      <c r="E337" s="3" t="s">
        <v>1058</v>
      </c>
      <c r="F337" s="4" t="s">
        <v>38</v>
      </c>
      <c r="G337" s="4" t="s">
        <v>81</v>
      </c>
      <c r="H337" s="14"/>
      <c r="I337" s="4" t="s">
        <v>561</v>
      </c>
      <c r="J337" s="6" t="s">
        <v>1059</v>
      </c>
      <c r="K337" s="7">
        <v>19.0</v>
      </c>
      <c r="L337" s="8" t="str">
        <f t="shared" si="40"/>
        <v>FLORIDABLANCA</v>
      </c>
      <c r="O337" s="10"/>
    </row>
    <row r="338" ht="14.25" customHeight="1">
      <c r="A338" s="1" t="s">
        <v>1060</v>
      </c>
      <c r="B338" s="2" t="s">
        <v>27</v>
      </c>
      <c r="C338" s="2" t="s">
        <v>551</v>
      </c>
      <c r="D338" s="2" t="s">
        <v>1061</v>
      </c>
      <c r="E338" s="3" t="s">
        <v>1062</v>
      </c>
      <c r="F338" s="4" t="s">
        <v>38</v>
      </c>
      <c r="G338" s="4" t="s">
        <v>39</v>
      </c>
      <c r="H338" s="14" t="s">
        <v>1063</v>
      </c>
      <c r="I338" s="4" t="s">
        <v>76</v>
      </c>
      <c r="J338" s="6" t="s">
        <v>1064</v>
      </c>
      <c r="K338" s="25">
        <v>1.0</v>
      </c>
      <c r="L338" s="8" t="str">
        <f t="shared" si="40"/>
        <v>BUCARAMANGA</v>
      </c>
      <c r="O338" s="10"/>
    </row>
    <row r="339" ht="14.25" hidden="1" customHeight="1">
      <c r="A339" s="13" t="s">
        <v>1065</v>
      </c>
      <c r="B339" s="4" t="s">
        <v>27</v>
      </c>
      <c r="C339" s="4" t="s">
        <v>28</v>
      </c>
      <c r="D339" s="4" t="s">
        <v>1066</v>
      </c>
      <c r="E339" s="4">
        <v>3.118713141E9</v>
      </c>
      <c r="F339" s="4" t="s">
        <v>30</v>
      </c>
      <c r="G339" s="4" t="s">
        <v>35</v>
      </c>
      <c r="H339" s="14"/>
      <c r="I339" s="4" t="s">
        <v>32</v>
      </c>
      <c r="J339" s="14"/>
      <c r="K339" s="14"/>
      <c r="L339" s="14"/>
    </row>
    <row r="340" ht="14.25" hidden="1" customHeight="1">
      <c r="A340" s="13" t="s">
        <v>1067</v>
      </c>
      <c r="B340" s="4" t="s">
        <v>27</v>
      </c>
      <c r="C340" s="4" t="s">
        <v>28</v>
      </c>
      <c r="D340" s="4" t="s">
        <v>1068</v>
      </c>
      <c r="E340" s="4">
        <v>3.229457091E9</v>
      </c>
      <c r="F340" s="4" t="s">
        <v>30</v>
      </c>
      <c r="G340" s="4" t="s">
        <v>35</v>
      </c>
      <c r="H340" s="14"/>
      <c r="I340" s="4" t="s">
        <v>32</v>
      </c>
      <c r="J340" s="14"/>
      <c r="K340" s="14"/>
      <c r="L340" s="14"/>
    </row>
    <row r="341" ht="14.25" hidden="1" customHeight="1">
      <c r="A341" s="13" t="s">
        <v>1069</v>
      </c>
      <c r="B341" s="4" t="s">
        <v>27</v>
      </c>
      <c r="C341" s="4" t="s">
        <v>28</v>
      </c>
      <c r="D341" s="4" t="s">
        <v>1070</v>
      </c>
      <c r="E341" s="4">
        <v>3.22731914E9</v>
      </c>
      <c r="F341" s="4" t="s">
        <v>30</v>
      </c>
      <c r="G341" s="4" t="s">
        <v>35</v>
      </c>
      <c r="H341" s="14"/>
      <c r="I341" s="4" t="s">
        <v>32</v>
      </c>
      <c r="J341" s="14"/>
      <c r="K341" s="14"/>
      <c r="L341" s="14"/>
    </row>
    <row r="342" ht="14.25" hidden="1" customHeight="1">
      <c r="A342" s="13" t="s">
        <v>1071</v>
      </c>
      <c r="B342" s="4" t="s">
        <v>27</v>
      </c>
      <c r="C342" s="4" t="s">
        <v>28</v>
      </c>
      <c r="D342" s="4" t="s">
        <v>1072</v>
      </c>
      <c r="E342" s="4">
        <v>3.118713141E9</v>
      </c>
      <c r="F342" s="4" t="s">
        <v>30</v>
      </c>
      <c r="G342" s="4" t="s">
        <v>35</v>
      </c>
      <c r="H342" s="14"/>
      <c r="I342" s="4" t="s">
        <v>32</v>
      </c>
      <c r="J342" s="14"/>
      <c r="K342" s="14"/>
      <c r="L342" s="14"/>
    </row>
    <row r="343" ht="14.25" customHeight="1">
      <c r="A343" s="1" t="s">
        <v>1073</v>
      </c>
      <c r="B343" s="2" t="s">
        <v>27</v>
      </c>
      <c r="C343" s="2" t="s">
        <v>28</v>
      </c>
      <c r="D343" s="2" t="s">
        <v>1074</v>
      </c>
      <c r="E343" s="3" t="s">
        <v>1075</v>
      </c>
      <c r="F343" s="4" t="s">
        <v>38</v>
      </c>
      <c r="G343" s="4" t="s">
        <v>1076</v>
      </c>
      <c r="H343" s="14" t="s">
        <v>1077</v>
      </c>
      <c r="I343" s="4" t="s">
        <v>561</v>
      </c>
      <c r="J343" s="6" t="s">
        <v>1078</v>
      </c>
      <c r="K343" s="25">
        <v>11.0</v>
      </c>
      <c r="L343" s="8" t="str">
        <f>UPPER(G343)</f>
        <v>RIONEGRO</v>
      </c>
      <c r="O343" s="10"/>
    </row>
    <row r="344" ht="14.25" hidden="1" customHeight="1">
      <c r="A344" s="13" t="s">
        <v>1079</v>
      </c>
      <c r="B344" s="4" t="s">
        <v>27</v>
      </c>
      <c r="C344" s="4" t="s">
        <v>28</v>
      </c>
      <c r="D344" s="4" t="s">
        <v>1080</v>
      </c>
      <c r="E344" s="4">
        <v>3.17297696E9</v>
      </c>
      <c r="F344" s="4" t="s">
        <v>30</v>
      </c>
      <c r="G344" s="4" t="s">
        <v>35</v>
      </c>
      <c r="H344" s="14"/>
      <c r="I344" s="4" t="s">
        <v>32</v>
      </c>
      <c r="J344" s="14"/>
      <c r="K344" s="14"/>
      <c r="L344" s="14"/>
    </row>
    <row r="345" ht="14.25" customHeight="1">
      <c r="A345" s="1" t="s">
        <v>1081</v>
      </c>
      <c r="B345" s="2" t="s">
        <v>27</v>
      </c>
      <c r="C345" s="2" t="s">
        <v>28</v>
      </c>
      <c r="D345" s="2" t="s">
        <v>1082</v>
      </c>
      <c r="E345" s="3" t="s">
        <v>1083</v>
      </c>
      <c r="F345" s="4" t="s">
        <v>38</v>
      </c>
      <c r="G345" s="4" t="s">
        <v>81</v>
      </c>
      <c r="H345" s="14" t="s">
        <v>1084</v>
      </c>
      <c r="I345" s="4" t="s">
        <v>540</v>
      </c>
      <c r="J345" s="6" t="s">
        <v>638</v>
      </c>
      <c r="K345" s="25">
        <v>23.0</v>
      </c>
      <c r="L345" s="8" t="str">
        <f>UPPER(G345)</f>
        <v>FLORIDABLANCA</v>
      </c>
      <c r="O345" s="10"/>
    </row>
    <row r="346" ht="14.25" hidden="1" customHeight="1">
      <c r="A346" s="13" t="s">
        <v>1085</v>
      </c>
      <c r="B346" s="4" t="s">
        <v>27</v>
      </c>
      <c r="C346" s="4" t="s">
        <v>28</v>
      </c>
      <c r="D346" s="4" t="s">
        <v>1086</v>
      </c>
      <c r="E346" s="4">
        <v>3.133733641E9</v>
      </c>
      <c r="F346" s="4" t="s">
        <v>30</v>
      </c>
      <c r="G346" s="4" t="s">
        <v>35</v>
      </c>
      <c r="H346" s="14"/>
      <c r="I346" s="4" t="s">
        <v>32</v>
      </c>
      <c r="J346" s="14"/>
      <c r="K346" s="14"/>
      <c r="L346" s="14"/>
    </row>
    <row r="347" ht="14.25" customHeight="1">
      <c r="A347" s="1" t="s">
        <v>1087</v>
      </c>
      <c r="B347" s="2" t="s">
        <v>27</v>
      </c>
      <c r="C347" s="2" t="s">
        <v>28</v>
      </c>
      <c r="D347" s="2" t="s">
        <v>1088</v>
      </c>
      <c r="E347" s="3" t="s">
        <v>1089</v>
      </c>
      <c r="F347" s="4" t="s">
        <v>38</v>
      </c>
      <c r="G347" s="4" t="s">
        <v>39</v>
      </c>
      <c r="H347" s="14" t="s">
        <v>1090</v>
      </c>
      <c r="I347" s="4" t="s">
        <v>76</v>
      </c>
      <c r="J347" s="6" t="s">
        <v>585</v>
      </c>
      <c r="K347" s="25">
        <v>18.0</v>
      </c>
      <c r="L347" s="8" t="str">
        <f t="shared" ref="L347:L350" si="41">UPPER(G347)</f>
        <v>BUCARAMANGA</v>
      </c>
      <c r="O347" s="10"/>
    </row>
    <row r="348" ht="14.25" customHeight="1">
      <c r="A348" s="1" t="s">
        <v>1091</v>
      </c>
      <c r="B348" s="2" t="s">
        <v>27</v>
      </c>
      <c r="C348" s="2" t="s">
        <v>66</v>
      </c>
      <c r="D348" s="2" t="s">
        <v>1092</v>
      </c>
      <c r="E348" s="3" t="s">
        <v>1093</v>
      </c>
      <c r="F348" s="4" t="s">
        <v>38</v>
      </c>
      <c r="G348" s="4" t="s">
        <v>39</v>
      </c>
      <c r="H348" s="14" t="s">
        <v>1094</v>
      </c>
      <c r="I348" s="4" t="s">
        <v>540</v>
      </c>
      <c r="J348" s="6" t="s">
        <v>328</v>
      </c>
      <c r="K348" s="25">
        <v>28.0</v>
      </c>
      <c r="L348" s="8" t="str">
        <f t="shared" si="41"/>
        <v>BUCARAMANGA</v>
      </c>
      <c r="O348" s="10"/>
    </row>
    <row r="349" ht="14.25" customHeight="1">
      <c r="A349" s="1" t="s">
        <v>1095</v>
      </c>
      <c r="B349" s="2" t="s">
        <v>27</v>
      </c>
      <c r="C349" s="2" t="s">
        <v>28</v>
      </c>
      <c r="D349" s="2" t="s">
        <v>1096</v>
      </c>
      <c r="E349" s="3" t="s">
        <v>1097</v>
      </c>
      <c r="F349" s="4" t="s">
        <v>38</v>
      </c>
      <c r="G349" s="4" t="s">
        <v>39</v>
      </c>
      <c r="H349" s="14" t="s">
        <v>1098</v>
      </c>
      <c r="I349" s="4" t="s">
        <v>76</v>
      </c>
      <c r="J349" s="6" t="s">
        <v>1099</v>
      </c>
      <c r="K349" s="25">
        <v>3.0</v>
      </c>
      <c r="L349" s="8" t="str">
        <f t="shared" si="41"/>
        <v>BUCARAMANGA</v>
      </c>
      <c r="O349" s="10"/>
    </row>
    <row r="350" ht="14.25" customHeight="1">
      <c r="A350" s="1" t="s">
        <v>1100</v>
      </c>
      <c r="B350" s="2" t="s">
        <v>27</v>
      </c>
      <c r="C350" s="2" t="s">
        <v>66</v>
      </c>
      <c r="D350" s="2" t="s">
        <v>1101</v>
      </c>
      <c r="E350" s="3" t="s">
        <v>1102</v>
      </c>
      <c r="F350" s="4" t="s">
        <v>38</v>
      </c>
      <c r="G350" s="4" t="s">
        <v>113</v>
      </c>
      <c r="H350" s="14" t="s">
        <v>1103</v>
      </c>
      <c r="I350" s="4" t="s">
        <v>540</v>
      </c>
      <c r="J350" s="6" t="s">
        <v>1104</v>
      </c>
      <c r="K350" s="25">
        <v>13.0</v>
      </c>
      <c r="L350" s="8" t="str">
        <f t="shared" si="41"/>
        <v>BARRANCABERMEJA</v>
      </c>
      <c r="O350" s="10"/>
    </row>
    <row r="351" ht="14.25" hidden="1" customHeight="1">
      <c r="A351" s="13" t="s">
        <v>1105</v>
      </c>
      <c r="B351" s="4" t="s">
        <v>27</v>
      </c>
      <c r="C351" s="4" t="s">
        <v>28</v>
      </c>
      <c r="D351" s="4" t="s">
        <v>1106</v>
      </c>
      <c r="E351" s="4">
        <v>3.112822716E9</v>
      </c>
      <c r="F351" s="4" t="s">
        <v>30</v>
      </c>
      <c r="G351" s="4" t="s">
        <v>35</v>
      </c>
      <c r="H351" s="14"/>
      <c r="I351" s="4" t="s">
        <v>32</v>
      </c>
      <c r="J351" s="14"/>
      <c r="K351" s="14"/>
      <c r="L351" s="14"/>
    </row>
    <row r="352" ht="14.25" customHeight="1">
      <c r="A352" s="1" t="s">
        <v>1107</v>
      </c>
      <c r="B352" s="2" t="s">
        <v>27</v>
      </c>
      <c r="C352" s="2" t="s">
        <v>28</v>
      </c>
      <c r="D352" s="2" t="s">
        <v>1108</v>
      </c>
      <c r="E352" s="3" t="s">
        <v>1109</v>
      </c>
      <c r="F352" s="4" t="s">
        <v>38</v>
      </c>
      <c r="G352" s="4" t="s">
        <v>39</v>
      </c>
      <c r="H352" s="14" t="s">
        <v>1110</v>
      </c>
      <c r="I352" s="4" t="s">
        <v>76</v>
      </c>
      <c r="J352" s="6" t="s">
        <v>596</v>
      </c>
      <c r="K352" s="25">
        <v>11.0</v>
      </c>
      <c r="L352" s="8" t="str">
        <f t="shared" ref="L352:L353" si="42">UPPER(G352)</f>
        <v>BUCARAMANGA</v>
      </c>
      <c r="O352" s="10"/>
    </row>
    <row r="353" ht="14.25" customHeight="1">
      <c r="A353" s="1" t="s">
        <v>1111</v>
      </c>
      <c r="B353" s="2" t="s">
        <v>27</v>
      </c>
      <c r="C353" s="2" t="s">
        <v>28</v>
      </c>
      <c r="D353" s="2" t="s">
        <v>1112</v>
      </c>
      <c r="E353" s="3" t="s">
        <v>1113</v>
      </c>
      <c r="F353" s="4" t="s">
        <v>38</v>
      </c>
      <c r="G353" s="4" t="s">
        <v>81</v>
      </c>
      <c r="H353" s="6" t="s">
        <v>1114</v>
      </c>
      <c r="I353" s="4" t="s">
        <v>561</v>
      </c>
      <c r="J353" s="6" t="s">
        <v>1115</v>
      </c>
      <c r="K353" s="25">
        <v>9.0</v>
      </c>
      <c r="L353" s="8" t="str">
        <f t="shared" si="42"/>
        <v>FLORIDABLANCA</v>
      </c>
      <c r="O353" s="10"/>
    </row>
    <row r="354" ht="14.25" hidden="1" customHeight="1">
      <c r="A354" s="13" t="s">
        <v>1116</v>
      </c>
      <c r="B354" s="4" t="s">
        <v>27</v>
      </c>
      <c r="C354" s="4" t="s">
        <v>28</v>
      </c>
      <c r="D354" s="4" t="s">
        <v>1117</v>
      </c>
      <c r="E354" s="4">
        <v>3.22292338E9</v>
      </c>
      <c r="F354" s="4" t="s">
        <v>30</v>
      </c>
      <c r="G354" s="4" t="s">
        <v>31</v>
      </c>
      <c r="H354" s="14"/>
      <c r="I354" s="4" t="s">
        <v>32</v>
      </c>
      <c r="J354" s="14"/>
      <c r="K354" s="14"/>
      <c r="L354" s="14"/>
    </row>
    <row r="355" ht="14.25" hidden="1" customHeight="1">
      <c r="A355" s="13" t="s">
        <v>1118</v>
      </c>
      <c r="B355" s="4" t="s">
        <v>27</v>
      </c>
      <c r="C355" s="4" t="s">
        <v>28</v>
      </c>
      <c r="D355" s="4" t="s">
        <v>1119</v>
      </c>
      <c r="E355" s="4">
        <v>3.227649454E9</v>
      </c>
      <c r="F355" s="4" t="s">
        <v>30</v>
      </c>
      <c r="G355" s="4" t="s">
        <v>35</v>
      </c>
      <c r="H355" s="14"/>
      <c r="I355" s="4" t="s">
        <v>32</v>
      </c>
      <c r="J355" s="14"/>
      <c r="K355" s="14"/>
      <c r="L355" s="14"/>
    </row>
    <row r="356" ht="14.25" hidden="1" customHeight="1">
      <c r="A356" s="13" t="s">
        <v>1120</v>
      </c>
      <c r="B356" s="4" t="s">
        <v>27</v>
      </c>
      <c r="C356" s="4" t="s">
        <v>28</v>
      </c>
      <c r="D356" s="4" t="s">
        <v>1121</v>
      </c>
      <c r="E356" s="4">
        <v>3.22292338E9</v>
      </c>
      <c r="F356" s="4" t="s">
        <v>30</v>
      </c>
      <c r="G356" s="4" t="s">
        <v>31</v>
      </c>
      <c r="H356" s="14"/>
      <c r="I356" s="4" t="s">
        <v>32</v>
      </c>
      <c r="J356" s="14"/>
      <c r="K356" s="14"/>
      <c r="L356" s="14"/>
    </row>
    <row r="357" ht="14.25" hidden="1" customHeight="1">
      <c r="A357" s="13" t="s">
        <v>1122</v>
      </c>
      <c r="B357" s="4" t="s">
        <v>27</v>
      </c>
      <c r="C357" s="4" t="s">
        <v>28</v>
      </c>
      <c r="D357" s="4" t="s">
        <v>1123</v>
      </c>
      <c r="E357" s="4">
        <v>3.22292338E9</v>
      </c>
      <c r="F357" s="4" t="s">
        <v>30</v>
      </c>
      <c r="G357" s="4" t="s">
        <v>31</v>
      </c>
      <c r="H357" s="14"/>
      <c r="I357" s="4" t="s">
        <v>32</v>
      </c>
      <c r="J357" s="14"/>
      <c r="K357" s="14"/>
      <c r="L357" s="14"/>
    </row>
    <row r="358" ht="14.25" customHeight="1">
      <c r="A358" s="1" t="s">
        <v>1124</v>
      </c>
      <c r="B358" s="2" t="s">
        <v>27</v>
      </c>
      <c r="C358" s="2" t="s">
        <v>28</v>
      </c>
      <c r="D358" s="2" t="s">
        <v>1125</v>
      </c>
      <c r="E358" s="3" t="s">
        <v>1126</v>
      </c>
      <c r="F358" s="4" t="s">
        <v>38</v>
      </c>
      <c r="G358" s="4" t="s">
        <v>39</v>
      </c>
      <c r="H358" s="6" t="s">
        <v>1127</v>
      </c>
      <c r="I358" s="4" t="s">
        <v>51</v>
      </c>
      <c r="J358" s="6" t="s">
        <v>171</v>
      </c>
      <c r="K358" s="25">
        <v>2.0</v>
      </c>
      <c r="L358" s="8" t="str">
        <f t="shared" ref="L358:L359" si="43">UPPER(G358)</f>
        <v>BUCARAMANGA</v>
      </c>
      <c r="O358" s="10"/>
    </row>
    <row r="359" ht="14.25" customHeight="1">
      <c r="A359" s="1" t="s">
        <v>1128</v>
      </c>
      <c r="B359" s="2" t="s">
        <v>27</v>
      </c>
      <c r="C359" s="2" t="s">
        <v>28</v>
      </c>
      <c r="D359" s="2" t="s">
        <v>1129</v>
      </c>
      <c r="E359" s="3" t="s">
        <v>1130</v>
      </c>
      <c r="F359" s="4" t="s">
        <v>38</v>
      </c>
      <c r="G359" s="4" t="s">
        <v>81</v>
      </c>
      <c r="H359" s="4" t="s">
        <v>308</v>
      </c>
      <c r="I359" s="4" t="s">
        <v>561</v>
      </c>
      <c r="J359" s="6" t="s">
        <v>353</v>
      </c>
      <c r="K359" s="25">
        <v>8.0</v>
      </c>
      <c r="L359" s="8" t="str">
        <f t="shared" si="43"/>
        <v>FLORIDABLANCA</v>
      </c>
      <c r="O359" s="10"/>
    </row>
    <row r="360" ht="14.25" hidden="1" customHeight="1">
      <c r="A360" s="13" t="s">
        <v>1131</v>
      </c>
      <c r="B360" s="4" t="s">
        <v>27</v>
      </c>
      <c r="C360" s="4" t="s">
        <v>28</v>
      </c>
      <c r="D360" s="4" t="s">
        <v>1132</v>
      </c>
      <c r="E360" s="4">
        <v>3.22292338E9</v>
      </c>
      <c r="F360" s="4" t="s">
        <v>30</v>
      </c>
      <c r="G360" s="4" t="s">
        <v>31</v>
      </c>
      <c r="H360" s="14"/>
      <c r="I360" s="4" t="s">
        <v>32</v>
      </c>
      <c r="J360" s="14"/>
      <c r="K360" s="14"/>
      <c r="L360" s="14"/>
    </row>
    <row r="361" ht="14.25" customHeight="1">
      <c r="A361" s="1" t="s">
        <v>1133</v>
      </c>
      <c r="B361" s="2" t="s">
        <v>27</v>
      </c>
      <c r="C361" s="2" t="s">
        <v>28</v>
      </c>
      <c r="D361" s="2" t="s">
        <v>1134</v>
      </c>
      <c r="E361" s="3" t="s">
        <v>1135</v>
      </c>
      <c r="F361" s="4" t="s">
        <v>38</v>
      </c>
      <c r="G361" s="4" t="s">
        <v>39</v>
      </c>
      <c r="H361" s="14"/>
      <c r="I361" s="4" t="s">
        <v>76</v>
      </c>
      <c r="J361" s="6" t="s">
        <v>596</v>
      </c>
      <c r="K361" s="25">
        <v>30.0</v>
      </c>
      <c r="L361" s="8" t="str">
        <f>UPPER(G361)</f>
        <v>BUCARAMANGA</v>
      </c>
      <c r="O361" s="10"/>
    </row>
    <row r="362" ht="14.25" hidden="1" customHeight="1">
      <c r="A362" s="13" t="s">
        <v>1136</v>
      </c>
      <c r="B362" s="4" t="s">
        <v>27</v>
      </c>
      <c r="C362" s="4" t="s">
        <v>28</v>
      </c>
      <c r="D362" s="4" t="s">
        <v>1137</v>
      </c>
      <c r="E362" s="4">
        <v>3.132541018E9</v>
      </c>
      <c r="F362" s="4" t="s">
        <v>30</v>
      </c>
      <c r="G362" s="4" t="s">
        <v>31</v>
      </c>
      <c r="H362" s="14"/>
      <c r="I362" s="4" t="s">
        <v>32</v>
      </c>
      <c r="J362" s="14"/>
      <c r="K362" s="14"/>
      <c r="L362" s="14"/>
    </row>
    <row r="363" ht="14.25" customHeight="1">
      <c r="A363" s="1" t="s">
        <v>1138</v>
      </c>
      <c r="B363" s="2" t="s">
        <v>27</v>
      </c>
      <c r="C363" s="2" t="s">
        <v>28</v>
      </c>
      <c r="D363" s="2" t="s">
        <v>1139</v>
      </c>
      <c r="E363" s="3" t="s">
        <v>1140</v>
      </c>
      <c r="F363" s="4" t="s">
        <v>38</v>
      </c>
      <c r="G363" s="4" t="s">
        <v>159</v>
      </c>
      <c r="H363" s="4" t="s">
        <v>40</v>
      </c>
      <c r="I363" s="4" t="s">
        <v>561</v>
      </c>
      <c r="J363" s="6" t="s">
        <v>1141</v>
      </c>
      <c r="K363" s="25">
        <v>14.0</v>
      </c>
      <c r="L363" s="8" t="str">
        <f>UPPER(G363)</f>
        <v>PIEDECUESTA</v>
      </c>
      <c r="O363" s="10"/>
    </row>
    <row r="364" ht="14.25" hidden="1" customHeight="1">
      <c r="A364" s="13" t="s">
        <v>1142</v>
      </c>
      <c r="B364" s="4" t="s">
        <v>27</v>
      </c>
      <c r="C364" s="4" t="s">
        <v>28</v>
      </c>
      <c r="D364" s="4" t="s">
        <v>1143</v>
      </c>
      <c r="E364" s="4">
        <v>3.118713141E9</v>
      </c>
      <c r="F364" s="4" t="s">
        <v>30</v>
      </c>
      <c r="G364" s="4" t="s">
        <v>35</v>
      </c>
      <c r="H364" s="14"/>
      <c r="I364" s="4" t="s">
        <v>32</v>
      </c>
      <c r="J364" s="14"/>
      <c r="K364" s="14"/>
      <c r="L364" s="14"/>
    </row>
    <row r="365" ht="14.25" hidden="1" customHeight="1">
      <c r="A365" s="13" t="s">
        <v>1144</v>
      </c>
      <c r="B365" s="4" t="s">
        <v>27</v>
      </c>
      <c r="C365" s="4" t="s">
        <v>28</v>
      </c>
      <c r="D365" s="4" t="s">
        <v>1145</v>
      </c>
      <c r="E365" s="4">
        <v>3.164142431E9</v>
      </c>
      <c r="F365" s="4" t="s">
        <v>30</v>
      </c>
      <c r="G365" s="4" t="s">
        <v>35</v>
      </c>
      <c r="H365" s="14"/>
      <c r="I365" s="4" t="s">
        <v>51</v>
      </c>
      <c r="J365" s="14"/>
      <c r="K365" s="14"/>
      <c r="L365" s="14"/>
    </row>
    <row r="366" ht="14.25" customHeight="1">
      <c r="A366" s="1" t="s">
        <v>1146</v>
      </c>
      <c r="B366" s="2" t="s">
        <v>27</v>
      </c>
      <c r="C366" s="2" t="s">
        <v>28</v>
      </c>
      <c r="D366" s="2" t="s">
        <v>1147</v>
      </c>
      <c r="E366" s="3" t="s">
        <v>1148</v>
      </c>
      <c r="F366" s="4" t="s">
        <v>38</v>
      </c>
      <c r="G366" s="4" t="s">
        <v>784</v>
      </c>
      <c r="H366" s="14"/>
      <c r="I366" s="4" t="s">
        <v>76</v>
      </c>
      <c r="J366" s="6" t="s">
        <v>1149</v>
      </c>
      <c r="K366" s="25">
        <v>5.0</v>
      </c>
      <c r="L366" s="8" t="str">
        <f t="shared" ref="L366:L367" si="44">UPPER(G366)</f>
        <v>SAN GIL</v>
      </c>
      <c r="O366" s="10"/>
    </row>
    <row r="367" ht="14.25" customHeight="1">
      <c r="A367" s="1" t="s">
        <v>1150</v>
      </c>
      <c r="B367" s="2" t="s">
        <v>27</v>
      </c>
      <c r="C367" s="2" t="s">
        <v>28</v>
      </c>
      <c r="D367" s="2" t="s">
        <v>1151</v>
      </c>
      <c r="E367" s="3" t="s">
        <v>1152</v>
      </c>
      <c r="F367" s="4" t="s">
        <v>38</v>
      </c>
      <c r="G367" s="4" t="s">
        <v>75</v>
      </c>
      <c r="H367" s="14"/>
      <c r="I367" s="4" t="s">
        <v>76</v>
      </c>
      <c r="J367" s="6" t="s">
        <v>77</v>
      </c>
      <c r="K367" s="25">
        <v>16.0</v>
      </c>
      <c r="L367" s="8" t="str">
        <f t="shared" si="44"/>
        <v>GIRON</v>
      </c>
      <c r="O367" s="10"/>
    </row>
    <row r="368" ht="14.25" customHeight="1">
      <c r="A368" s="1" t="s">
        <v>1153</v>
      </c>
      <c r="B368" s="2" t="s">
        <v>27</v>
      </c>
      <c r="C368" s="2" t="s">
        <v>28</v>
      </c>
      <c r="D368" s="2" t="s">
        <v>1154</v>
      </c>
      <c r="E368" s="3" t="s">
        <v>1155</v>
      </c>
      <c r="F368" s="4" t="s">
        <v>38</v>
      </c>
      <c r="G368" s="4" t="s">
        <v>1156</v>
      </c>
      <c r="H368" s="4" t="s">
        <v>1157</v>
      </c>
      <c r="I368" s="4" t="s">
        <v>561</v>
      </c>
      <c r="J368" s="6" t="s">
        <v>174</v>
      </c>
      <c r="K368" s="25">
        <v>19.0</v>
      </c>
      <c r="L368" s="27" t="s">
        <v>1158</v>
      </c>
      <c r="O368" s="10"/>
    </row>
    <row r="369" ht="14.25" hidden="1" customHeight="1">
      <c r="A369" s="13" t="s">
        <v>1159</v>
      </c>
      <c r="B369" s="4" t="s">
        <v>27</v>
      </c>
      <c r="C369" s="4" t="s">
        <v>28</v>
      </c>
      <c r="D369" s="4" t="s">
        <v>1160</v>
      </c>
      <c r="E369" s="4">
        <v>3.222316412E9</v>
      </c>
      <c r="F369" s="4" t="s">
        <v>30</v>
      </c>
      <c r="G369" s="4" t="s">
        <v>35</v>
      </c>
      <c r="H369" s="14"/>
      <c r="I369" s="4" t="s">
        <v>32</v>
      </c>
      <c r="J369" s="14"/>
      <c r="K369" s="14"/>
      <c r="L369" s="14"/>
    </row>
    <row r="370" ht="14.25" customHeight="1">
      <c r="A370" s="1" t="s">
        <v>1161</v>
      </c>
      <c r="B370" s="2" t="s">
        <v>27</v>
      </c>
      <c r="C370" s="2" t="s">
        <v>551</v>
      </c>
      <c r="D370" s="2" t="s">
        <v>1162</v>
      </c>
      <c r="E370" s="3" t="s">
        <v>1163</v>
      </c>
      <c r="F370" s="4" t="s">
        <v>38</v>
      </c>
      <c r="G370" s="4" t="s">
        <v>1164</v>
      </c>
      <c r="H370" s="6" t="s">
        <v>1165</v>
      </c>
      <c r="I370" s="4" t="s">
        <v>164</v>
      </c>
      <c r="J370" s="6" t="s">
        <v>1166</v>
      </c>
      <c r="K370" s="25">
        <v>12.0</v>
      </c>
      <c r="L370" s="8" t="str">
        <f t="shared" ref="L370:L371" si="45">UPPER(G370)</f>
        <v>MALAGA</v>
      </c>
      <c r="O370" s="10"/>
    </row>
    <row r="371" ht="14.25" customHeight="1">
      <c r="A371" s="1" t="s">
        <v>1167</v>
      </c>
      <c r="B371" s="2" t="s">
        <v>27</v>
      </c>
      <c r="C371" s="2" t="s">
        <v>66</v>
      </c>
      <c r="D371" s="2" t="s">
        <v>1168</v>
      </c>
      <c r="E371" s="3" t="s">
        <v>1169</v>
      </c>
      <c r="F371" s="4" t="s">
        <v>38</v>
      </c>
      <c r="G371" s="4" t="s">
        <v>113</v>
      </c>
      <c r="H371" s="6" t="s">
        <v>1170</v>
      </c>
      <c r="I371" s="4" t="s">
        <v>540</v>
      </c>
      <c r="J371" s="6" t="s">
        <v>1104</v>
      </c>
      <c r="K371" s="25">
        <v>12.0</v>
      </c>
      <c r="L371" s="8" t="str">
        <f t="shared" si="45"/>
        <v>BARRANCABERMEJA</v>
      </c>
      <c r="O371" s="10"/>
    </row>
    <row r="372" ht="14.25" hidden="1" customHeight="1">
      <c r="A372" s="13" t="s">
        <v>1171</v>
      </c>
      <c r="B372" s="4" t="s">
        <v>27</v>
      </c>
      <c r="C372" s="4" t="s">
        <v>28</v>
      </c>
      <c r="D372" s="4" t="s">
        <v>1172</v>
      </c>
      <c r="E372" s="4">
        <v>3.124295466E9</v>
      </c>
      <c r="F372" s="4" t="s">
        <v>30</v>
      </c>
      <c r="G372" s="4" t="s">
        <v>35</v>
      </c>
      <c r="H372" s="14"/>
      <c r="I372" s="4" t="s">
        <v>32</v>
      </c>
      <c r="J372" s="14"/>
      <c r="K372" s="14"/>
      <c r="L372" s="14"/>
    </row>
    <row r="373" ht="14.25" customHeight="1">
      <c r="A373" s="1" t="s">
        <v>1173</v>
      </c>
      <c r="B373" s="2" t="s">
        <v>27</v>
      </c>
      <c r="C373" s="2" t="s">
        <v>28</v>
      </c>
      <c r="D373" s="2" t="s">
        <v>1174</v>
      </c>
      <c r="E373" s="3" t="s">
        <v>1175</v>
      </c>
      <c r="F373" s="4" t="s">
        <v>38</v>
      </c>
      <c r="G373" s="4" t="s">
        <v>81</v>
      </c>
      <c r="H373" s="4" t="s">
        <v>1176</v>
      </c>
      <c r="I373" s="4" t="s">
        <v>561</v>
      </c>
      <c r="J373" s="6" t="s">
        <v>264</v>
      </c>
      <c r="K373" s="25">
        <v>14.0</v>
      </c>
      <c r="L373" s="8" t="str">
        <f t="shared" ref="L373:L380" si="46">UPPER(G373)</f>
        <v>FLORIDABLANCA</v>
      </c>
      <c r="O373" s="10"/>
    </row>
    <row r="374" ht="14.25" customHeight="1">
      <c r="A374" s="1" t="s">
        <v>1177</v>
      </c>
      <c r="B374" s="2" t="s">
        <v>27</v>
      </c>
      <c r="C374" s="2" t="s">
        <v>66</v>
      </c>
      <c r="D374" s="2" t="s">
        <v>1178</v>
      </c>
      <c r="E374" s="3" t="s">
        <v>1179</v>
      </c>
      <c r="F374" s="4" t="s">
        <v>38</v>
      </c>
      <c r="G374" s="4" t="s">
        <v>113</v>
      </c>
      <c r="H374" s="6" t="s">
        <v>1180</v>
      </c>
      <c r="I374" s="4" t="s">
        <v>182</v>
      </c>
      <c r="J374" s="6" t="s">
        <v>1181</v>
      </c>
      <c r="K374" s="25">
        <v>7.0</v>
      </c>
      <c r="L374" s="8" t="str">
        <f t="shared" si="46"/>
        <v>BARRANCABERMEJA</v>
      </c>
      <c r="O374" s="10"/>
    </row>
    <row r="375" ht="14.25" customHeight="1">
      <c r="A375" s="1" t="s">
        <v>1182</v>
      </c>
      <c r="B375" s="2" t="s">
        <v>27</v>
      </c>
      <c r="C375" s="2" t="s">
        <v>28</v>
      </c>
      <c r="D375" s="2" t="s">
        <v>1183</v>
      </c>
      <c r="E375" s="3" t="s">
        <v>1184</v>
      </c>
      <c r="F375" s="4" t="s">
        <v>38</v>
      </c>
      <c r="G375" s="4" t="s">
        <v>39</v>
      </c>
      <c r="H375" s="6" t="s">
        <v>1185</v>
      </c>
      <c r="I375" s="4" t="s">
        <v>76</v>
      </c>
      <c r="J375" s="6" t="s">
        <v>851</v>
      </c>
      <c r="K375" s="25">
        <v>50.0</v>
      </c>
      <c r="L375" s="8" t="str">
        <f t="shared" si="46"/>
        <v>BUCARAMANGA</v>
      </c>
      <c r="O375" s="10"/>
    </row>
    <row r="376" ht="14.25" customHeight="1">
      <c r="A376" s="1" t="s">
        <v>1186</v>
      </c>
      <c r="B376" s="2" t="s">
        <v>27</v>
      </c>
      <c r="C376" s="2" t="s">
        <v>28</v>
      </c>
      <c r="D376" s="2" t="s">
        <v>1187</v>
      </c>
      <c r="E376" s="3" t="s">
        <v>1188</v>
      </c>
      <c r="F376" s="4" t="s">
        <v>38</v>
      </c>
      <c r="G376" s="4" t="s">
        <v>159</v>
      </c>
      <c r="H376" s="4" t="s">
        <v>1189</v>
      </c>
      <c r="I376" s="4" t="s">
        <v>76</v>
      </c>
      <c r="J376" s="6" t="s">
        <v>1190</v>
      </c>
      <c r="K376" s="25">
        <v>3.0</v>
      </c>
      <c r="L376" s="8" t="str">
        <f t="shared" si="46"/>
        <v>PIEDECUESTA</v>
      </c>
      <c r="O376" s="10"/>
    </row>
    <row r="377" ht="14.25" customHeight="1">
      <c r="A377" s="1" t="s">
        <v>1191</v>
      </c>
      <c r="B377" s="2" t="s">
        <v>27</v>
      </c>
      <c r="C377" s="2" t="s">
        <v>28</v>
      </c>
      <c r="D377" s="2" t="s">
        <v>1192</v>
      </c>
      <c r="E377" s="3" t="s">
        <v>1193</v>
      </c>
      <c r="F377" s="4" t="s">
        <v>38</v>
      </c>
      <c r="G377" s="4" t="s">
        <v>39</v>
      </c>
      <c r="H377" s="4" t="s">
        <v>1194</v>
      </c>
      <c r="I377" s="4" t="s">
        <v>561</v>
      </c>
      <c r="J377" s="6" t="s">
        <v>723</v>
      </c>
      <c r="K377" s="25">
        <v>25.0</v>
      </c>
      <c r="L377" s="8" t="str">
        <f t="shared" si="46"/>
        <v>BUCARAMANGA</v>
      </c>
      <c r="O377" s="10"/>
    </row>
    <row r="378" ht="14.25" customHeight="1">
      <c r="A378" s="1" t="s">
        <v>1195</v>
      </c>
      <c r="B378" s="2" t="s">
        <v>27</v>
      </c>
      <c r="C378" s="2" t="s">
        <v>28</v>
      </c>
      <c r="D378" s="2" t="s">
        <v>1196</v>
      </c>
      <c r="E378" s="3" t="s">
        <v>1197</v>
      </c>
      <c r="F378" s="4" t="s">
        <v>38</v>
      </c>
      <c r="G378" s="4" t="s">
        <v>39</v>
      </c>
      <c r="H378" s="6" t="s">
        <v>1198</v>
      </c>
      <c r="I378" s="4" t="s">
        <v>540</v>
      </c>
      <c r="J378" s="6" t="s">
        <v>1199</v>
      </c>
      <c r="K378" s="25">
        <v>14.0</v>
      </c>
      <c r="L378" s="8" t="str">
        <f t="shared" si="46"/>
        <v>BUCARAMANGA</v>
      </c>
      <c r="O378" s="10"/>
    </row>
    <row r="379" ht="14.25" customHeight="1">
      <c r="A379" s="1" t="s">
        <v>1200</v>
      </c>
      <c r="B379" s="2" t="s">
        <v>27</v>
      </c>
      <c r="C379" s="2" t="s">
        <v>28</v>
      </c>
      <c r="D379" s="2" t="s">
        <v>1201</v>
      </c>
      <c r="E379" s="3" t="s">
        <v>396</v>
      </c>
      <c r="F379" s="4" t="s">
        <v>38</v>
      </c>
      <c r="G379" s="4" t="s">
        <v>81</v>
      </c>
      <c r="H379" s="4" t="s">
        <v>1202</v>
      </c>
      <c r="I379" s="4" t="s">
        <v>561</v>
      </c>
      <c r="J379" s="6" t="s">
        <v>174</v>
      </c>
      <c r="K379" s="25">
        <v>18.0</v>
      </c>
      <c r="L379" s="8" t="str">
        <f t="shared" si="46"/>
        <v>FLORIDABLANCA</v>
      </c>
      <c r="M379" s="11" t="s">
        <v>1203</v>
      </c>
      <c r="O379" s="10"/>
    </row>
    <row r="380" ht="14.25" customHeight="1">
      <c r="A380" s="1" t="s">
        <v>1204</v>
      </c>
      <c r="B380" s="2" t="s">
        <v>27</v>
      </c>
      <c r="C380" s="2" t="s">
        <v>28</v>
      </c>
      <c r="D380" s="2" t="s">
        <v>1205</v>
      </c>
      <c r="E380" s="3" t="s">
        <v>1206</v>
      </c>
      <c r="F380" s="4" t="s">
        <v>38</v>
      </c>
      <c r="G380" s="4" t="s">
        <v>159</v>
      </c>
      <c r="H380" s="6" t="s">
        <v>1207</v>
      </c>
      <c r="I380" s="4" t="s">
        <v>76</v>
      </c>
      <c r="J380" s="6" t="s">
        <v>1208</v>
      </c>
      <c r="K380" s="25">
        <v>23.0</v>
      </c>
      <c r="L380" s="8" t="str">
        <f t="shared" si="46"/>
        <v>PIEDECUESTA</v>
      </c>
      <c r="O380" s="10"/>
    </row>
    <row r="381" ht="14.25" hidden="1" customHeight="1">
      <c r="A381" s="13" t="s">
        <v>1209</v>
      </c>
      <c r="B381" s="4" t="s">
        <v>27</v>
      </c>
      <c r="C381" s="4" t="s">
        <v>28</v>
      </c>
      <c r="D381" s="4" t="s">
        <v>1210</v>
      </c>
      <c r="E381" s="4">
        <v>3.102211527E9</v>
      </c>
      <c r="F381" s="4" t="s">
        <v>30</v>
      </c>
      <c r="G381" s="4" t="s">
        <v>35</v>
      </c>
      <c r="H381" s="14"/>
      <c r="I381" s="4" t="s">
        <v>32</v>
      </c>
      <c r="J381" s="14"/>
      <c r="K381" s="14"/>
      <c r="L381" s="14"/>
    </row>
    <row r="382" ht="14.25" customHeight="1">
      <c r="A382" s="1" t="s">
        <v>1211</v>
      </c>
      <c r="B382" s="2" t="s">
        <v>1212</v>
      </c>
      <c r="C382" s="2" t="s">
        <v>66</v>
      </c>
      <c r="D382" s="2" t="s">
        <v>1213</v>
      </c>
      <c r="E382" s="3" t="s">
        <v>153</v>
      </c>
      <c r="F382" s="4" t="s">
        <v>69</v>
      </c>
      <c r="G382" s="4" t="s">
        <v>69</v>
      </c>
      <c r="H382" s="4" t="s">
        <v>181</v>
      </c>
      <c r="I382" s="4" t="s">
        <v>540</v>
      </c>
      <c r="J382" s="6" t="s">
        <v>1214</v>
      </c>
      <c r="K382" s="25">
        <v>8.0</v>
      </c>
      <c r="L382" s="8" t="str">
        <f t="shared" ref="L382:L387" si="47">UPPER(G382)</f>
        <v>BOGOTA</v>
      </c>
      <c r="M382" s="11" t="s">
        <v>1215</v>
      </c>
      <c r="O382" s="10"/>
    </row>
    <row r="383" ht="14.25" customHeight="1">
      <c r="A383" s="1" t="s">
        <v>1216</v>
      </c>
      <c r="B383" s="2" t="s">
        <v>27</v>
      </c>
      <c r="C383" s="2" t="s">
        <v>28</v>
      </c>
      <c r="D383" s="2" t="s">
        <v>1217</v>
      </c>
      <c r="E383" s="3" t="s">
        <v>1218</v>
      </c>
      <c r="F383" s="4" t="s">
        <v>69</v>
      </c>
      <c r="G383" s="4" t="s">
        <v>69</v>
      </c>
      <c r="H383" s="6" t="s">
        <v>1219</v>
      </c>
      <c r="I383" s="4" t="s">
        <v>51</v>
      </c>
      <c r="J383" s="6" t="s">
        <v>1220</v>
      </c>
      <c r="K383" s="25">
        <v>15.0</v>
      </c>
      <c r="L383" s="8" t="str">
        <f t="shared" si="47"/>
        <v>BOGOTA</v>
      </c>
      <c r="O383" s="10"/>
    </row>
    <row r="384" ht="14.25" customHeight="1">
      <c r="A384" s="1" t="s">
        <v>1221</v>
      </c>
      <c r="B384" s="2" t="s">
        <v>27</v>
      </c>
      <c r="C384" s="2" t="s">
        <v>28</v>
      </c>
      <c r="D384" s="2" t="s">
        <v>1222</v>
      </c>
      <c r="E384" s="3" t="s">
        <v>1223</v>
      </c>
      <c r="F384" s="4" t="s">
        <v>38</v>
      </c>
      <c r="G384" s="4" t="s">
        <v>39</v>
      </c>
      <c r="H384" s="4" t="s">
        <v>40</v>
      </c>
      <c r="I384" s="4" t="s">
        <v>561</v>
      </c>
      <c r="J384" s="6" t="s">
        <v>1224</v>
      </c>
      <c r="K384" s="25">
        <v>14.0</v>
      </c>
      <c r="L384" s="8" t="str">
        <f t="shared" si="47"/>
        <v>BUCARAMANGA</v>
      </c>
      <c r="O384" s="10"/>
    </row>
    <row r="385" ht="14.25" customHeight="1">
      <c r="A385" s="1" t="s">
        <v>1225</v>
      </c>
      <c r="B385" s="2" t="s">
        <v>27</v>
      </c>
      <c r="C385" s="2" t="s">
        <v>28</v>
      </c>
      <c r="D385" s="2" t="s">
        <v>1226</v>
      </c>
      <c r="E385" s="3" t="s">
        <v>1227</v>
      </c>
      <c r="F385" s="4" t="s">
        <v>38</v>
      </c>
      <c r="G385" s="4" t="s">
        <v>113</v>
      </c>
      <c r="H385" s="4" t="s">
        <v>1228</v>
      </c>
      <c r="I385" s="4" t="s">
        <v>182</v>
      </c>
      <c r="J385" s="6" t="s">
        <v>1229</v>
      </c>
      <c r="K385" s="25">
        <v>7.0</v>
      </c>
      <c r="L385" s="8" t="str">
        <f t="shared" si="47"/>
        <v>BARRANCABERMEJA</v>
      </c>
      <c r="O385" s="10"/>
    </row>
    <row r="386" ht="14.25" customHeight="1">
      <c r="A386" s="1" t="s">
        <v>1230</v>
      </c>
      <c r="B386" s="2" t="s">
        <v>27</v>
      </c>
      <c r="C386" s="2" t="s">
        <v>28</v>
      </c>
      <c r="D386" s="2" t="s">
        <v>1231</v>
      </c>
      <c r="E386" s="3" t="s">
        <v>1232</v>
      </c>
      <c r="F386" s="4" t="s">
        <v>38</v>
      </c>
      <c r="G386" s="4" t="s">
        <v>39</v>
      </c>
      <c r="H386" s="4" t="s">
        <v>1233</v>
      </c>
      <c r="I386" s="4" t="s">
        <v>561</v>
      </c>
      <c r="J386" s="6" t="s">
        <v>931</v>
      </c>
      <c r="K386" s="25">
        <v>27.0</v>
      </c>
      <c r="L386" s="8" t="str">
        <f t="shared" si="47"/>
        <v>BUCARAMANGA</v>
      </c>
      <c r="O386" s="10"/>
    </row>
    <row r="387" ht="14.25" customHeight="1">
      <c r="A387" s="1" t="s">
        <v>1234</v>
      </c>
      <c r="B387" s="2" t="s">
        <v>27</v>
      </c>
      <c r="C387" s="2" t="s">
        <v>28</v>
      </c>
      <c r="D387" s="2" t="s">
        <v>1235</v>
      </c>
      <c r="E387" s="3" t="s">
        <v>442</v>
      </c>
      <c r="F387" s="4" t="s">
        <v>38</v>
      </c>
      <c r="G387" s="4" t="s">
        <v>201</v>
      </c>
      <c r="H387" s="6" t="s">
        <v>1236</v>
      </c>
      <c r="I387" s="4" t="s">
        <v>540</v>
      </c>
      <c r="J387" s="6" t="s">
        <v>1237</v>
      </c>
      <c r="K387" s="25">
        <v>13.0</v>
      </c>
      <c r="L387" s="8" t="str">
        <f t="shared" si="47"/>
        <v>LEBRIJA</v>
      </c>
      <c r="O387" s="10"/>
    </row>
    <row r="388" ht="14.25" hidden="1" customHeight="1">
      <c r="A388" s="13" t="s">
        <v>1238</v>
      </c>
      <c r="B388" s="4" t="s">
        <v>27</v>
      </c>
      <c r="C388" s="4" t="s">
        <v>28</v>
      </c>
      <c r="D388" s="4" t="s">
        <v>1239</v>
      </c>
      <c r="E388" s="4">
        <v>3.22292338E9</v>
      </c>
      <c r="F388" s="4" t="s">
        <v>30</v>
      </c>
      <c r="G388" s="4" t="s">
        <v>31</v>
      </c>
      <c r="H388" s="14"/>
      <c r="I388" s="4" t="s">
        <v>32</v>
      </c>
      <c r="J388" s="14"/>
      <c r="K388" s="14"/>
      <c r="L388" s="14"/>
    </row>
    <row r="389" ht="14.25" customHeight="1">
      <c r="A389" s="1" t="s">
        <v>1240</v>
      </c>
      <c r="B389" s="2" t="s">
        <v>27</v>
      </c>
      <c r="C389" s="2" t="s">
        <v>28</v>
      </c>
      <c r="D389" s="2" t="s">
        <v>1241</v>
      </c>
      <c r="E389" s="3" t="s">
        <v>1242</v>
      </c>
      <c r="F389" s="4" t="s">
        <v>38</v>
      </c>
      <c r="G389" s="4" t="s">
        <v>39</v>
      </c>
      <c r="H389" s="6" t="s">
        <v>1243</v>
      </c>
      <c r="I389" s="4" t="s">
        <v>76</v>
      </c>
      <c r="J389" s="6" t="s">
        <v>1244</v>
      </c>
      <c r="K389" s="25">
        <v>1.0</v>
      </c>
      <c r="L389" s="8" t="str">
        <f>UPPER(G389)</f>
        <v>BUCARAMANGA</v>
      </c>
      <c r="O389" s="10"/>
    </row>
    <row r="390" ht="14.25" hidden="1" customHeight="1">
      <c r="A390" s="13" t="s">
        <v>1245</v>
      </c>
      <c r="B390" s="4" t="s">
        <v>27</v>
      </c>
      <c r="C390" s="4" t="s">
        <v>28</v>
      </c>
      <c r="D390" s="4" t="s">
        <v>1246</v>
      </c>
      <c r="E390" s="4">
        <v>3.228791251E9</v>
      </c>
      <c r="F390" s="4" t="s">
        <v>30</v>
      </c>
      <c r="G390" s="4" t="s">
        <v>35</v>
      </c>
      <c r="H390" s="14"/>
      <c r="I390" s="4" t="s">
        <v>32</v>
      </c>
      <c r="J390" s="14"/>
      <c r="K390" s="14"/>
      <c r="L390" s="14"/>
    </row>
    <row r="391" ht="14.25" customHeight="1">
      <c r="A391" s="1" t="s">
        <v>1247</v>
      </c>
      <c r="B391" s="2" t="s">
        <v>27</v>
      </c>
      <c r="C391" s="2" t="s">
        <v>28</v>
      </c>
      <c r="D391" s="2" t="s">
        <v>1248</v>
      </c>
      <c r="E391" s="3" t="s">
        <v>1249</v>
      </c>
      <c r="F391" s="4" t="s">
        <v>38</v>
      </c>
      <c r="G391" s="4" t="s">
        <v>39</v>
      </c>
      <c r="H391" s="4" t="s">
        <v>118</v>
      </c>
      <c r="I391" s="4" t="s">
        <v>561</v>
      </c>
      <c r="J391" s="6" t="s">
        <v>1250</v>
      </c>
      <c r="K391" s="25">
        <v>27.0</v>
      </c>
      <c r="L391" s="8" t="str">
        <f>UPPER(G391)</f>
        <v>BUCARAMANGA</v>
      </c>
      <c r="O391" s="10"/>
    </row>
    <row r="392" ht="14.25" hidden="1" customHeight="1">
      <c r="A392" s="13" t="s">
        <v>1251</v>
      </c>
      <c r="B392" s="4" t="s">
        <v>27</v>
      </c>
      <c r="C392" s="4" t="s">
        <v>28</v>
      </c>
      <c r="D392" s="4" t="s">
        <v>1252</v>
      </c>
      <c r="E392" s="4">
        <v>3.22292338E9</v>
      </c>
      <c r="F392" s="4" t="s">
        <v>30</v>
      </c>
      <c r="G392" s="4" t="s">
        <v>31</v>
      </c>
      <c r="H392" s="14"/>
      <c r="I392" s="4" t="s">
        <v>32</v>
      </c>
      <c r="J392" s="14"/>
      <c r="K392" s="14"/>
      <c r="L392" s="14"/>
    </row>
    <row r="393" ht="14.25" customHeight="1">
      <c r="A393" s="1" t="s">
        <v>1253</v>
      </c>
      <c r="B393" s="2" t="s">
        <v>27</v>
      </c>
      <c r="C393" s="2" t="s">
        <v>28</v>
      </c>
      <c r="D393" s="2" t="s">
        <v>1254</v>
      </c>
      <c r="E393" s="3" t="s">
        <v>1255</v>
      </c>
      <c r="F393" s="4" t="s">
        <v>38</v>
      </c>
      <c r="G393" s="4" t="s">
        <v>81</v>
      </c>
      <c r="H393" s="6" t="s">
        <v>1256</v>
      </c>
      <c r="I393" s="4" t="s">
        <v>164</v>
      </c>
      <c r="J393" s="6" t="s">
        <v>1257</v>
      </c>
      <c r="K393" s="25">
        <v>8.0</v>
      </c>
      <c r="L393" s="8" t="str">
        <f>UPPER(G393)</f>
        <v>FLORIDABLANCA</v>
      </c>
      <c r="O393" s="10"/>
    </row>
    <row r="394" ht="14.25" hidden="1" customHeight="1">
      <c r="A394" s="13" t="s">
        <v>1258</v>
      </c>
      <c r="B394" s="4" t="s">
        <v>27</v>
      </c>
      <c r="C394" s="4" t="s">
        <v>28</v>
      </c>
      <c r="D394" s="4" t="s">
        <v>1259</v>
      </c>
      <c r="E394" s="4">
        <v>3.22731914E9</v>
      </c>
      <c r="F394" s="4" t="s">
        <v>30</v>
      </c>
      <c r="G394" s="4" t="s">
        <v>35</v>
      </c>
      <c r="H394" s="14"/>
      <c r="I394" s="4" t="s">
        <v>32</v>
      </c>
      <c r="J394" s="14"/>
      <c r="K394" s="14"/>
      <c r="L394" s="14"/>
    </row>
    <row r="395" ht="14.25" hidden="1" customHeight="1">
      <c r="A395" s="13" t="s">
        <v>1260</v>
      </c>
      <c r="B395" s="4" t="s">
        <v>27</v>
      </c>
      <c r="C395" s="4" t="s">
        <v>28</v>
      </c>
      <c r="D395" s="4" t="s">
        <v>1261</v>
      </c>
      <c r="E395" s="4">
        <v>3.112886292E9</v>
      </c>
      <c r="F395" s="4" t="s">
        <v>30</v>
      </c>
      <c r="G395" s="4" t="s">
        <v>35</v>
      </c>
      <c r="H395" s="14"/>
      <c r="I395" s="4" t="s">
        <v>32</v>
      </c>
      <c r="J395" s="14"/>
      <c r="K395" s="14"/>
      <c r="L395" s="14"/>
    </row>
    <row r="396" ht="14.25" customHeight="1">
      <c r="A396" s="1" t="s">
        <v>1262</v>
      </c>
      <c r="B396" s="2" t="s">
        <v>27</v>
      </c>
      <c r="C396" s="2" t="s">
        <v>28</v>
      </c>
      <c r="D396" s="2" t="s">
        <v>1263</v>
      </c>
      <c r="E396" s="3" t="s">
        <v>1264</v>
      </c>
      <c r="F396" s="4" t="s">
        <v>38</v>
      </c>
      <c r="G396" s="4" t="s">
        <v>39</v>
      </c>
      <c r="H396" s="6" t="s">
        <v>1265</v>
      </c>
      <c r="I396" s="4" t="s">
        <v>76</v>
      </c>
      <c r="J396" s="6" t="s">
        <v>643</v>
      </c>
      <c r="K396" s="25">
        <v>2.0</v>
      </c>
      <c r="L396" s="8" t="str">
        <f t="shared" ref="L396:L404" si="48">UPPER(G396)</f>
        <v>BUCARAMANGA</v>
      </c>
      <c r="O396" s="10"/>
    </row>
    <row r="397" ht="14.25" customHeight="1">
      <c r="A397" s="1" t="s">
        <v>1266</v>
      </c>
      <c r="B397" s="2" t="s">
        <v>27</v>
      </c>
      <c r="C397" s="2" t="s">
        <v>28</v>
      </c>
      <c r="D397" s="2" t="s">
        <v>1267</v>
      </c>
      <c r="E397" s="3" t="s">
        <v>1268</v>
      </c>
      <c r="F397" s="4" t="s">
        <v>38</v>
      </c>
      <c r="G397" s="4" t="s">
        <v>81</v>
      </c>
      <c r="H397" s="6" t="s">
        <v>1269</v>
      </c>
      <c r="I397" s="4" t="s">
        <v>76</v>
      </c>
      <c r="J397" s="6" t="s">
        <v>388</v>
      </c>
      <c r="K397" s="25">
        <v>11.0</v>
      </c>
      <c r="L397" s="8" t="str">
        <f t="shared" si="48"/>
        <v>FLORIDABLANCA</v>
      </c>
      <c r="O397" s="10"/>
    </row>
    <row r="398" ht="14.25" customHeight="1">
      <c r="A398" s="1" t="s">
        <v>1270</v>
      </c>
      <c r="B398" s="2" t="s">
        <v>27</v>
      </c>
      <c r="C398" s="2" t="s">
        <v>28</v>
      </c>
      <c r="D398" s="2" t="s">
        <v>1271</v>
      </c>
      <c r="E398" s="3" t="s">
        <v>1272</v>
      </c>
      <c r="F398" s="4" t="s">
        <v>38</v>
      </c>
      <c r="G398" s="4" t="s">
        <v>39</v>
      </c>
      <c r="H398" s="4" t="s">
        <v>1273</v>
      </c>
      <c r="I398" s="4" t="s">
        <v>561</v>
      </c>
      <c r="J398" s="6" t="s">
        <v>371</v>
      </c>
      <c r="K398" s="25">
        <v>10.0</v>
      </c>
      <c r="L398" s="8" t="str">
        <f t="shared" si="48"/>
        <v>BUCARAMANGA</v>
      </c>
      <c r="O398" s="10"/>
    </row>
    <row r="399" ht="14.25" customHeight="1">
      <c r="A399" s="1" t="s">
        <v>1274</v>
      </c>
      <c r="B399" s="2" t="s">
        <v>27</v>
      </c>
      <c r="C399" s="2" t="s">
        <v>28</v>
      </c>
      <c r="D399" s="2" t="s">
        <v>1275</v>
      </c>
      <c r="E399" s="3" t="s">
        <v>1276</v>
      </c>
      <c r="F399" s="4" t="s">
        <v>38</v>
      </c>
      <c r="G399" s="4" t="s">
        <v>1164</v>
      </c>
      <c r="H399" s="6" t="s">
        <v>1165</v>
      </c>
      <c r="I399" s="4" t="s">
        <v>164</v>
      </c>
      <c r="J399" s="6" t="s">
        <v>1166</v>
      </c>
      <c r="K399" s="25">
        <v>13.0</v>
      </c>
      <c r="L399" s="8" t="str">
        <f t="shared" si="48"/>
        <v>MALAGA</v>
      </c>
      <c r="O399" s="10"/>
    </row>
    <row r="400" ht="14.25" customHeight="1">
      <c r="A400" s="1" t="s">
        <v>1277</v>
      </c>
      <c r="B400" s="2" t="s">
        <v>27</v>
      </c>
      <c r="C400" s="2" t="s">
        <v>28</v>
      </c>
      <c r="D400" s="2" t="s">
        <v>1278</v>
      </c>
      <c r="E400" s="3" t="s">
        <v>1279</v>
      </c>
      <c r="F400" s="4" t="s">
        <v>38</v>
      </c>
      <c r="G400" s="4" t="s">
        <v>39</v>
      </c>
      <c r="H400" s="6" t="s">
        <v>1280</v>
      </c>
      <c r="I400" s="4" t="s">
        <v>76</v>
      </c>
      <c r="J400" s="6" t="s">
        <v>1281</v>
      </c>
      <c r="K400" s="25">
        <v>11.0</v>
      </c>
      <c r="L400" s="8" t="str">
        <f t="shared" si="48"/>
        <v>BUCARAMANGA</v>
      </c>
      <c r="O400" s="10"/>
    </row>
    <row r="401" ht="14.25" customHeight="1">
      <c r="A401" s="1" t="s">
        <v>1282</v>
      </c>
      <c r="B401" s="2" t="s">
        <v>27</v>
      </c>
      <c r="C401" s="2" t="s">
        <v>28</v>
      </c>
      <c r="D401" s="2" t="s">
        <v>1283</v>
      </c>
      <c r="E401" s="3" t="s">
        <v>1284</v>
      </c>
      <c r="F401" s="4" t="s">
        <v>38</v>
      </c>
      <c r="G401" s="4" t="s">
        <v>39</v>
      </c>
      <c r="H401" s="6" t="s">
        <v>1285</v>
      </c>
      <c r="I401" s="4" t="s">
        <v>164</v>
      </c>
      <c r="J401" s="6" t="s">
        <v>230</v>
      </c>
      <c r="K401" s="25">
        <v>8.0</v>
      </c>
      <c r="L401" s="8" t="str">
        <f t="shared" si="48"/>
        <v>BUCARAMANGA</v>
      </c>
      <c r="O401" s="10"/>
    </row>
    <row r="402" ht="14.25" customHeight="1">
      <c r="A402" s="1" t="s">
        <v>1286</v>
      </c>
      <c r="B402" s="2" t="s">
        <v>27</v>
      </c>
      <c r="C402" s="2" t="s">
        <v>28</v>
      </c>
      <c r="D402" s="2" t="s">
        <v>1287</v>
      </c>
      <c r="E402" s="3" t="s">
        <v>1288</v>
      </c>
      <c r="F402" s="4" t="s">
        <v>38</v>
      </c>
      <c r="G402" s="4" t="s">
        <v>75</v>
      </c>
      <c r="H402" s="6" t="s">
        <v>1289</v>
      </c>
      <c r="I402" s="4" t="s">
        <v>51</v>
      </c>
      <c r="J402" s="6" t="s">
        <v>1290</v>
      </c>
      <c r="K402" s="25">
        <v>16.0</v>
      </c>
      <c r="L402" s="8" t="str">
        <f t="shared" si="48"/>
        <v>GIRON</v>
      </c>
      <c r="O402" s="10"/>
    </row>
    <row r="403" ht="14.25" customHeight="1">
      <c r="A403" s="1" t="s">
        <v>1291</v>
      </c>
      <c r="B403" s="2" t="s">
        <v>27</v>
      </c>
      <c r="C403" s="2" t="s">
        <v>28</v>
      </c>
      <c r="D403" s="2" t="s">
        <v>1292</v>
      </c>
      <c r="E403" s="3" t="s">
        <v>1293</v>
      </c>
      <c r="F403" s="4" t="s">
        <v>38</v>
      </c>
      <c r="G403" s="4" t="s">
        <v>113</v>
      </c>
      <c r="H403" s="4" t="s">
        <v>1294</v>
      </c>
      <c r="I403" s="4" t="s">
        <v>358</v>
      </c>
      <c r="J403" s="6" t="s">
        <v>624</v>
      </c>
      <c r="K403" s="25">
        <v>8.0</v>
      </c>
      <c r="L403" s="8" t="str">
        <f t="shared" si="48"/>
        <v>BARRANCABERMEJA</v>
      </c>
      <c r="O403" s="10"/>
    </row>
    <row r="404" ht="14.25" customHeight="1">
      <c r="A404" s="1" t="s">
        <v>1295</v>
      </c>
      <c r="B404" s="2" t="s">
        <v>27</v>
      </c>
      <c r="C404" s="2" t="s">
        <v>28</v>
      </c>
      <c r="D404" s="2" t="s">
        <v>1296</v>
      </c>
      <c r="E404" s="3" t="s">
        <v>1297</v>
      </c>
      <c r="F404" s="4" t="s">
        <v>38</v>
      </c>
      <c r="G404" s="4" t="s">
        <v>78</v>
      </c>
      <c r="H404" s="6" t="s">
        <v>1289</v>
      </c>
      <c r="I404" s="4" t="s">
        <v>76</v>
      </c>
      <c r="J404" s="6" t="s">
        <v>1290</v>
      </c>
      <c r="K404" s="25">
        <v>9.0</v>
      </c>
      <c r="L404" s="8" t="str">
        <f t="shared" si="48"/>
        <v>GIRON</v>
      </c>
      <c r="O404" s="10"/>
    </row>
    <row r="405" ht="14.25" hidden="1" customHeight="1">
      <c r="A405" s="13" t="s">
        <v>1298</v>
      </c>
      <c r="B405" s="4" t="s">
        <v>27</v>
      </c>
      <c r="C405" s="4" t="s">
        <v>28</v>
      </c>
      <c r="D405" s="4" t="s">
        <v>1299</v>
      </c>
      <c r="E405" s="4">
        <v>3.227649445E9</v>
      </c>
      <c r="F405" s="4" t="s">
        <v>30</v>
      </c>
      <c r="G405" s="4" t="s">
        <v>35</v>
      </c>
      <c r="H405" s="14"/>
      <c r="I405" s="4" t="s">
        <v>32</v>
      </c>
      <c r="J405" s="14"/>
      <c r="K405" s="14"/>
      <c r="L405" s="14"/>
    </row>
    <row r="406" ht="14.25" customHeight="1">
      <c r="A406" s="1" t="s">
        <v>1300</v>
      </c>
      <c r="B406" s="2" t="s">
        <v>27</v>
      </c>
      <c r="C406" s="2" t="s">
        <v>28</v>
      </c>
      <c r="D406" s="2" t="s">
        <v>1301</v>
      </c>
      <c r="E406" s="3" t="s">
        <v>1302</v>
      </c>
      <c r="F406" s="4" t="s">
        <v>38</v>
      </c>
      <c r="G406" s="4" t="s">
        <v>39</v>
      </c>
      <c r="H406" s="6" t="s">
        <v>1303</v>
      </c>
      <c r="I406" s="4" t="s">
        <v>76</v>
      </c>
      <c r="J406" s="6" t="s">
        <v>607</v>
      </c>
      <c r="K406" s="25">
        <v>21.0</v>
      </c>
      <c r="L406" s="8" t="str">
        <f>UPPER(G406)</f>
        <v>BUCARAMANGA</v>
      </c>
      <c r="O406" s="10"/>
    </row>
    <row r="407" ht="14.25" hidden="1" customHeight="1">
      <c r="A407" s="13" t="s">
        <v>1304</v>
      </c>
      <c r="B407" s="4" t="s">
        <v>27</v>
      </c>
      <c r="C407" s="4" t="s">
        <v>28</v>
      </c>
      <c r="D407" s="4" t="s">
        <v>1305</v>
      </c>
      <c r="E407" s="4">
        <v>3.113855088E9</v>
      </c>
      <c r="F407" s="4" t="s">
        <v>30</v>
      </c>
      <c r="G407" s="4" t="s">
        <v>35</v>
      </c>
      <c r="H407" s="14"/>
      <c r="I407" s="4" t="s">
        <v>32</v>
      </c>
      <c r="J407" s="14"/>
      <c r="K407" s="14"/>
      <c r="L407" s="14"/>
    </row>
    <row r="408" ht="14.25" hidden="1" customHeight="1">
      <c r="A408" s="13" t="s">
        <v>1306</v>
      </c>
      <c r="B408" s="4" t="s">
        <v>27</v>
      </c>
      <c r="C408" s="4" t="s">
        <v>28</v>
      </c>
      <c r="D408" s="4" t="s">
        <v>1307</v>
      </c>
      <c r="E408" s="4">
        <v>3.104858589E9</v>
      </c>
      <c r="F408" s="4" t="s">
        <v>30</v>
      </c>
      <c r="G408" s="4" t="s">
        <v>31</v>
      </c>
      <c r="H408" s="14"/>
      <c r="I408" s="4" t="s">
        <v>32</v>
      </c>
      <c r="J408" s="14"/>
      <c r="K408" s="14"/>
      <c r="L408" s="14"/>
    </row>
    <row r="409" ht="14.25" customHeight="1">
      <c r="A409" s="1" t="s">
        <v>1308</v>
      </c>
      <c r="B409" s="2" t="s">
        <v>27</v>
      </c>
      <c r="C409" s="2" t="s">
        <v>28</v>
      </c>
      <c r="D409" s="2" t="s">
        <v>1309</v>
      </c>
      <c r="E409" s="3" t="s">
        <v>1310</v>
      </c>
      <c r="F409" s="4" t="s">
        <v>38</v>
      </c>
      <c r="G409" s="4" t="s">
        <v>39</v>
      </c>
      <c r="H409" s="4" t="s">
        <v>1311</v>
      </c>
      <c r="I409" s="4" t="s">
        <v>561</v>
      </c>
      <c r="J409" s="6" t="s">
        <v>1312</v>
      </c>
      <c r="K409" s="25">
        <v>17.0</v>
      </c>
      <c r="L409" s="8" t="str">
        <f t="shared" ref="L409:L412" si="49">UPPER(G409)</f>
        <v>BUCARAMANGA</v>
      </c>
      <c r="O409" s="10"/>
    </row>
    <row r="410" ht="14.25" customHeight="1">
      <c r="A410" s="1" t="s">
        <v>1313</v>
      </c>
      <c r="B410" s="2" t="s">
        <v>27</v>
      </c>
      <c r="C410" s="2" t="s">
        <v>28</v>
      </c>
      <c r="D410" s="2" t="s">
        <v>1314</v>
      </c>
      <c r="E410" s="3" t="s">
        <v>1315</v>
      </c>
      <c r="F410" s="4" t="s">
        <v>38</v>
      </c>
      <c r="G410" s="4" t="s">
        <v>1316</v>
      </c>
      <c r="H410" s="6" t="s">
        <v>1317</v>
      </c>
      <c r="I410" s="4" t="s">
        <v>76</v>
      </c>
      <c r="J410" s="6" t="s">
        <v>1318</v>
      </c>
      <c r="K410" s="25">
        <v>22.0</v>
      </c>
      <c r="L410" s="8" t="str">
        <f t="shared" si="49"/>
        <v>VALENCIA</v>
      </c>
      <c r="M410" s="11" t="s">
        <v>1319</v>
      </c>
      <c r="O410" s="10"/>
    </row>
    <row r="411" ht="14.25" customHeight="1">
      <c r="A411" s="1" t="s">
        <v>1320</v>
      </c>
      <c r="B411" s="2" t="s">
        <v>27</v>
      </c>
      <c r="C411" s="2" t="s">
        <v>28</v>
      </c>
      <c r="D411" s="2" t="s">
        <v>1314</v>
      </c>
      <c r="E411" s="3" t="s">
        <v>1321</v>
      </c>
      <c r="F411" s="4" t="s">
        <v>38</v>
      </c>
      <c r="G411" s="4" t="s">
        <v>39</v>
      </c>
      <c r="H411" s="6" t="s">
        <v>1322</v>
      </c>
      <c r="I411" s="4" t="s">
        <v>76</v>
      </c>
      <c r="J411" s="6" t="s">
        <v>259</v>
      </c>
      <c r="K411" s="25">
        <v>2.0</v>
      </c>
      <c r="L411" s="8" t="str">
        <f t="shared" si="49"/>
        <v>BUCARAMANGA</v>
      </c>
      <c r="O411" s="10"/>
    </row>
    <row r="412" ht="14.25" customHeight="1">
      <c r="A412" s="1" t="s">
        <v>1323</v>
      </c>
      <c r="B412" s="2" t="s">
        <v>27</v>
      </c>
      <c r="C412" s="2" t="s">
        <v>28</v>
      </c>
      <c r="D412" s="2" t="s">
        <v>1324</v>
      </c>
      <c r="E412" s="3" t="s">
        <v>1325</v>
      </c>
      <c r="F412" s="4" t="s">
        <v>69</v>
      </c>
      <c r="G412" s="4" t="s">
        <v>69</v>
      </c>
      <c r="H412" s="6" t="s">
        <v>1326</v>
      </c>
      <c r="I412" s="4" t="s">
        <v>51</v>
      </c>
      <c r="J412" s="6" t="s">
        <v>919</v>
      </c>
      <c r="K412" s="25">
        <v>4.0</v>
      </c>
      <c r="L412" s="8" t="str">
        <f t="shared" si="49"/>
        <v>BOGOTA</v>
      </c>
      <c r="O412" s="10"/>
    </row>
    <row r="413" ht="14.25" hidden="1" customHeight="1">
      <c r="A413" s="13" t="s">
        <v>1327</v>
      </c>
      <c r="B413" s="4" t="s">
        <v>27</v>
      </c>
      <c r="C413" s="4" t="s">
        <v>28</v>
      </c>
      <c r="D413" s="4" t="s">
        <v>1328</v>
      </c>
      <c r="E413" s="4">
        <v>3.22292338E9</v>
      </c>
      <c r="F413" s="4" t="s">
        <v>30</v>
      </c>
      <c r="G413" s="4" t="s">
        <v>31</v>
      </c>
      <c r="H413" s="14"/>
      <c r="I413" s="4" t="s">
        <v>32</v>
      </c>
      <c r="J413" s="14"/>
      <c r="K413" s="14"/>
      <c r="L413" s="14"/>
    </row>
    <row r="414" ht="14.25" customHeight="1">
      <c r="A414" s="1" t="s">
        <v>1329</v>
      </c>
      <c r="B414" s="2" t="s">
        <v>27</v>
      </c>
      <c r="C414" s="2" t="s">
        <v>28</v>
      </c>
      <c r="D414" s="2" t="s">
        <v>1330</v>
      </c>
      <c r="E414" s="3" t="s">
        <v>1331</v>
      </c>
      <c r="F414" s="4" t="s">
        <v>38</v>
      </c>
      <c r="G414" s="4" t="s">
        <v>81</v>
      </c>
      <c r="H414" s="4" t="s">
        <v>1332</v>
      </c>
      <c r="I414" s="4" t="s">
        <v>561</v>
      </c>
      <c r="J414" s="6" t="s">
        <v>402</v>
      </c>
      <c r="K414" s="25">
        <v>9.0</v>
      </c>
      <c r="L414" s="8" t="str">
        <f t="shared" ref="L414:L415" si="50">UPPER(G414)</f>
        <v>FLORIDABLANCA</v>
      </c>
      <c r="O414" s="10"/>
    </row>
    <row r="415" ht="14.25" customHeight="1">
      <c r="A415" s="1" t="s">
        <v>1333</v>
      </c>
      <c r="B415" s="2" t="s">
        <v>27</v>
      </c>
      <c r="C415" s="2" t="s">
        <v>66</v>
      </c>
      <c r="D415" s="2" t="s">
        <v>1334</v>
      </c>
      <c r="E415" s="3" t="s">
        <v>1335</v>
      </c>
      <c r="F415" s="4" t="s">
        <v>38</v>
      </c>
      <c r="G415" s="4" t="s">
        <v>39</v>
      </c>
      <c r="H415" s="4" t="s">
        <v>1336</v>
      </c>
      <c r="I415" s="4" t="s">
        <v>540</v>
      </c>
      <c r="J415" s="6" t="s">
        <v>1224</v>
      </c>
      <c r="K415" s="25">
        <v>11.0</v>
      </c>
      <c r="L415" s="8" t="str">
        <f t="shared" si="50"/>
        <v>BUCARAMANGA</v>
      </c>
      <c r="O415" s="10"/>
    </row>
    <row r="416" ht="14.25" hidden="1" customHeight="1">
      <c r="A416" s="13" t="s">
        <v>1337</v>
      </c>
      <c r="B416" s="4" t="s">
        <v>27</v>
      </c>
      <c r="C416" s="4" t="s">
        <v>28</v>
      </c>
      <c r="D416" s="4" t="s">
        <v>1338</v>
      </c>
      <c r="E416" s="4">
        <v>3.118713141E9</v>
      </c>
      <c r="F416" s="4" t="s">
        <v>30</v>
      </c>
      <c r="G416" s="4" t="s">
        <v>31</v>
      </c>
      <c r="H416" s="14"/>
      <c r="I416" s="4" t="s">
        <v>32</v>
      </c>
      <c r="J416" s="14"/>
      <c r="K416" s="14"/>
      <c r="L416" s="14"/>
    </row>
    <row r="417" ht="14.25" customHeight="1">
      <c r="A417" s="1" t="s">
        <v>1339</v>
      </c>
      <c r="B417" s="2" t="s">
        <v>27</v>
      </c>
      <c r="C417" s="2" t="s">
        <v>28</v>
      </c>
      <c r="D417" s="2" t="s">
        <v>1340</v>
      </c>
      <c r="E417" s="3" t="s">
        <v>1341</v>
      </c>
      <c r="F417" s="4" t="s">
        <v>38</v>
      </c>
      <c r="G417" s="4" t="s">
        <v>81</v>
      </c>
      <c r="H417" s="4" t="s">
        <v>1342</v>
      </c>
      <c r="I417" s="4" t="s">
        <v>561</v>
      </c>
      <c r="J417" s="6"/>
      <c r="K417" s="7"/>
      <c r="L417" s="8" t="str">
        <f t="shared" ref="L417:L418" si="51">UPPER(G417)</f>
        <v>FLORIDABLANCA</v>
      </c>
      <c r="M417" s="9"/>
      <c r="N417" s="11" t="s">
        <v>59</v>
      </c>
      <c r="O417" s="10"/>
      <c r="P417" s="11" t="s">
        <v>1343</v>
      </c>
    </row>
    <row r="418" ht="14.25" customHeight="1">
      <c r="A418" s="1" t="s">
        <v>1344</v>
      </c>
      <c r="B418" s="2" t="s">
        <v>27</v>
      </c>
      <c r="C418" s="2" t="s">
        <v>28</v>
      </c>
      <c r="D418" s="2" t="s">
        <v>1345</v>
      </c>
      <c r="E418" s="3" t="s">
        <v>1346</v>
      </c>
      <c r="F418" s="4" t="s">
        <v>38</v>
      </c>
      <c r="G418" s="4" t="s">
        <v>113</v>
      </c>
      <c r="H418" s="6" t="s">
        <v>1347</v>
      </c>
      <c r="I418" s="4" t="s">
        <v>358</v>
      </c>
      <c r="J418" s="6" t="s">
        <v>1348</v>
      </c>
      <c r="K418" s="25">
        <v>9.0</v>
      </c>
      <c r="L418" s="8" t="str">
        <f t="shared" si="51"/>
        <v>BARRANCABERMEJA</v>
      </c>
      <c r="O418" s="10"/>
    </row>
    <row r="419" ht="14.25" hidden="1" customHeight="1">
      <c r="A419" s="13" t="s">
        <v>1349</v>
      </c>
      <c r="B419" s="4" t="s">
        <v>27</v>
      </c>
      <c r="C419" s="4" t="s">
        <v>28</v>
      </c>
      <c r="D419" s="4" t="s">
        <v>1350</v>
      </c>
      <c r="E419" s="4">
        <v>3.118713141E9</v>
      </c>
      <c r="F419" s="4" t="s">
        <v>30</v>
      </c>
      <c r="G419" s="4" t="s">
        <v>35</v>
      </c>
      <c r="H419" s="14"/>
      <c r="I419" s="4" t="s">
        <v>32</v>
      </c>
      <c r="J419" s="14"/>
      <c r="K419" s="14"/>
      <c r="L419" s="14"/>
    </row>
    <row r="420" ht="14.25" hidden="1" customHeight="1">
      <c r="A420" s="13" t="s">
        <v>1351</v>
      </c>
      <c r="B420" s="4" t="s">
        <v>27</v>
      </c>
      <c r="C420" s="4" t="s">
        <v>28</v>
      </c>
      <c r="D420" s="4" t="s">
        <v>1352</v>
      </c>
      <c r="E420" s="4">
        <v>3.126545437E9</v>
      </c>
      <c r="F420" s="4" t="s">
        <v>30</v>
      </c>
      <c r="G420" s="4" t="s">
        <v>35</v>
      </c>
      <c r="H420" s="14"/>
      <c r="I420" s="4" t="s">
        <v>32</v>
      </c>
      <c r="J420" s="14"/>
      <c r="K420" s="14"/>
      <c r="L420" s="14"/>
    </row>
    <row r="421" ht="14.25" customHeight="1">
      <c r="A421" s="1" t="s">
        <v>1353</v>
      </c>
      <c r="B421" s="2" t="s">
        <v>27</v>
      </c>
      <c r="C421" s="2" t="s">
        <v>28</v>
      </c>
      <c r="D421" s="2" t="s">
        <v>1354</v>
      </c>
      <c r="E421" s="3" t="s">
        <v>1355</v>
      </c>
      <c r="F421" s="4" t="s">
        <v>38</v>
      </c>
      <c r="G421" s="4" t="s">
        <v>1356</v>
      </c>
      <c r="H421" s="4" t="s">
        <v>82</v>
      </c>
      <c r="I421" s="4" t="s">
        <v>561</v>
      </c>
      <c r="J421" s="6" t="s">
        <v>1357</v>
      </c>
      <c r="K421" s="25">
        <v>1.0</v>
      </c>
      <c r="L421" s="8" t="str">
        <f t="shared" ref="L421:L431" si="52">UPPER(G421)</f>
        <v>CALI</v>
      </c>
      <c r="O421" s="10"/>
    </row>
    <row r="422" ht="14.25" customHeight="1">
      <c r="A422" s="1" t="s">
        <v>1358</v>
      </c>
      <c r="B422" s="2" t="s">
        <v>27</v>
      </c>
      <c r="C422" s="2" t="s">
        <v>28</v>
      </c>
      <c r="D422" s="2" t="s">
        <v>1359</v>
      </c>
      <c r="E422" s="3" t="s">
        <v>1360</v>
      </c>
      <c r="F422" s="4" t="s">
        <v>38</v>
      </c>
      <c r="G422" s="4" t="s">
        <v>39</v>
      </c>
      <c r="H422" s="6" t="s">
        <v>1361</v>
      </c>
      <c r="I422" s="4" t="s">
        <v>76</v>
      </c>
      <c r="J422" s="6" t="s">
        <v>1362</v>
      </c>
      <c r="K422" s="25">
        <v>37.0</v>
      </c>
      <c r="L422" s="8" t="str">
        <f t="shared" si="52"/>
        <v>BUCARAMANGA</v>
      </c>
      <c r="O422" s="10"/>
    </row>
    <row r="423" ht="14.25" customHeight="1">
      <c r="A423" s="1" t="s">
        <v>1363</v>
      </c>
      <c r="B423" s="2" t="s">
        <v>27</v>
      </c>
      <c r="C423" s="2" t="s">
        <v>28</v>
      </c>
      <c r="D423" s="2" t="s">
        <v>1364</v>
      </c>
      <c r="E423" s="3" t="s">
        <v>1365</v>
      </c>
      <c r="F423" s="4" t="s">
        <v>38</v>
      </c>
      <c r="G423" s="4" t="s">
        <v>39</v>
      </c>
      <c r="H423" s="4" t="s">
        <v>229</v>
      </c>
      <c r="I423" s="4" t="s">
        <v>76</v>
      </c>
      <c r="J423" s="6" t="s">
        <v>1064</v>
      </c>
      <c r="K423" s="25">
        <v>6.0</v>
      </c>
      <c r="L423" s="8" t="str">
        <f t="shared" si="52"/>
        <v>BUCARAMANGA</v>
      </c>
      <c r="O423" s="10"/>
    </row>
    <row r="424" ht="14.25" customHeight="1">
      <c r="A424" s="1" t="s">
        <v>1366</v>
      </c>
      <c r="B424" s="2" t="s">
        <v>27</v>
      </c>
      <c r="C424" s="2" t="s">
        <v>28</v>
      </c>
      <c r="D424" s="2" t="s">
        <v>1367</v>
      </c>
      <c r="E424" s="3" t="s">
        <v>1368</v>
      </c>
      <c r="F424" s="4" t="s">
        <v>38</v>
      </c>
      <c r="G424" s="4" t="s">
        <v>39</v>
      </c>
      <c r="H424" s="4" t="s">
        <v>642</v>
      </c>
      <c r="I424" s="4" t="s">
        <v>561</v>
      </c>
      <c r="J424" s="6" t="s">
        <v>851</v>
      </c>
      <c r="K424" s="25">
        <v>50.0</v>
      </c>
      <c r="L424" s="8" t="str">
        <f t="shared" si="52"/>
        <v>BUCARAMANGA</v>
      </c>
      <c r="O424" s="10"/>
    </row>
    <row r="425" ht="14.25" customHeight="1">
      <c r="A425" s="1" t="s">
        <v>1369</v>
      </c>
      <c r="B425" s="2" t="s">
        <v>27</v>
      </c>
      <c r="C425" s="2" t="s">
        <v>66</v>
      </c>
      <c r="D425" s="2" t="s">
        <v>1370</v>
      </c>
      <c r="E425" s="3" t="s">
        <v>1371</v>
      </c>
      <c r="F425" s="4" t="s">
        <v>38</v>
      </c>
      <c r="G425" s="4" t="s">
        <v>113</v>
      </c>
      <c r="H425" s="6" t="s">
        <v>1372</v>
      </c>
      <c r="I425" s="4" t="s">
        <v>1373</v>
      </c>
      <c r="J425" s="6" t="s">
        <v>1374</v>
      </c>
      <c r="K425" s="25">
        <v>8.0</v>
      </c>
      <c r="L425" s="8" t="str">
        <f t="shared" si="52"/>
        <v>BARRANCABERMEJA</v>
      </c>
      <c r="O425" s="10"/>
    </row>
    <row r="426" ht="14.25" customHeight="1">
      <c r="A426" s="1" t="s">
        <v>1375</v>
      </c>
      <c r="B426" s="2" t="s">
        <v>27</v>
      </c>
      <c r="C426" s="2" t="s">
        <v>28</v>
      </c>
      <c r="D426" s="2" t="s">
        <v>1376</v>
      </c>
      <c r="E426" s="3" t="s">
        <v>1377</v>
      </c>
      <c r="F426" s="4" t="s">
        <v>38</v>
      </c>
      <c r="G426" s="4" t="s">
        <v>39</v>
      </c>
      <c r="H426" s="6" t="s">
        <v>1378</v>
      </c>
      <c r="I426" s="4" t="s">
        <v>76</v>
      </c>
      <c r="J426" s="6" t="s">
        <v>477</v>
      </c>
      <c r="K426" s="25">
        <v>19.0</v>
      </c>
      <c r="L426" s="8" t="str">
        <f t="shared" si="52"/>
        <v>BUCARAMANGA</v>
      </c>
      <c r="O426" s="10"/>
    </row>
    <row r="427" ht="14.25" customHeight="1">
      <c r="A427" s="1" t="s">
        <v>1379</v>
      </c>
      <c r="B427" s="2" t="s">
        <v>27</v>
      </c>
      <c r="C427" s="2" t="s">
        <v>28</v>
      </c>
      <c r="D427" s="2" t="s">
        <v>1380</v>
      </c>
      <c r="E427" s="3" t="s">
        <v>1381</v>
      </c>
      <c r="F427" s="4" t="s">
        <v>38</v>
      </c>
      <c r="G427" s="4" t="s">
        <v>784</v>
      </c>
      <c r="H427" s="6" t="s">
        <v>1382</v>
      </c>
      <c r="I427" s="4" t="s">
        <v>561</v>
      </c>
      <c r="J427" s="6" t="s">
        <v>1383</v>
      </c>
      <c r="K427" s="25">
        <v>13.0</v>
      </c>
      <c r="L427" s="8" t="str">
        <f t="shared" si="52"/>
        <v>SAN GIL</v>
      </c>
      <c r="O427" s="10"/>
    </row>
    <row r="428" ht="14.25" customHeight="1">
      <c r="A428" s="1" t="s">
        <v>1384</v>
      </c>
      <c r="B428" s="2" t="s">
        <v>27</v>
      </c>
      <c r="C428" s="2" t="s">
        <v>28</v>
      </c>
      <c r="D428" s="2" t="s">
        <v>1385</v>
      </c>
      <c r="E428" s="3" t="s">
        <v>1386</v>
      </c>
      <c r="F428" s="4" t="s">
        <v>38</v>
      </c>
      <c r="G428" s="4" t="s">
        <v>1387</v>
      </c>
      <c r="H428" s="4"/>
      <c r="I428" s="4" t="s">
        <v>182</v>
      </c>
      <c r="J428" s="6" t="s">
        <v>1388</v>
      </c>
      <c r="K428" s="25">
        <v>12.0</v>
      </c>
      <c r="L428" s="8" t="str">
        <f t="shared" si="52"/>
        <v>VALLEDUPAR</v>
      </c>
      <c r="O428" s="10"/>
    </row>
    <row r="429" ht="14.25" customHeight="1">
      <c r="A429" s="1" t="s">
        <v>1389</v>
      </c>
      <c r="B429" s="2" t="s">
        <v>27</v>
      </c>
      <c r="C429" s="2" t="s">
        <v>28</v>
      </c>
      <c r="D429" s="2" t="s">
        <v>1390</v>
      </c>
      <c r="E429" s="3" t="s">
        <v>95</v>
      </c>
      <c r="F429" s="4" t="s">
        <v>69</v>
      </c>
      <c r="G429" s="4" t="s">
        <v>69</v>
      </c>
      <c r="H429" s="6" t="s">
        <v>1391</v>
      </c>
      <c r="I429" s="4" t="s">
        <v>51</v>
      </c>
      <c r="J429" s="6" t="s">
        <v>1392</v>
      </c>
      <c r="K429" s="25">
        <v>5.0</v>
      </c>
      <c r="L429" s="8" t="str">
        <f t="shared" si="52"/>
        <v>BOGOTA</v>
      </c>
      <c r="O429" s="10"/>
    </row>
    <row r="430" ht="14.25" customHeight="1">
      <c r="A430" s="1" t="s">
        <v>1393</v>
      </c>
      <c r="B430" s="2" t="s">
        <v>27</v>
      </c>
      <c r="C430" s="2" t="s">
        <v>28</v>
      </c>
      <c r="D430" s="2" t="s">
        <v>1394</v>
      </c>
      <c r="E430" s="3" t="s">
        <v>1395</v>
      </c>
      <c r="F430" s="4" t="s">
        <v>38</v>
      </c>
      <c r="G430" s="4" t="s">
        <v>81</v>
      </c>
      <c r="H430" s="14"/>
      <c r="I430" s="4" t="s">
        <v>164</v>
      </c>
      <c r="J430" s="6" t="s">
        <v>1257</v>
      </c>
      <c r="K430" s="25">
        <v>10.0</v>
      </c>
      <c r="L430" s="8" t="str">
        <f t="shared" si="52"/>
        <v>FLORIDABLANCA</v>
      </c>
      <c r="O430" s="10"/>
    </row>
    <row r="431" ht="14.25" customHeight="1">
      <c r="A431" s="1" t="s">
        <v>1396</v>
      </c>
      <c r="B431" s="2" t="s">
        <v>27</v>
      </c>
      <c r="C431" s="2" t="s">
        <v>28</v>
      </c>
      <c r="D431" s="2" t="s">
        <v>1397</v>
      </c>
      <c r="E431" s="3" t="s">
        <v>1398</v>
      </c>
      <c r="F431" s="4" t="s">
        <v>38</v>
      </c>
      <c r="G431" s="4" t="s">
        <v>1164</v>
      </c>
      <c r="H431" s="14"/>
      <c r="I431" s="4" t="s">
        <v>164</v>
      </c>
      <c r="J431" s="6" t="s">
        <v>1399</v>
      </c>
      <c r="K431" s="25">
        <v>1.0</v>
      </c>
      <c r="L431" s="8" t="str">
        <f t="shared" si="52"/>
        <v>MALAGA</v>
      </c>
      <c r="O431" s="10"/>
    </row>
    <row r="432" ht="14.25" hidden="1" customHeight="1">
      <c r="A432" s="13" t="s">
        <v>1400</v>
      </c>
      <c r="B432" s="4" t="s">
        <v>27</v>
      </c>
      <c r="C432" s="4" t="s">
        <v>28</v>
      </c>
      <c r="D432" s="4" t="s">
        <v>1401</v>
      </c>
      <c r="E432" s="4">
        <v>3.123645498E9</v>
      </c>
      <c r="F432" s="4" t="s">
        <v>30</v>
      </c>
      <c r="G432" s="4" t="s">
        <v>35</v>
      </c>
      <c r="H432" s="14"/>
      <c r="I432" s="4" t="s">
        <v>32</v>
      </c>
      <c r="J432" s="14"/>
      <c r="K432" s="14"/>
      <c r="L432" s="14"/>
    </row>
    <row r="433" ht="14.25" customHeight="1">
      <c r="A433" s="1" t="s">
        <v>1402</v>
      </c>
      <c r="B433" s="2" t="s">
        <v>27</v>
      </c>
      <c r="C433" s="2" t="s">
        <v>28</v>
      </c>
      <c r="D433" s="2" t="s">
        <v>1403</v>
      </c>
      <c r="E433" s="3" t="s">
        <v>1404</v>
      </c>
      <c r="F433" s="4" t="s">
        <v>38</v>
      </c>
      <c r="G433" s="4" t="s">
        <v>39</v>
      </c>
      <c r="H433" s="14"/>
      <c r="I433" s="4" t="s">
        <v>76</v>
      </c>
      <c r="J433" s="6" t="s">
        <v>1405</v>
      </c>
      <c r="K433" s="25">
        <v>20.0</v>
      </c>
      <c r="L433" s="8" t="str">
        <f t="shared" ref="L433:L434" si="53">UPPER(G433)</f>
        <v>BUCARAMANGA</v>
      </c>
      <c r="O433" s="10"/>
    </row>
    <row r="434" ht="14.25" customHeight="1">
      <c r="A434" s="1" t="s">
        <v>1406</v>
      </c>
      <c r="B434" s="2" t="s">
        <v>27</v>
      </c>
      <c r="C434" s="2" t="s">
        <v>28</v>
      </c>
      <c r="D434" s="2" t="s">
        <v>1407</v>
      </c>
      <c r="E434" s="3" t="s">
        <v>1408</v>
      </c>
      <c r="F434" s="4" t="s">
        <v>38</v>
      </c>
      <c r="G434" s="4" t="s">
        <v>113</v>
      </c>
      <c r="H434" s="4" t="s">
        <v>1409</v>
      </c>
      <c r="I434" s="4" t="s">
        <v>182</v>
      </c>
      <c r="J434" s="6" t="s">
        <v>1410</v>
      </c>
      <c r="K434" s="25">
        <v>9.0</v>
      </c>
      <c r="L434" s="8" t="str">
        <f t="shared" si="53"/>
        <v>BARRANCABERMEJA</v>
      </c>
      <c r="O434" s="10"/>
    </row>
    <row r="435" ht="14.25" hidden="1" customHeight="1">
      <c r="A435" s="13" t="s">
        <v>1411</v>
      </c>
      <c r="B435" s="4" t="s">
        <v>27</v>
      </c>
      <c r="C435" s="4" t="s">
        <v>28</v>
      </c>
      <c r="D435" s="4" t="s">
        <v>1412</v>
      </c>
      <c r="E435" s="4">
        <v>3.23450271E9</v>
      </c>
      <c r="F435" s="4" t="s">
        <v>30</v>
      </c>
      <c r="G435" s="4" t="s">
        <v>35</v>
      </c>
      <c r="H435" s="14"/>
      <c r="I435" s="4" t="s">
        <v>32</v>
      </c>
      <c r="J435" s="14"/>
      <c r="K435" s="14"/>
      <c r="L435" s="14"/>
    </row>
    <row r="436" ht="14.25" hidden="1" customHeight="1">
      <c r="A436" s="13" t="s">
        <v>1413</v>
      </c>
      <c r="B436" s="4" t="s">
        <v>27</v>
      </c>
      <c r="C436" s="4" t="s">
        <v>28</v>
      </c>
      <c r="D436" s="4" t="s">
        <v>1414</v>
      </c>
      <c r="E436" s="4">
        <v>3.113867755E9</v>
      </c>
      <c r="F436" s="4" t="s">
        <v>30</v>
      </c>
      <c r="G436" s="4" t="s">
        <v>35</v>
      </c>
      <c r="H436" s="14"/>
      <c r="I436" s="4" t="s">
        <v>32</v>
      </c>
      <c r="J436" s="14"/>
      <c r="K436" s="14"/>
      <c r="L436" s="14"/>
    </row>
    <row r="437" ht="14.25" customHeight="1">
      <c r="A437" s="1" t="s">
        <v>1415</v>
      </c>
      <c r="B437" s="2" t="s">
        <v>27</v>
      </c>
      <c r="C437" s="2" t="s">
        <v>28</v>
      </c>
      <c r="D437" s="2" t="s">
        <v>1416</v>
      </c>
      <c r="E437" s="3" t="s">
        <v>1417</v>
      </c>
      <c r="F437" s="4" t="s">
        <v>69</v>
      </c>
      <c r="G437" s="4" t="s">
        <v>69</v>
      </c>
      <c r="H437" s="6" t="s">
        <v>1418</v>
      </c>
      <c r="I437" s="4" t="s">
        <v>164</v>
      </c>
      <c r="J437" s="6" t="s">
        <v>919</v>
      </c>
      <c r="K437" s="25">
        <v>27.0</v>
      </c>
      <c r="L437" s="8" t="str">
        <f t="shared" ref="L437:L442" si="54">UPPER(G437)</f>
        <v>BOGOTA</v>
      </c>
      <c r="O437" s="10"/>
    </row>
    <row r="438" ht="14.25" customHeight="1">
      <c r="A438" s="1" t="s">
        <v>1419</v>
      </c>
      <c r="B438" s="2" t="s">
        <v>27</v>
      </c>
      <c r="C438" s="2" t="s">
        <v>28</v>
      </c>
      <c r="D438" s="2" t="s">
        <v>1420</v>
      </c>
      <c r="E438" s="3" t="s">
        <v>1421</v>
      </c>
      <c r="F438" s="4" t="s">
        <v>38</v>
      </c>
      <c r="G438" s="4" t="s">
        <v>39</v>
      </c>
      <c r="H438" s="6" t="s">
        <v>1280</v>
      </c>
      <c r="I438" s="4" t="s">
        <v>164</v>
      </c>
      <c r="J438" s="6" t="s">
        <v>1422</v>
      </c>
      <c r="K438" s="25">
        <v>1.0</v>
      </c>
      <c r="L438" s="8" t="str">
        <f t="shared" si="54"/>
        <v>BUCARAMANGA</v>
      </c>
      <c r="O438" s="10"/>
    </row>
    <row r="439" ht="14.25" customHeight="1">
      <c r="A439" s="1" t="s">
        <v>1423</v>
      </c>
      <c r="B439" s="2" t="s">
        <v>27</v>
      </c>
      <c r="C439" s="2" t="s">
        <v>28</v>
      </c>
      <c r="D439" s="2" t="s">
        <v>1424</v>
      </c>
      <c r="E439" s="3" t="s">
        <v>1425</v>
      </c>
      <c r="F439" s="4" t="s">
        <v>38</v>
      </c>
      <c r="G439" s="4" t="s">
        <v>81</v>
      </c>
      <c r="H439" s="6" t="s">
        <v>1426</v>
      </c>
      <c r="I439" s="4" t="s">
        <v>51</v>
      </c>
      <c r="J439" s="6" t="s">
        <v>638</v>
      </c>
      <c r="K439" s="25">
        <v>22.0</v>
      </c>
      <c r="L439" s="8" t="str">
        <f t="shared" si="54"/>
        <v>FLORIDABLANCA</v>
      </c>
      <c r="O439" s="10"/>
    </row>
    <row r="440" ht="14.25" customHeight="1">
      <c r="A440" s="1" t="s">
        <v>1427</v>
      </c>
      <c r="B440" s="2" t="s">
        <v>27</v>
      </c>
      <c r="C440" s="2" t="s">
        <v>28</v>
      </c>
      <c r="D440" s="2" t="s">
        <v>1428</v>
      </c>
      <c r="E440" s="3" t="s">
        <v>1429</v>
      </c>
      <c r="F440" s="4" t="s">
        <v>38</v>
      </c>
      <c r="G440" s="4" t="s">
        <v>1430</v>
      </c>
      <c r="H440" s="4" t="s">
        <v>357</v>
      </c>
      <c r="I440" s="4" t="s">
        <v>540</v>
      </c>
      <c r="J440" s="6" t="s">
        <v>1431</v>
      </c>
      <c r="K440" s="25">
        <v>2.0</v>
      </c>
      <c r="L440" s="8" t="str">
        <f t="shared" si="54"/>
        <v>SIMACOTA</v>
      </c>
      <c r="O440" s="10"/>
    </row>
    <row r="441" ht="14.25" customHeight="1">
      <c r="A441" s="1" t="s">
        <v>1432</v>
      </c>
      <c r="B441" s="2" t="s">
        <v>27</v>
      </c>
      <c r="C441" s="2" t="s">
        <v>551</v>
      </c>
      <c r="D441" s="2" t="s">
        <v>1433</v>
      </c>
      <c r="E441" s="3" t="s">
        <v>1434</v>
      </c>
      <c r="F441" s="4" t="s">
        <v>38</v>
      </c>
      <c r="G441" s="4" t="s">
        <v>113</v>
      </c>
      <c r="H441" s="14"/>
      <c r="I441" s="4" t="s">
        <v>1373</v>
      </c>
      <c r="J441" s="6" t="s">
        <v>1435</v>
      </c>
      <c r="K441" s="7">
        <v>2.0</v>
      </c>
      <c r="L441" s="8" t="str">
        <f t="shared" si="54"/>
        <v>BARRANCABERMEJA</v>
      </c>
      <c r="O441" s="10"/>
    </row>
    <row r="442" ht="14.25" customHeight="1">
      <c r="A442" s="1" t="s">
        <v>1436</v>
      </c>
      <c r="B442" s="2" t="s">
        <v>27</v>
      </c>
      <c r="C442" s="2" t="s">
        <v>28</v>
      </c>
      <c r="D442" s="2" t="s">
        <v>1437</v>
      </c>
      <c r="E442" s="3" t="s">
        <v>1438</v>
      </c>
      <c r="F442" s="4" t="s">
        <v>69</v>
      </c>
      <c r="G442" s="4" t="s">
        <v>69</v>
      </c>
      <c r="H442" s="14"/>
      <c r="I442" s="4" t="s">
        <v>51</v>
      </c>
      <c r="J442" s="6"/>
      <c r="K442" s="7"/>
      <c r="L442" s="8" t="str">
        <f t="shared" si="54"/>
        <v>BOGOTA</v>
      </c>
      <c r="M442" s="9"/>
      <c r="N442" s="11" t="s">
        <v>59</v>
      </c>
      <c r="O442" s="10"/>
      <c r="P442" s="11" t="s">
        <v>1343</v>
      </c>
    </row>
    <row r="443" ht="14.25" hidden="1" customHeight="1">
      <c r="A443" s="13" t="s">
        <v>1439</v>
      </c>
      <c r="B443" s="4" t="s">
        <v>27</v>
      </c>
      <c r="C443" s="4" t="s">
        <v>28</v>
      </c>
      <c r="D443" s="4" t="s">
        <v>1440</v>
      </c>
      <c r="E443" s="4">
        <v>3.102211527E9</v>
      </c>
      <c r="F443" s="4" t="s">
        <v>30</v>
      </c>
      <c r="G443" s="4" t="s">
        <v>35</v>
      </c>
      <c r="H443" s="14"/>
      <c r="I443" s="4" t="s">
        <v>32</v>
      </c>
      <c r="J443" s="14"/>
      <c r="K443" s="14"/>
      <c r="L443" s="14"/>
    </row>
    <row r="444" ht="14.25" hidden="1" customHeight="1">
      <c r="A444" s="13" t="s">
        <v>1441</v>
      </c>
      <c r="B444" s="4" t="s">
        <v>27</v>
      </c>
      <c r="C444" s="4" t="s">
        <v>28</v>
      </c>
      <c r="D444" s="4" t="s">
        <v>1442</v>
      </c>
      <c r="E444" s="4">
        <v>3.125540939E9</v>
      </c>
      <c r="F444" s="4" t="s">
        <v>30</v>
      </c>
      <c r="G444" s="4" t="s">
        <v>35</v>
      </c>
      <c r="H444" s="14"/>
      <c r="I444" s="4" t="s">
        <v>32</v>
      </c>
      <c r="J444" s="14"/>
      <c r="K444" s="14"/>
      <c r="L444" s="14"/>
    </row>
    <row r="445" ht="14.25" customHeight="1">
      <c r="A445" s="1" t="s">
        <v>1443</v>
      </c>
      <c r="B445" s="2" t="s">
        <v>27</v>
      </c>
      <c r="C445" s="2" t="s">
        <v>28</v>
      </c>
      <c r="D445" s="2" t="s">
        <v>1444</v>
      </c>
      <c r="E445" s="3" t="s">
        <v>1445</v>
      </c>
      <c r="F445" s="4" t="s">
        <v>69</v>
      </c>
      <c r="G445" s="4" t="s">
        <v>69</v>
      </c>
      <c r="H445" s="14"/>
      <c r="I445" s="4" t="s">
        <v>182</v>
      </c>
      <c r="J445" s="6" t="s">
        <v>1446</v>
      </c>
      <c r="K445" s="25">
        <v>221.0</v>
      </c>
      <c r="L445" s="8" t="str">
        <f>UPPER(G445)</f>
        <v>BOGOTA</v>
      </c>
      <c r="O445" s="10"/>
    </row>
    <row r="446" ht="14.25" hidden="1" customHeight="1">
      <c r="A446" s="13" t="s">
        <v>1447</v>
      </c>
      <c r="B446" s="4" t="s">
        <v>27</v>
      </c>
      <c r="C446" s="4" t="s">
        <v>28</v>
      </c>
      <c r="D446" s="4" t="s">
        <v>1448</v>
      </c>
      <c r="E446" s="4">
        <v>3.213289711E9</v>
      </c>
      <c r="F446" s="4" t="s">
        <v>30</v>
      </c>
      <c r="G446" s="4" t="s">
        <v>35</v>
      </c>
      <c r="H446" s="14"/>
      <c r="I446" s="4" t="s">
        <v>32</v>
      </c>
      <c r="J446" s="14"/>
      <c r="K446" s="14"/>
      <c r="L446" s="14"/>
    </row>
    <row r="447" ht="14.25" customHeight="1">
      <c r="A447" s="1" t="s">
        <v>1449</v>
      </c>
      <c r="B447" s="2" t="s">
        <v>27</v>
      </c>
      <c r="C447" s="2" t="s">
        <v>28</v>
      </c>
      <c r="D447" s="2" t="s">
        <v>1450</v>
      </c>
      <c r="E447" s="3" t="s">
        <v>442</v>
      </c>
      <c r="F447" s="4" t="s">
        <v>38</v>
      </c>
      <c r="G447" s="4" t="s">
        <v>81</v>
      </c>
      <c r="H447" s="6" t="s">
        <v>1269</v>
      </c>
      <c r="I447" s="4" t="s">
        <v>540</v>
      </c>
      <c r="J447" s="6" t="s">
        <v>388</v>
      </c>
      <c r="K447" s="25">
        <v>1.0</v>
      </c>
      <c r="L447" s="8" t="str">
        <f t="shared" ref="L447:L448" si="55">UPPER(G447)</f>
        <v>FLORIDABLANCA</v>
      </c>
      <c r="O447" s="10"/>
    </row>
    <row r="448" ht="14.25" customHeight="1">
      <c r="A448" s="1" t="s">
        <v>1451</v>
      </c>
      <c r="B448" s="2" t="s">
        <v>27</v>
      </c>
      <c r="C448" s="2" t="s">
        <v>28</v>
      </c>
      <c r="D448" s="2" t="s">
        <v>1452</v>
      </c>
      <c r="E448" s="3" t="s">
        <v>1453</v>
      </c>
      <c r="F448" s="4" t="s">
        <v>38</v>
      </c>
      <c r="G448" s="4" t="s">
        <v>81</v>
      </c>
      <c r="H448" s="6" t="s">
        <v>1454</v>
      </c>
      <c r="I448" s="4" t="s">
        <v>51</v>
      </c>
      <c r="J448" s="6" t="s">
        <v>411</v>
      </c>
      <c r="K448" s="25">
        <v>5.0</v>
      </c>
      <c r="L448" s="8" t="str">
        <f t="shared" si="55"/>
        <v>FLORIDABLANCA</v>
      </c>
      <c r="O448" s="10"/>
    </row>
    <row r="449" ht="14.25" hidden="1" customHeight="1">
      <c r="A449" s="13" t="s">
        <v>1455</v>
      </c>
      <c r="B449" s="4" t="s">
        <v>27</v>
      </c>
      <c r="C449" s="4" t="s">
        <v>28</v>
      </c>
      <c r="D449" s="4" t="s">
        <v>1456</v>
      </c>
      <c r="E449" s="4">
        <v>3.102211527E9</v>
      </c>
      <c r="F449" s="4" t="s">
        <v>30</v>
      </c>
      <c r="G449" s="4" t="s">
        <v>35</v>
      </c>
      <c r="H449" s="14"/>
      <c r="I449" s="4" t="s">
        <v>32</v>
      </c>
      <c r="J449" s="30"/>
      <c r="K449" s="30"/>
      <c r="L449" s="14"/>
    </row>
    <row r="450" ht="14.25" customHeight="1">
      <c r="A450" s="1" t="s">
        <v>1457</v>
      </c>
      <c r="B450" s="2" t="s">
        <v>27</v>
      </c>
      <c r="C450" s="2" t="s">
        <v>28</v>
      </c>
      <c r="D450" s="2" t="s">
        <v>1458</v>
      </c>
      <c r="E450" s="3" t="s">
        <v>1459</v>
      </c>
      <c r="F450" s="4" t="s">
        <v>38</v>
      </c>
      <c r="G450" s="4" t="s">
        <v>39</v>
      </c>
      <c r="H450" s="6" t="s">
        <v>1460</v>
      </c>
      <c r="I450" s="4" t="s">
        <v>540</v>
      </c>
      <c r="J450" s="6" t="s">
        <v>1461</v>
      </c>
      <c r="K450" s="25">
        <v>3.0</v>
      </c>
      <c r="L450" s="8" t="str">
        <f>UPPER(G450)</f>
        <v>BUCARAMANGA</v>
      </c>
      <c r="O450" s="10"/>
    </row>
    <row r="451" ht="14.25" hidden="1" customHeight="1">
      <c r="A451" s="13" t="s">
        <v>1462</v>
      </c>
      <c r="B451" s="4" t="s">
        <v>27</v>
      </c>
      <c r="C451" s="4" t="s">
        <v>28</v>
      </c>
      <c r="D451" s="4" t="s">
        <v>1463</v>
      </c>
      <c r="E451" s="4">
        <v>3.125007711E9</v>
      </c>
      <c r="F451" s="4" t="s">
        <v>30</v>
      </c>
      <c r="G451" s="4" t="s">
        <v>35</v>
      </c>
      <c r="H451" s="14"/>
      <c r="I451" s="4" t="s">
        <v>32</v>
      </c>
      <c r="J451" s="14"/>
      <c r="K451" s="14"/>
      <c r="L451" s="14"/>
    </row>
    <row r="452" ht="14.25" hidden="1" customHeight="1">
      <c r="A452" s="13" t="s">
        <v>1464</v>
      </c>
      <c r="B452" s="4" t="s">
        <v>27</v>
      </c>
      <c r="C452" s="4" t="s">
        <v>28</v>
      </c>
      <c r="D452" s="4" t="s">
        <v>1465</v>
      </c>
      <c r="E452" s="4">
        <v>3.213289711E9</v>
      </c>
      <c r="F452" s="4" t="s">
        <v>30</v>
      </c>
      <c r="G452" s="4" t="s">
        <v>35</v>
      </c>
      <c r="H452" s="14"/>
      <c r="I452" s="4" t="s">
        <v>32</v>
      </c>
      <c r="J452" s="14"/>
      <c r="K452" s="14"/>
      <c r="L452" s="14"/>
    </row>
    <row r="453" ht="14.25" customHeight="1">
      <c r="A453" s="1" t="s">
        <v>1466</v>
      </c>
      <c r="B453" s="2" t="s">
        <v>27</v>
      </c>
      <c r="C453" s="2" t="s">
        <v>28</v>
      </c>
      <c r="D453" s="2" t="s">
        <v>1467</v>
      </c>
      <c r="E453" s="3" t="s">
        <v>1468</v>
      </c>
      <c r="F453" s="4" t="s">
        <v>38</v>
      </c>
      <c r="G453" s="4" t="s">
        <v>81</v>
      </c>
      <c r="H453" s="6" t="s">
        <v>1469</v>
      </c>
      <c r="I453" s="4" t="s">
        <v>561</v>
      </c>
      <c r="J453" s="6" t="s">
        <v>1470</v>
      </c>
      <c r="K453" s="25">
        <v>5.0</v>
      </c>
      <c r="L453" s="8" t="str">
        <f>UPPER(G453)</f>
        <v>FLORIDABLANCA</v>
      </c>
      <c r="O453" s="10"/>
    </row>
    <row r="454" ht="14.25" hidden="1" customHeight="1">
      <c r="A454" s="13" t="s">
        <v>1471</v>
      </c>
      <c r="B454" s="4" t="s">
        <v>27</v>
      </c>
      <c r="C454" s="4" t="s">
        <v>28</v>
      </c>
      <c r="D454" s="4" t="s">
        <v>1472</v>
      </c>
      <c r="E454" s="4">
        <v>3.227649445E9</v>
      </c>
      <c r="F454" s="4" t="s">
        <v>30</v>
      </c>
      <c r="G454" s="4" t="s">
        <v>35</v>
      </c>
      <c r="H454" s="14"/>
      <c r="I454" s="4" t="s">
        <v>32</v>
      </c>
      <c r="J454" s="14"/>
      <c r="K454" s="14"/>
      <c r="L454" s="14"/>
    </row>
    <row r="455" ht="14.25" customHeight="1">
      <c r="A455" s="1" t="s">
        <v>1473</v>
      </c>
      <c r="B455" s="2" t="s">
        <v>27</v>
      </c>
      <c r="C455" s="2" t="s">
        <v>28</v>
      </c>
      <c r="D455" s="2" t="s">
        <v>1474</v>
      </c>
      <c r="E455" s="3" t="s">
        <v>1475</v>
      </c>
      <c r="F455" s="4" t="s">
        <v>38</v>
      </c>
      <c r="G455" s="4" t="s">
        <v>201</v>
      </c>
      <c r="H455" s="14"/>
      <c r="I455" s="4" t="s">
        <v>164</v>
      </c>
      <c r="J455" s="6" t="s">
        <v>202</v>
      </c>
      <c r="K455" s="25">
        <v>5.0</v>
      </c>
      <c r="L455" s="8" t="str">
        <f t="shared" ref="L455:L460" si="56">UPPER(G455)</f>
        <v>LEBRIJA</v>
      </c>
      <c r="O455" s="10"/>
    </row>
    <row r="456" ht="14.25" customHeight="1">
      <c r="A456" s="1" t="s">
        <v>1476</v>
      </c>
      <c r="B456" s="2" t="s">
        <v>27</v>
      </c>
      <c r="C456" s="2" t="s">
        <v>28</v>
      </c>
      <c r="D456" s="2" t="s">
        <v>1477</v>
      </c>
      <c r="E456" s="3" t="s">
        <v>1478</v>
      </c>
      <c r="F456" s="4" t="s">
        <v>38</v>
      </c>
      <c r="G456" s="4" t="s">
        <v>81</v>
      </c>
      <c r="H456" s="4" t="s">
        <v>1469</v>
      </c>
      <c r="I456" s="4" t="s">
        <v>561</v>
      </c>
      <c r="J456" s="6" t="s">
        <v>1470</v>
      </c>
      <c r="K456" s="25">
        <v>14.0</v>
      </c>
      <c r="L456" s="8" t="str">
        <f t="shared" si="56"/>
        <v>FLORIDABLANCA</v>
      </c>
      <c r="O456" s="10"/>
    </row>
    <row r="457" ht="14.25" customHeight="1">
      <c r="A457" s="1" t="s">
        <v>1479</v>
      </c>
      <c r="B457" s="2" t="s">
        <v>27</v>
      </c>
      <c r="C457" s="2" t="s">
        <v>28</v>
      </c>
      <c r="D457" s="2" t="s">
        <v>1480</v>
      </c>
      <c r="E457" s="3" t="s">
        <v>1481</v>
      </c>
      <c r="F457" s="4" t="s">
        <v>38</v>
      </c>
      <c r="G457" s="4" t="s">
        <v>39</v>
      </c>
      <c r="H457" s="6" t="s">
        <v>1482</v>
      </c>
      <c r="I457" s="4" t="s">
        <v>76</v>
      </c>
      <c r="J457" s="6" t="s">
        <v>1483</v>
      </c>
      <c r="K457" s="25">
        <v>21.0</v>
      </c>
      <c r="L457" s="8" t="str">
        <f t="shared" si="56"/>
        <v>BUCARAMANGA</v>
      </c>
      <c r="O457" s="10"/>
    </row>
    <row r="458" ht="14.25" customHeight="1">
      <c r="A458" s="1" t="s">
        <v>1484</v>
      </c>
      <c r="B458" s="2" t="s">
        <v>27</v>
      </c>
      <c r="C458" s="2" t="s">
        <v>28</v>
      </c>
      <c r="D458" s="2" t="s">
        <v>1485</v>
      </c>
      <c r="E458" s="3" t="s">
        <v>1486</v>
      </c>
      <c r="F458" s="4" t="s">
        <v>38</v>
      </c>
      <c r="G458" s="4" t="s">
        <v>1487</v>
      </c>
      <c r="H458" s="14"/>
      <c r="I458" s="4" t="s">
        <v>358</v>
      </c>
      <c r="J458" s="6" t="s">
        <v>1488</v>
      </c>
      <c r="K458" s="25">
        <v>1.0</v>
      </c>
      <c r="L458" s="8" t="str">
        <f t="shared" si="56"/>
        <v>YONDO</v>
      </c>
      <c r="O458" s="10"/>
    </row>
    <row r="459" ht="14.25" customHeight="1">
      <c r="A459" s="1" t="s">
        <v>1489</v>
      </c>
      <c r="B459" s="2" t="s">
        <v>27</v>
      </c>
      <c r="C459" s="2" t="s">
        <v>28</v>
      </c>
      <c r="D459" s="2" t="s">
        <v>1490</v>
      </c>
      <c r="E459" s="3" t="s">
        <v>1491</v>
      </c>
      <c r="F459" s="4" t="s">
        <v>69</v>
      </c>
      <c r="G459" s="4" t="s">
        <v>69</v>
      </c>
      <c r="H459" s="14"/>
      <c r="I459" s="4" t="s">
        <v>51</v>
      </c>
      <c r="J459" s="6" t="s">
        <v>1492</v>
      </c>
      <c r="K459" s="25">
        <v>2.0</v>
      </c>
      <c r="L459" s="8" t="str">
        <f t="shared" si="56"/>
        <v>BOGOTA</v>
      </c>
      <c r="O459" s="10"/>
    </row>
    <row r="460" ht="14.25" customHeight="1">
      <c r="A460" s="1" t="s">
        <v>1493</v>
      </c>
      <c r="B460" s="2" t="s">
        <v>27</v>
      </c>
      <c r="C460" s="2" t="s">
        <v>28</v>
      </c>
      <c r="D460" s="2" t="s">
        <v>1494</v>
      </c>
      <c r="E460" s="3" t="s">
        <v>1495</v>
      </c>
      <c r="F460" s="4" t="s">
        <v>38</v>
      </c>
      <c r="G460" s="4" t="s">
        <v>39</v>
      </c>
      <c r="H460" s="14"/>
      <c r="I460" s="4" t="s">
        <v>76</v>
      </c>
      <c r="J460" s="6" t="s">
        <v>477</v>
      </c>
      <c r="K460" s="25">
        <v>33.0</v>
      </c>
      <c r="L460" s="8" t="str">
        <f t="shared" si="56"/>
        <v>BUCARAMANGA</v>
      </c>
      <c r="O460" s="10"/>
    </row>
    <row r="461" ht="14.25" hidden="1" customHeight="1">
      <c r="A461" s="13" t="s">
        <v>1496</v>
      </c>
      <c r="B461" s="4" t="s">
        <v>27</v>
      </c>
      <c r="C461" s="4" t="s">
        <v>28</v>
      </c>
      <c r="D461" s="4" t="s">
        <v>1497</v>
      </c>
      <c r="E461" s="4">
        <v>3.113867755E9</v>
      </c>
      <c r="F461" s="4" t="s">
        <v>30</v>
      </c>
      <c r="G461" s="4" t="s">
        <v>35</v>
      </c>
      <c r="H461" s="14"/>
      <c r="I461" s="4" t="s">
        <v>32</v>
      </c>
      <c r="J461" s="14"/>
      <c r="K461" s="14"/>
      <c r="L461" s="14"/>
    </row>
    <row r="462" ht="14.25" hidden="1" customHeight="1">
      <c r="A462" s="13" t="s">
        <v>1498</v>
      </c>
      <c r="B462" s="4" t="s">
        <v>27</v>
      </c>
      <c r="C462" s="4" t="s">
        <v>28</v>
      </c>
      <c r="D462" s="4" t="s">
        <v>1499</v>
      </c>
      <c r="E462" s="4">
        <v>3.22292338E9</v>
      </c>
      <c r="F462" s="4" t="s">
        <v>30</v>
      </c>
      <c r="G462" s="4" t="s">
        <v>31</v>
      </c>
      <c r="H462" s="14"/>
      <c r="I462" s="4" t="s">
        <v>32</v>
      </c>
      <c r="J462" s="14"/>
      <c r="K462" s="14"/>
      <c r="L462" s="14"/>
    </row>
    <row r="463" ht="14.25" customHeight="1">
      <c r="A463" s="1" t="s">
        <v>1500</v>
      </c>
      <c r="B463" s="2" t="s">
        <v>27</v>
      </c>
      <c r="C463" s="2" t="s">
        <v>28</v>
      </c>
      <c r="D463" s="2" t="s">
        <v>1501</v>
      </c>
      <c r="E463" s="3" t="s">
        <v>1502</v>
      </c>
      <c r="F463" s="4" t="s">
        <v>655</v>
      </c>
      <c r="G463" s="4" t="s">
        <v>1503</v>
      </c>
      <c r="H463" s="14"/>
      <c r="I463" s="4" t="s">
        <v>561</v>
      </c>
      <c r="J463" s="6" t="s">
        <v>1504</v>
      </c>
      <c r="K463" s="25">
        <v>1.0</v>
      </c>
      <c r="L463" s="8" t="str">
        <f>UPPER(G463)</f>
        <v>CACHIRA</v>
      </c>
      <c r="O463" s="10"/>
    </row>
    <row r="464" ht="14.25" hidden="1" customHeight="1">
      <c r="A464" s="13" t="s">
        <v>1505</v>
      </c>
      <c r="B464" s="4" t="s">
        <v>27</v>
      </c>
      <c r="C464" s="4" t="s">
        <v>28</v>
      </c>
      <c r="D464" s="4" t="s">
        <v>1506</v>
      </c>
      <c r="E464" s="4">
        <v>3.125540939E9</v>
      </c>
      <c r="F464" s="4" t="s">
        <v>30</v>
      </c>
      <c r="G464" s="4" t="s">
        <v>35</v>
      </c>
      <c r="H464" s="14"/>
      <c r="I464" s="4" t="s">
        <v>32</v>
      </c>
      <c r="J464" s="14"/>
      <c r="K464" s="14"/>
      <c r="L464" s="14"/>
    </row>
    <row r="465" ht="14.25" hidden="1" customHeight="1">
      <c r="A465" s="13" t="s">
        <v>1507</v>
      </c>
      <c r="B465" s="4" t="s">
        <v>27</v>
      </c>
      <c r="C465" s="4" t="s">
        <v>28</v>
      </c>
      <c r="D465" s="4" t="s">
        <v>1508</v>
      </c>
      <c r="E465" s="4">
        <v>3.102211527E9</v>
      </c>
      <c r="F465" s="4" t="s">
        <v>30</v>
      </c>
      <c r="G465" s="4" t="s">
        <v>35</v>
      </c>
      <c r="H465" s="14"/>
      <c r="I465" s="4" t="s">
        <v>32</v>
      </c>
      <c r="J465" s="14"/>
      <c r="K465" s="14"/>
      <c r="L465" s="14"/>
    </row>
    <row r="466" ht="14.25" hidden="1" customHeight="1">
      <c r="A466" s="13" t="s">
        <v>1509</v>
      </c>
      <c r="B466" s="4" t="s">
        <v>27</v>
      </c>
      <c r="C466" s="4" t="s">
        <v>28</v>
      </c>
      <c r="D466" s="4" t="s">
        <v>1510</v>
      </c>
      <c r="E466" s="4">
        <v>3.124295466E9</v>
      </c>
      <c r="F466" s="4" t="s">
        <v>30</v>
      </c>
      <c r="G466" s="4" t="s">
        <v>35</v>
      </c>
      <c r="H466" s="14"/>
      <c r="I466" s="4" t="s">
        <v>32</v>
      </c>
      <c r="J466" s="14"/>
      <c r="K466" s="14"/>
      <c r="L466" s="14"/>
    </row>
    <row r="467" ht="14.25" customHeight="1">
      <c r="A467" s="1" t="s">
        <v>1511</v>
      </c>
      <c r="B467" s="2" t="s">
        <v>27</v>
      </c>
      <c r="C467" s="2" t="s">
        <v>28</v>
      </c>
      <c r="D467" s="2" t="s">
        <v>1512</v>
      </c>
      <c r="E467" s="3" t="s">
        <v>1513</v>
      </c>
      <c r="F467" s="4" t="s">
        <v>38</v>
      </c>
      <c r="G467" s="4" t="s">
        <v>113</v>
      </c>
      <c r="H467" s="4" t="s">
        <v>1514</v>
      </c>
      <c r="I467" s="4" t="s">
        <v>182</v>
      </c>
      <c r="J467" s="6" t="s">
        <v>1515</v>
      </c>
      <c r="K467" s="25">
        <v>3.0</v>
      </c>
      <c r="L467" s="8" t="str">
        <f t="shared" ref="L467:L471" si="57">UPPER(G467)</f>
        <v>BARRANCABERMEJA</v>
      </c>
      <c r="O467" s="10"/>
    </row>
    <row r="468" ht="14.25" customHeight="1">
      <c r="A468" s="1" t="s">
        <v>1516</v>
      </c>
      <c r="B468" s="2" t="s">
        <v>27</v>
      </c>
      <c r="C468" s="2" t="s">
        <v>66</v>
      </c>
      <c r="D468" s="2" t="s">
        <v>1517</v>
      </c>
      <c r="E468" s="3" t="s">
        <v>1518</v>
      </c>
      <c r="F468" s="4" t="s">
        <v>38</v>
      </c>
      <c r="G468" s="4" t="s">
        <v>113</v>
      </c>
      <c r="H468" s="4" t="s">
        <v>1519</v>
      </c>
      <c r="I468" s="4" t="s">
        <v>358</v>
      </c>
      <c r="J468" s="6" t="s">
        <v>1520</v>
      </c>
      <c r="K468" s="7">
        <v>6.0</v>
      </c>
      <c r="L468" s="8" t="str">
        <f t="shared" si="57"/>
        <v>BARRANCABERMEJA</v>
      </c>
      <c r="O468" s="10"/>
    </row>
    <row r="469" ht="14.25" customHeight="1">
      <c r="A469" s="1" t="s">
        <v>1521</v>
      </c>
      <c r="B469" s="2" t="s">
        <v>27</v>
      </c>
      <c r="C469" s="2" t="s">
        <v>28</v>
      </c>
      <c r="D469" s="2" t="s">
        <v>1522</v>
      </c>
      <c r="E469" s="3" t="s">
        <v>1523</v>
      </c>
      <c r="F469" s="4" t="s">
        <v>38</v>
      </c>
      <c r="G469" s="4" t="s">
        <v>1524</v>
      </c>
      <c r="H469" s="4" t="s">
        <v>1036</v>
      </c>
      <c r="I469" s="4" t="s">
        <v>561</v>
      </c>
      <c r="J469" s="6" t="s">
        <v>171</v>
      </c>
      <c r="K469" s="25">
        <v>4.0</v>
      </c>
      <c r="L469" s="8" t="str">
        <f t="shared" si="57"/>
        <v>SAN ANDRES</v>
      </c>
      <c r="O469" s="10"/>
    </row>
    <row r="470" ht="14.25" customHeight="1">
      <c r="A470" s="1" t="s">
        <v>1525</v>
      </c>
      <c r="B470" s="2" t="s">
        <v>27</v>
      </c>
      <c r="C470" s="2" t="s">
        <v>28</v>
      </c>
      <c r="D470" s="2" t="s">
        <v>1526</v>
      </c>
      <c r="E470" s="3" t="s">
        <v>1527</v>
      </c>
      <c r="F470" s="4" t="s">
        <v>38</v>
      </c>
      <c r="G470" s="4" t="s">
        <v>113</v>
      </c>
      <c r="H470" s="14"/>
      <c r="I470" s="4" t="s">
        <v>358</v>
      </c>
      <c r="J470" s="6" t="s">
        <v>1528</v>
      </c>
      <c r="K470" s="25">
        <v>5.0</v>
      </c>
      <c r="L470" s="8" t="str">
        <f t="shared" si="57"/>
        <v>BARRANCABERMEJA</v>
      </c>
      <c r="O470" s="10"/>
    </row>
    <row r="471" ht="14.25" customHeight="1">
      <c r="A471" s="1" t="s">
        <v>1529</v>
      </c>
      <c r="B471" s="2" t="s">
        <v>27</v>
      </c>
      <c r="C471" s="2" t="s">
        <v>28</v>
      </c>
      <c r="D471" s="2" t="s">
        <v>1530</v>
      </c>
      <c r="E471" s="3" t="s">
        <v>1531</v>
      </c>
      <c r="F471" s="4" t="s">
        <v>38</v>
      </c>
      <c r="G471" s="4" t="s">
        <v>39</v>
      </c>
      <c r="H471" s="4" t="s">
        <v>40</v>
      </c>
      <c r="I471" s="4" t="s">
        <v>561</v>
      </c>
      <c r="J471" s="6"/>
      <c r="K471" s="7"/>
      <c r="L471" s="8" t="str">
        <f t="shared" si="57"/>
        <v>BUCARAMANGA</v>
      </c>
      <c r="M471" s="9"/>
      <c r="N471" s="11" t="s">
        <v>59</v>
      </c>
      <c r="O471" s="10"/>
      <c r="P471" s="11" t="s">
        <v>1532</v>
      </c>
    </row>
    <row r="472" ht="14.25" hidden="1" customHeight="1">
      <c r="A472" s="13" t="s">
        <v>1533</v>
      </c>
      <c r="B472" s="4" t="s">
        <v>27</v>
      </c>
      <c r="C472" s="4" t="s">
        <v>28</v>
      </c>
      <c r="D472" s="4" t="s">
        <v>1534</v>
      </c>
      <c r="E472" s="4">
        <v>3.104858589E9</v>
      </c>
      <c r="F472" s="4" t="s">
        <v>30</v>
      </c>
      <c r="G472" s="4" t="s">
        <v>31</v>
      </c>
      <c r="H472" s="14"/>
      <c r="I472" s="4" t="s">
        <v>32</v>
      </c>
      <c r="J472" s="14"/>
      <c r="K472" s="14"/>
      <c r="L472" s="14"/>
    </row>
    <row r="473" ht="14.25" hidden="1" customHeight="1">
      <c r="A473" s="13" t="s">
        <v>1535</v>
      </c>
      <c r="B473" s="4" t="s">
        <v>27</v>
      </c>
      <c r="C473" s="4" t="s">
        <v>28</v>
      </c>
      <c r="D473" s="4" t="s">
        <v>1536</v>
      </c>
      <c r="E473" s="4">
        <v>3.118713141E9</v>
      </c>
      <c r="F473" s="4" t="s">
        <v>30</v>
      </c>
      <c r="G473" s="4" t="s">
        <v>35</v>
      </c>
      <c r="H473" s="14"/>
      <c r="I473" s="4" t="s">
        <v>32</v>
      </c>
      <c r="J473" s="14"/>
      <c r="K473" s="14"/>
      <c r="L473" s="14"/>
    </row>
    <row r="474" ht="14.25" hidden="1" customHeight="1">
      <c r="A474" s="13" t="s">
        <v>1537</v>
      </c>
      <c r="B474" s="4" t="s">
        <v>27</v>
      </c>
      <c r="C474" s="4" t="s">
        <v>28</v>
      </c>
      <c r="D474" s="4" t="s">
        <v>1538</v>
      </c>
      <c r="E474" s="4">
        <v>3.22731914E9</v>
      </c>
      <c r="F474" s="4" t="s">
        <v>30</v>
      </c>
      <c r="G474" s="4" t="s">
        <v>35</v>
      </c>
      <c r="H474" s="14"/>
      <c r="I474" s="4" t="s">
        <v>32</v>
      </c>
      <c r="J474" s="14"/>
      <c r="K474" s="14"/>
      <c r="L474" s="14"/>
    </row>
    <row r="475" ht="14.25" hidden="1" customHeight="1">
      <c r="A475" s="13" t="s">
        <v>1539</v>
      </c>
      <c r="B475" s="4" t="s">
        <v>27</v>
      </c>
      <c r="C475" s="4" t="s">
        <v>28</v>
      </c>
      <c r="D475" s="4" t="s">
        <v>1540</v>
      </c>
      <c r="E475" s="4">
        <v>3.229457091E9</v>
      </c>
      <c r="F475" s="4" t="s">
        <v>30</v>
      </c>
      <c r="G475" s="4" t="s">
        <v>31</v>
      </c>
      <c r="H475" s="30"/>
      <c r="I475" s="4" t="s">
        <v>32</v>
      </c>
      <c r="J475" s="14"/>
      <c r="K475" s="14"/>
      <c r="L475" s="14"/>
    </row>
    <row r="476" ht="14.25" customHeight="1">
      <c r="A476" s="1" t="s">
        <v>1541</v>
      </c>
      <c r="B476" s="2" t="s">
        <v>27</v>
      </c>
      <c r="C476" s="2" t="s">
        <v>28</v>
      </c>
      <c r="D476" s="2" t="s">
        <v>1542</v>
      </c>
      <c r="E476" s="3" t="s">
        <v>1543</v>
      </c>
      <c r="F476" s="4" t="s">
        <v>38</v>
      </c>
      <c r="G476" s="4" t="s">
        <v>81</v>
      </c>
      <c r="H476" s="14"/>
      <c r="I476" s="4" t="s">
        <v>561</v>
      </c>
      <c r="J476" s="6" t="s">
        <v>388</v>
      </c>
      <c r="K476" s="25">
        <v>4.0</v>
      </c>
      <c r="L476" s="8" t="str">
        <f>UPPER(G476)</f>
        <v>FLORIDABLANCA</v>
      </c>
      <c r="O476" s="10"/>
    </row>
    <row r="477" ht="14.25" hidden="1" customHeight="1">
      <c r="A477" s="13" t="s">
        <v>1544</v>
      </c>
      <c r="B477" s="4" t="s">
        <v>27</v>
      </c>
      <c r="C477" s="4" t="s">
        <v>28</v>
      </c>
      <c r="D477" s="4" t="s">
        <v>1545</v>
      </c>
      <c r="E477" s="4">
        <v>3.125540939E9</v>
      </c>
      <c r="F477" s="4" t="s">
        <v>30</v>
      </c>
      <c r="G477" s="4" t="s">
        <v>35</v>
      </c>
      <c r="H477" s="14"/>
      <c r="I477" s="4" t="s">
        <v>32</v>
      </c>
      <c r="J477" s="14"/>
      <c r="K477" s="14"/>
      <c r="L477" s="14"/>
    </row>
    <row r="478" ht="14.25" hidden="1" customHeight="1">
      <c r="A478" s="13" t="s">
        <v>1546</v>
      </c>
      <c r="B478" s="4" t="s">
        <v>27</v>
      </c>
      <c r="C478" s="4" t="s">
        <v>28</v>
      </c>
      <c r="D478" s="4" t="s">
        <v>1547</v>
      </c>
      <c r="E478" s="4">
        <v>3.118713141E9</v>
      </c>
      <c r="F478" s="4" t="s">
        <v>30</v>
      </c>
      <c r="G478" s="4" t="s">
        <v>35</v>
      </c>
      <c r="H478" s="14"/>
      <c r="I478" s="4" t="s">
        <v>32</v>
      </c>
      <c r="J478" s="14"/>
      <c r="K478" s="14"/>
      <c r="L478" s="14"/>
    </row>
    <row r="479" ht="14.25" hidden="1" customHeight="1">
      <c r="A479" s="13" t="s">
        <v>1548</v>
      </c>
      <c r="B479" s="4" t="s">
        <v>27</v>
      </c>
      <c r="C479" s="4" t="s">
        <v>28</v>
      </c>
      <c r="D479" s="4" t="s">
        <v>1549</v>
      </c>
      <c r="E479" s="4">
        <v>3.118713141E9</v>
      </c>
      <c r="F479" s="4" t="s">
        <v>30</v>
      </c>
      <c r="G479" s="4" t="s">
        <v>35</v>
      </c>
      <c r="H479" s="14"/>
      <c r="I479" s="4" t="s">
        <v>32</v>
      </c>
      <c r="J479" s="14"/>
      <c r="K479" s="14"/>
      <c r="L479" s="14"/>
    </row>
    <row r="480" ht="14.25" hidden="1" customHeight="1">
      <c r="A480" s="13" t="s">
        <v>1550</v>
      </c>
      <c r="B480" s="4" t="s">
        <v>27</v>
      </c>
      <c r="C480" s="4" t="s">
        <v>28</v>
      </c>
      <c r="D480" s="4" t="s">
        <v>1551</v>
      </c>
      <c r="E480" s="4">
        <v>3.112872142E9</v>
      </c>
      <c r="F480" s="4" t="s">
        <v>30</v>
      </c>
      <c r="G480" s="4" t="s">
        <v>35</v>
      </c>
      <c r="H480" s="14"/>
      <c r="I480" s="4" t="s">
        <v>32</v>
      </c>
      <c r="J480" s="30"/>
      <c r="K480" s="30"/>
      <c r="L480" s="14"/>
    </row>
    <row r="481" ht="14.25" hidden="1" customHeight="1">
      <c r="A481" s="13" t="s">
        <v>1552</v>
      </c>
      <c r="B481" s="4" t="s">
        <v>27</v>
      </c>
      <c r="C481" s="4" t="s">
        <v>28</v>
      </c>
      <c r="D481" s="4" t="s">
        <v>1553</v>
      </c>
      <c r="E481" s="4">
        <v>3.124295466E9</v>
      </c>
      <c r="F481" s="4" t="s">
        <v>30</v>
      </c>
      <c r="G481" s="4" t="s">
        <v>35</v>
      </c>
      <c r="H481" s="14"/>
      <c r="I481" s="4" t="s">
        <v>32</v>
      </c>
      <c r="J481" s="14"/>
      <c r="K481" s="14"/>
      <c r="L481" s="14"/>
    </row>
    <row r="482" ht="14.25" hidden="1" customHeight="1">
      <c r="A482" s="13" t="s">
        <v>1554</v>
      </c>
      <c r="B482" s="4" t="s">
        <v>27</v>
      </c>
      <c r="C482" s="4" t="s">
        <v>28</v>
      </c>
      <c r="D482" s="4" t="s">
        <v>1555</v>
      </c>
      <c r="E482" s="4">
        <v>3.227649445E9</v>
      </c>
      <c r="F482" s="4" t="s">
        <v>30</v>
      </c>
      <c r="G482" s="4" t="s">
        <v>35</v>
      </c>
      <c r="H482" s="14"/>
      <c r="I482" s="4" t="s">
        <v>32</v>
      </c>
      <c r="J482" s="14"/>
      <c r="K482" s="14"/>
      <c r="L482" s="14"/>
    </row>
    <row r="483" ht="14.25" customHeight="1">
      <c r="A483" s="1" t="s">
        <v>1556</v>
      </c>
      <c r="B483" s="2" t="s">
        <v>27</v>
      </c>
      <c r="C483" s="2" t="s">
        <v>28</v>
      </c>
      <c r="D483" s="2" t="s">
        <v>1557</v>
      </c>
      <c r="E483" s="3" t="s">
        <v>1558</v>
      </c>
      <c r="F483" s="4" t="s">
        <v>38</v>
      </c>
      <c r="G483" s="4" t="s">
        <v>39</v>
      </c>
      <c r="H483" s="4" t="s">
        <v>40</v>
      </c>
      <c r="I483" s="4" t="s">
        <v>561</v>
      </c>
      <c r="J483" s="6" t="s">
        <v>477</v>
      </c>
      <c r="K483" s="25">
        <v>31.0</v>
      </c>
      <c r="L483" s="8" t="str">
        <f t="shared" ref="L483:L485" si="58">UPPER(G483)</f>
        <v>BUCARAMANGA</v>
      </c>
      <c r="O483" s="10"/>
    </row>
    <row r="484" ht="14.25" customHeight="1">
      <c r="A484" s="1" t="s">
        <v>1559</v>
      </c>
      <c r="B484" s="2" t="s">
        <v>27</v>
      </c>
      <c r="C484" s="2" t="s">
        <v>28</v>
      </c>
      <c r="D484" s="2" t="s">
        <v>1560</v>
      </c>
      <c r="E484" s="3" t="s">
        <v>1561</v>
      </c>
      <c r="F484" s="4" t="s">
        <v>38</v>
      </c>
      <c r="G484" s="4" t="s">
        <v>39</v>
      </c>
      <c r="H484" s="14"/>
      <c r="I484" s="4" t="s">
        <v>164</v>
      </c>
      <c r="J484" s="6" t="s">
        <v>1562</v>
      </c>
      <c r="K484" s="25">
        <v>4.0</v>
      </c>
      <c r="L484" s="8" t="str">
        <f t="shared" si="58"/>
        <v>BUCARAMANGA</v>
      </c>
      <c r="O484" s="10"/>
    </row>
    <row r="485" ht="14.25" customHeight="1">
      <c r="A485" s="1" t="s">
        <v>1563</v>
      </c>
      <c r="B485" s="2" t="s">
        <v>27</v>
      </c>
      <c r="C485" s="2" t="s">
        <v>28</v>
      </c>
      <c r="D485" s="2" t="s">
        <v>1564</v>
      </c>
      <c r="E485" s="3" t="s">
        <v>1565</v>
      </c>
      <c r="F485" s="4" t="s">
        <v>38</v>
      </c>
      <c r="G485" s="4" t="s">
        <v>39</v>
      </c>
      <c r="H485" s="4" t="s">
        <v>40</v>
      </c>
      <c r="I485" s="4" t="s">
        <v>561</v>
      </c>
      <c r="J485" s="6" t="s">
        <v>1566</v>
      </c>
      <c r="K485" s="25">
        <v>3.0</v>
      </c>
      <c r="L485" s="8" t="str">
        <f t="shared" si="58"/>
        <v>BUCARAMANGA</v>
      </c>
      <c r="O485" s="10"/>
    </row>
    <row r="486" ht="14.25" hidden="1" customHeight="1">
      <c r="A486" s="13" t="s">
        <v>1567</v>
      </c>
      <c r="B486" s="4" t="s">
        <v>27</v>
      </c>
      <c r="C486" s="4" t="s">
        <v>28</v>
      </c>
      <c r="D486" s="4" t="s">
        <v>1568</v>
      </c>
      <c r="E486" s="4">
        <v>3.102211527E9</v>
      </c>
      <c r="F486" s="4" t="s">
        <v>30</v>
      </c>
      <c r="G486" s="4" t="s">
        <v>35</v>
      </c>
      <c r="H486" s="14"/>
      <c r="I486" s="4" t="s">
        <v>32</v>
      </c>
      <c r="J486" s="14"/>
      <c r="K486" s="14"/>
      <c r="L486" s="14"/>
    </row>
    <row r="487" ht="14.25" customHeight="1">
      <c r="A487" s="1" t="s">
        <v>1569</v>
      </c>
      <c r="B487" s="2" t="s">
        <v>27</v>
      </c>
      <c r="C487" s="2" t="s">
        <v>28</v>
      </c>
      <c r="D487" s="2" t="s">
        <v>1570</v>
      </c>
      <c r="E487" s="3" t="s">
        <v>1571</v>
      </c>
      <c r="F487" s="4" t="s">
        <v>38</v>
      </c>
      <c r="G487" s="4" t="s">
        <v>39</v>
      </c>
      <c r="H487" s="14"/>
      <c r="I487" s="4" t="s">
        <v>76</v>
      </c>
      <c r="J487" s="6" t="s">
        <v>596</v>
      </c>
      <c r="K487" s="25">
        <v>10.0</v>
      </c>
      <c r="L487" s="8" t="str">
        <f>UPPER(G487)</f>
        <v>BUCARAMANGA</v>
      </c>
      <c r="O487" s="10"/>
    </row>
    <row r="488" ht="14.25" hidden="1" customHeight="1">
      <c r="A488" s="13" t="s">
        <v>1572</v>
      </c>
      <c r="B488" s="4" t="s">
        <v>27</v>
      </c>
      <c r="C488" s="4" t="s">
        <v>28</v>
      </c>
      <c r="D488" s="4" t="s">
        <v>1573</v>
      </c>
      <c r="E488" s="4">
        <v>3.22292338E9</v>
      </c>
      <c r="F488" s="4" t="s">
        <v>30</v>
      </c>
      <c r="G488" s="4" t="s">
        <v>31</v>
      </c>
      <c r="H488" s="14"/>
      <c r="I488" s="4" t="s">
        <v>32</v>
      </c>
      <c r="J488" s="14"/>
      <c r="K488" s="14"/>
      <c r="L488" s="14"/>
    </row>
    <row r="489" ht="14.25" customHeight="1">
      <c r="A489" s="1" t="s">
        <v>1574</v>
      </c>
      <c r="B489" s="2" t="s">
        <v>27</v>
      </c>
      <c r="C489" s="2" t="s">
        <v>551</v>
      </c>
      <c r="D489" s="2" t="s">
        <v>1575</v>
      </c>
      <c r="E489" s="3" t="s">
        <v>1576</v>
      </c>
      <c r="F489" s="4" t="s">
        <v>38</v>
      </c>
      <c r="G489" s="4" t="s">
        <v>39</v>
      </c>
      <c r="H489" s="14"/>
      <c r="I489" s="4" t="s">
        <v>164</v>
      </c>
      <c r="J489" s="6" t="s">
        <v>128</v>
      </c>
      <c r="K489" s="25">
        <v>7.0</v>
      </c>
      <c r="L489" s="8" t="str">
        <f>UPPER(G489)</f>
        <v>BUCARAMANGA</v>
      </c>
      <c r="O489" s="10"/>
    </row>
    <row r="490" ht="14.25" hidden="1" customHeight="1">
      <c r="A490" s="13" t="s">
        <v>1577</v>
      </c>
      <c r="B490" s="4" t="s">
        <v>27</v>
      </c>
      <c r="C490" s="4" t="s">
        <v>28</v>
      </c>
      <c r="D490" s="4" t="s">
        <v>1578</v>
      </c>
      <c r="E490" s="4">
        <v>3.124295466E9</v>
      </c>
      <c r="F490" s="4" t="s">
        <v>30</v>
      </c>
      <c r="G490" s="4" t="s">
        <v>35</v>
      </c>
      <c r="H490" s="14"/>
      <c r="I490" s="4" t="s">
        <v>32</v>
      </c>
      <c r="J490" s="14"/>
      <c r="K490" s="14"/>
      <c r="L490" s="14"/>
    </row>
    <row r="491" ht="14.25" hidden="1" customHeight="1">
      <c r="A491" s="13" t="s">
        <v>1579</v>
      </c>
      <c r="B491" s="4" t="s">
        <v>27</v>
      </c>
      <c r="C491" s="4" t="s">
        <v>28</v>
      </c>
      <c r="D491" s="4" t="s">
        <v>1580</v>
      </c>
      <c r="E491" s="4">
        <v>3.213289711E9</v>
      </c>
      <c r="F491" s="4" t="s">
        <v>30</v>
      </c>
      <c r="G491" s="4" t="s">
        <v>35</v>
      </c>
      <c r="H491" s="30"/>
      <c r="I491" s="4" t="s">
        <v>32</v>
      </c>
      <c r="J491" s="14"/>
      <c r="K491" s="14"/>
      <c r="L491" s="14"/>
    </row>
    <row r="492" ht="14.25" hidden="1" customHeight="1">
      <c r="A492" s="13" t="s">
        <v>1581</v>
      </c>
      <c r="B492" s="4" t="s">
        <v>27</v>
      </c>
      <c r="C492" s="4" t="s">
        <v>28</v>
      </c>
      <c r="D492" s="4" t="s">
        <v>1582</v>
      </c>
      <c r="E492" s="4">
        <v>3.124295466E9</v>
      </c>
      <c r="F492" s="4" t="s">
        <v>30</v>
      </c>
      <c r="G492" s="4" t="s">
        <v>35</v>
      </c>
      <c r="H492" s="14"/>
      <c r="I492" s="4" t="s">
        <v>32</v>
      </c>
      <c r="J492" s="14"/>
      <c r="K492" s="14"/>
      <c r="L492" s="14"/>
    </row>
    <row r="493" ht="14.25" customHeight="1">
      <c r="A493" s="1" t="s">
        <v>1583</v>
      </c>
      <c r="B493" s="2" t="s">
        <v>27</v>
      </c>
      <c r="C493" s="2" t="s">
        <v>28</v>
      </c>
      <c r="D493" s="2" t="s">
        <v>1584</v>
      </c>
      <c r="E493" s="3" t="s">
        <v>1585</v>
      </c>
      <c r="F493" s="4" t="s">
        <v>38</v>
      </c>
      <c r="G493" s="4" t="s">
        <v>81</v>
      </c>
      <c r="H493" s="14"/>
      <c r="I493" s="4" t="s">
        <v>561</v>
      </c>
      <c r="J493" s="6" t="s">
        <v>388</v>
      </c>
      <c r="K493" s="25">
        <v>12.0</v>
      </c>
      <c r="L493" s="8" t="str">
        <f>UPPER(G493)</f>
        <v>FLORIDABLANCA</v>
      </c>
      <c r="O493" s="10"/>
    </row>
    <row r="494" ht="14.25" hidden="1" customHeight="1">
      <c r="A494" s="13" t="s">
        <v>1586</v>
      </c>
      <c r="B494" s="4" t="s">
        <v>27</v>
      </c>
      <c r="C494" s="4" t="s">
        <v>28</v>
      </c>
      <c r="D494" s="4" t="s">
        <v>1587</v>
      </c>
      <c r="E494" s="4">
        <v>3.225958571E9</v>
      </c>
      <c r="F494" s="4" t="s">
        <v>30</v>
      </c>
      <c r="G494" s="4" t="s">
        <v>35</v>
      </c>
      <c r="H494" s="14"/>
      <c r="I494" s="4" t="s">
        <v>32</v>
      </c>
      <c r="J494" s="14"/>
      <c r="K494" s="14"/>
      <c r="L494" s="14"/>
    </row>
    <row r="495" ht="14.25" customHeight="1">
      <c r="A495" s="1" t="s">
        <v>1588</v>
      </c>
      <c r="B495" s="2" t="s">
        <v>27</v>
      </c>
      <c r="C495" s="2" t="s">
        <v>28</v>
      </c>
      <c r="D495" s="2" t="s">
        <v>1589</v>
      </c>
      <c r="E495" s="3" t="s">
        <v>1590</v>
      </c>
      <c r="F495" s="4" t="s">
        <v>69</v>
      </c>
      <c r="G495" s="4" t="s">
        <v>69</v>
      </c>
      <c r="H495" s="14"/>
      <c r="I495" s="4" t="s">
        <v>51</v>
      </c>
      <c r="J495" s="6" t="s">
        <v>1591</v>
      </c>
      <c r="K495" s="25">
        <v>9.0</v>
      </c>
      <c r="L495" s="8" t="str">
        <f>UPPER(G495)</f>
        <v>BOGOTA</v>
      </c>
      <c r="O495" s="10"/>
    </row>
    <row r="496" ht="14.25" hidden="1" customHeight="1">
      <c r="A496" s="13" t="s">
        <v>1592</v>
      </c>
      <c r="B496" s="4" t="s">
        <v>27</v>
      </c>
      <c r="C496" s="4" t="s">
        <v>28</v>
      </c>
      <c r="D496" s="4" t="s">
        <v>1593</v>
      </c>
      <c r="E496" s="4">
        <v>3.22292338E9</v>
      </c>
      <c r="F496" s="4" t="s">
        <v>30</v>
      </c>
      <c r="G496" s="4" t="s">
        <v>31</v>
      </c>
      <c r="H496" s="14"/>
      <c r="I496" s="4" t="s">
        <v>32</v>
      </c>
      <c r="J496" s="14"/>
      <c r="K496" s="14"/>
      <c r="L496" s="14"/>
    </row>
    <row r="497" ht="14.25" customHeight="1">
      <c r="A497" s="1" t="s">
        <v>1594</v>
      </c>
      <c r="B497" s="2" t="s">
        <v>27</v>
      </c>
      <c r="C497" s="2" t="s">
        <v>28</v>
      </c>
      <c r="D497" s="2" t="s">
        <v>1595</v>
      </c>
      <c r="E497" s="3" t="s">
        <v>1596</v>
      </c>
      <c r="F497" s="4" t="s">
        <v>38</v>
      </c>
      <c r="G497" s="4" t="s">
        <v>39</v>
      </c>
      <c r="H497" s="14"/>
      <c r="I497" s="4" t="s">
        <v>540</v>
      </c>
      <c r="J497" s="6" t="s">
        <v>716</v>
      </c>
      <c r="K497" s="25">
        <v>12.0</v>
      </c>
      <c r="L497" s="8" t="str">
        <f t="shared" ref="L497:L498" si="59">UPPER(G497)</f>
        <v>BUCARAMANGA</v>
      </c>
      <c r="O497" s="10"/>
    </row>
    <row r="498" ht="14.25" customHeight="1">
      <c r="A498" s="1" t="s">
        <v>1597</v>
      </c>
      <c r="B498" s="2" t="s">
        <v>27</v>
      </c>
      <c r="C498" s="2" t="s">
        <v>28</v>
      </c>
      <c r="D498" s="2" t="s">
        <v>1598</v>
      </c>
      <c r="E498" s="3" t="s">
        <v>1599</v>
      </c>
      <c r="F498" s="4" t="s">
        <v>38</v>
      </c>
      <c r="G498" s="4" t="s">
        <v>39</v>
      </c>
      <c r="H498" s="14"/>
      <c r="I498" s="4" t="s">
        <v>76</v>
      </c>
      <c r="J498" s="6" t="s">
        <v>259</v>
      </c>
      <c r="K498" s="25">
        <v>6.0</v>
      </c>
      <c r="L498" s="8" t="str">
        <f t="shared" si="59"/>
        <v>BUCARAMANGA</v>
      </c>
      <c r="O498" s="10"/>
    </row>
    <row r="499" ht="14.25" hidden="1" customHeight="1">
      <c r="A499" s="13" t="s">
        <v>1600</v>
      </c>
      <c r="B499" s="4" t="s">
        <v>27</v>
      </c>
      <c r="C499" s="4" t="s">
        <v>28</v>
      </c>
      <c r="D499" s="4" t="s">
        <v>1601</v>
      </c>
      <c r="E499" s="4">
        <v>3.104858589E9</v>
      </c>
      <c r="F499" s="4" t="s">
        <v>30</v>
      </c>
      <c r="G499" s="4" t="s">
        <v>31</v>
      </c>
      <c r="H499" s="14"/>
      <c r="I499" s="4" t="s">
        <v>32</v>
      </c>
      <c r="J499" s="14"/>
      <c r="K499" s="14"/>
      <c r="L499" s="14"/>
    </row>
    <row r="500" ht="14.25" hidden="1" customHeight="1">
      <c r="A500" s="13" t="s">
        <v>1602</v>
      </c>
      <c r="B500" s="4" t="s">
        <v>27</v>
      </c>
      <c r="C500" s="4" t="s">
        <v>28</v>
      </c>
      <c r="D500" s="4" t="s">
        <v>1603</v>
      </c>
      <c r="E500" s="4">
        <v>3.22292338E9</v>
      </c>
      <c r="F500" s="4" t="s">
        <v>30</v>
      </c>
      <c r="G500" s="4" t="s">
        <v>31</v>
      </c>
      <c r="H500" s="14"/>
      <c r="I500" s="4" t="s">
        <v>32</v>
      </c>
      <c r="J500" s="14"/>
      <c r="K500" s="14"/>
      <c r="L500" s="14"/>
    </row>
    <row r="501" ht="14.25" hidden="1" customHeight="1">
      <c r="A501" s="13" t="s">
        <v>1604</v>
      </c>
      <c r="B501" s="4" t="s">
        <v>27</v>
      </c>
      <c r="C501" s="4" t="s">
        <v>28</v>
      </c>
      <c r="D501" s="4" t="s">
        <v>1605</v>
      </c>
      <c r="E501" s="4">
        <v>3.118713141E9</v>
      </c>
      <c r="F501" s="4" t="s">
        <v>30</v>
      </c>
      <c r="G501" s="4" t="s">
        <v>35</v>
      </c>
      <c r="H501" s="14"/>
      <c r="I501" s="4" t="s">
        <v>32</v>
      </c>
      <c r="J501" s="14"/>
      <c r="K501" s="14"/>
      <c r="L501" s="14"/>
    </row>
    <row r="502" ht="14.25" hidden="1" customHeight="1">
      <c r="A502" s="13" t="s">
        <v>1606</v>
      </c>
      <c r="B502" s="4" t="s">
        <v>27</v>
      </c>
      <c r="C502" s="4" t="s">
        <v>28</v>
      </c>
      <c r="D502" s="4" t="s">
        <v>1607</v>
      </c>
      <c r="E502" s="4">
        <v>3.12591924E9</v>
      </c>
      <c r="F502" s="4" t="s">
        <v>30</v>
      </c>
      <c r="G502" s="4" t="s">
        <v>35</v>
      </c>
      <c r="H502" s="14"/>
      <c r="I502" s="4" t="s">
        <v>32</v>
      </c>
      <c r="J502" s="14"/>
      <c r="K502" s="14"/>
      <c r="L502" s="14"/>
    </row>
    <row r="503" ht="14.25" customHeight="1">
      <c r="A503" s="1" t="s">
        <v>1608</v>
      </c>
      <c r="B503" s="2" t="s">
        <v>27</v>
      </c>
      <c r="C503" s="2" t="s">
        <v>28</v>
      </c>
      <c r="D503" s="2" t="s">
        <v>1609</v>
      </c>
      <c r="E503" s="3" t="s">
        <v>1610</v>
      </c>
      <c r="F503" s="4" t="s">
        <v>655</v>
      </c>
      <c r="G503" s="4" t="s">
        <v>1503</v>
      </c>
      <c r="H503" s="14"/>
      <c r="I503" s="4" t="s">
        <v>561</v>
      </c>
      <c r="J503" s="6"/>
      <c r="K503" s="7"/>
      <c r="L503" s="8" t="str">
        <f t="shared" ref="L503:L504" si="60">UPPER(G503)</f>
        <v>CACHIRA</v>
      </c>
      <c r="O503" s="10"/>
    </row>
    <row r="504" ht="14.25" customHeight="1">
      <c r="A504" s="1" t="s">
        <v>1611</v>
      </c>
      <c r="B504" s="2" t="s">
        <v>27</v>
      </c>
      <c r="C504" s="2" t="s">
        <v>28</v>
      </c>
      <c r="D504" s="2" t="s">
        <v>1612</v>
      </c>
      <c r="E504" s="3" t="s">
        <v>1613</v>
      </c>
      <c r="F504" s="4" t="s">
        <v>38</v>
      </c>
      <c r="G504" s="4" t="s">
        <v>113</v>
      </c>
      <c r="H504" s="4" t="s">
        <v>357</v>
      </c>
      <c r="I504" s="4" t="s">
        <v>358</v>
      </c>
      <c r="J504" s="6"/>
      <c r="K504" s="7"/>
      <c r="L504" s="8" t="str">
        <f t="shared" si="60"/>
        <v>BARRANCABERMEJA</v>
      </c>
      <c r="O504" s="10"/>
    </row>
    <row r="505" ht="14.25" hidden="1" customHeight="1">
      <c r="A505" s="13" t="s">
        <v>1614</v>
      </c>
      <c r="B505" s="4" t="s">
        <v>27</v>
      </c>
      <c r="C505" s="4" t="s">
        <v>28</v>
      </c>
      <c r="D505" s="4" t="s">
        <v>1615</v>
      </c>
      <c r="E505" s="4">
        <v>3.102211527E9</v>
      </c>
      <c r="F505" s="4" t="s">
        <v>30</v>
      </c>
      <c r="G505" s="4" t="s">
        <v>35</v>
      </c>
      <c r="H505" s="14"/>
      <c r="I505" s="4" t="s">
        <v>32</v>
      </c>
      <c r="J505" s="14"/>
      <c r="K505" s="14"/>
      <c r="L505" s="14"/>
    </row>
    <row r="506" ht="14.25" hidden="1" customHeight="1">
      <c r="A506" s="13" t="s">
        <v>1616</v>
      </c>
      <c r="B506" s="4" t="s">
        <v>27</v>
      </c>
      <c r="C506" s="4" t="s">
        <v>28</v>
      </c>
      <c r="D506" s="4" t="s">
        <v>1617</v>
      </c>
      <c r="E506" s="4">
        <v>3.23450271E9</v>
      </c>
      <c r="F506" s="4" t="s">
        <v>30</v>
      </c>
      <c r="G506" s="4" t="s">
        <v>35</v>
      </c>
      <c r="H506" s="14"/>
      <c r="I506" s="4" t="s">
        <v>32</v>
      </c>
      <c r="J506" s="14"/>
      <c r="K506" s="14"/>
      <c r="L506" s="14"/>
    </row>
    <row r="507" ht="14.25" hidden="1" customHeight="1">
      <c r="A507" s="13" t="s">
        <v>1618</v>
      </c>
      <c r="B507" s="4" t="s">
        <v>27</v>
      </c>
      <c r="C507" s="4" t="s">
        <v>28</v>
      </c>
      <c r="D507" s="4" t="s">
        <v>1619</v>
      </c>
      <c r="E507" s="4">
        <v>3.12545681E9</v>
      </c>
      <c r="F507" s="4" t="s">
        <v>30</v>
      </c>
      <c r="G507" s="4" t="s">
        <v>35</v>
      </c>
      <c r="H507" s="14"/>
      <c r="I507" s="4" t="s">
        <v>32</v>
      </c>
      <c r="J507" s="14"/>
      <c r="K507" s="14"/>
      <c r="L507" s="14"/>
    </row>
    <row r="508" ht="14.25" hidden="1" customHeight="1">
      <c r="A508" s="13" t="s">
        <v>1620</v>
      </c>
      <c r="B508" s="4" t="s">
        <v>27</v>
      </c>
      <c r="C508" s="4" t="s">
        <v>28</v>
      </c>
      <c r="D508" s="4" t="s">
        <v>1621</v>
      </c>
      <c r="E508" s="4">
        <v>3.227649445E9</v>
      </c>
      <c r="F508" s="4" t="s">
        <v>30</v>
      </c>
      <c r="G508" s="4" t="s">
        <v>35</v>
      </c>
      <c r="H508" s="14"/>
      <c r="I508" s="4" t="s">
        <v>32</v>
      </c>
      <c r="J508" s="14"/>
      <c r="K508" s="14"/>
      <c r="L508" s="14"/>
    </row>
    <row r="509" ht="14.25" customHeight="1">
      <c r="A509" s="1" t="s">
        <v>1622</v>
      </c>
      <c r="B509" s="2" t="s">
        <v>27</v>
      </c>
      <c r="C509" s="2" t="s">
        <v>28</v>
      </c>
      <c r="D509" s="2" t="s">
        <v>1623</v>
      </c>
      <c r="E509" s="3" t="s">
        <v>1624</v>
      </c>
      <c r="F509" s="4" t="s">
        <v>38</v>
      </c>
      <c r="G509" s="4" t="s">
        <v>39</v>
      </c>
      <c r="H509" s="4" t="s">
        <v>40</v>
      </c>
      <c r="I509" s="4" t="s">
        <v>182</v>
      </c>
      <c r="J509" s="6"/>
      <c r="K509" s="7"/>
      <c r="L509" s="8" t="str">
        <f t="shared" ref="L509:L510" si="61">UPPER(G509)</f>
        <v>BUCARAMANGA</v>
      </c>
      <c r="O509" s="10"/>
    </row>
    <row r="510" ht="14.25" customHeight="1">
      <c r="A510" s="1" t="s">
        <v>1625</v>
      </c>
      <c r="B510" s="2" t="s">
        <v>27</v>
      </c>
      <c r="C510" s="2" t="s">
        <v>28</v>
      </c>
      <c r="D510" s="2" t="s">
        <v>1626</v>
      </c>
      <c r="E510" s="3" t="s">
        <v>1627</v>
      </c>
      <c r="F510" s="4" t="s">
        <v>38</v>
      </c>
      <c r="G510" s="4" t="s">
        <v>39</v>
      </c>
      <c r="H510" s="4" t="s">
        <v>40</v>
      </c>
      <c r="I510" s="4" t="s">
        <v>182</v>
      </c>
      <c r="J510" s="6"/>
      <c r="K510" s="7"/>
      <c r="L510" s="8" t="str">
        <f t="shared" si="61"/>
        <v>BUCARAMANGA</v>
      </c>
      <c r="O510" s="10"/>
    </row>
    <row r="511" ht="14.25" hidden="1" customHeight="1">
      <c r="A511" s="13" t="s">
        <v>1628</v>
      </c>
      <c r="B511" s="4" t="s">
        <v>27</v>
      </c>
      <c r="C511" s="4" t="s">
        <v>28</v>
      </c>
      <c r="D511" s="4" t="s">
        <v>1629</v>
      </c>
      <c r="E511" s="4">
        <v>3.229457091E9</v>
      </c>
      <c r="F511" s="4" t="s">
        <v>30</v>
      </c>
      <c r="G511" s="4" t="s">
        <v>31</v>
      </c>
      <c r="H511" s="14"/>
      <c r="I511" s="4" t="s">
        <v>32</v>
      </c>
      <c r="J511" s="14"/>
      <c r="K511" s="14"/>
      <c r="L511" s="14"/>
    </row>
    <row r="512" ht="14.25" hidden="1" customHeight="1">
      <c r="A512" s="13" t="s">
        <v>1630</v>
      </c>
      <c r="B512" s="4" t="s">
        <v>27</v>
      </c>
      <c r="C512" s="4" t="s">
        <v>28</v>
      </c>
      <c r="D512" s="4" t="s">
        <v>1631</v>
      </c>
      <c r="E512" s="4">
        <v>3.118713141E9</v>
      </c>
      <c r="F512" s="4" t="s">
        <v>30</v>
      </c>
      <c r="G512" s="4" t="s">
        <v>35</v>
      </c>
      <c r="H512" s="14"/>
      <c r="I512" s="4" t="s">
        <v>32</v>
      </c>
      <c r="J512" s="14"/>
      <c r="K512" s="14"/>
      <c r="L512" s="14"/>
    </row>
    <row r="513" ht="14.25" hidden="1" customHeight="1">
      <c r="A513" s="13" t="s">
        <v>1632</v>
      </c>
      <c r="B513" s="4" t="s">
        <v>27</v>
      </c>
      <c r="C513" s="4" t="s">
        <v>28</v>
      </c>
      <c r="D513" s="4" t="s">
        <v>1633</v>
      </c>
      <c r="E513" s="4">
        <v>3.124295466E9</v>
      </c>
      <c r="F513" s="4" t="s">
        <v>30</v>
      </c>
      <c r="G513" s="4" t="s">
        <v>35</v>
      </c>
      <c r="H513" s="14"/>
      <c r="I513" s="4" t="s">
        <v>32</v>
      </c>
      <c r="J513" s="14"/>
      <c r="K513" s="14"/>
      <c r="L513" s="14"/>
    </row>
    <row r="514" ht="14.25" customHeight="1">
      <c r="A514" s="1" t="s">
        <v>1634</v>
      </c>
      <c r="B514" s="2" t="s">
        <v>27</v>
      </c>
      <c r="C514" s="2" t="s">
        <v>28</v>
      </c>
      <c r="D514" s="2" t="s">
        <v>1635</v>
      </c>
      <c r="E514" s="3" t="s">
        <v>1636</v>
      </c>
      <c r="F514" s="4" t="s">
        <v>38</v>
      </c>
      <c r="G514" s="4" t="s">
        <v>39</v>
      </c>
      <c r="H514" s="4" t="s">
        <v>40</v>
      </c>
      <c r="I514" s="4" t="s">
        <v>540</v>
      </c>
      <c r="J514" s="6"/>
      <c r="K514" s="7"/>
      <c r="L514" s="8" t="str">
        <f t="shared" ref="L514:L517" si="62">UPPER(G514)</f>
        <v>BUCARAMANGA</v>
      </c>
      <c r="O514" s="10"/>
    </row>
    <row r="515" ht="14.25" customHeight="1">
      <c r="A515" s="1" t="s">
        <v>1637</v>
      </c>
      <c r="B515" s="2" t="s">
        <v>27</v>
      </c>
      <c r="C515" s="2" t="s">
        <v>66</v>
      </c>
      <c r="D515" s="2" t="s">
        <v>1638</v>
      </c>
      <c r="E515" s="3" t="s">
        <v>1639</v>
      </c>
      <c r="F515" s="4" t="s">
        <v>38</v>
      </c>
      <c r="G515" s="4" t="s">
        <v>39</v>
      </c>
      <c r="H515" s="4" t="s">
        <v>40</v>
      </c>
      <c r="I515" s="4" t="s">
        <v>540</v>
      </c>
      <c r="J515" s="6"/>
      <c r="K515" s="7"/>
      <c r="L515" s="8" t="str">
        <f t="shared" si="62"/>
        <v>BUCARAMANGA</v>
      </c>
      <c r="O515" s="10"/>
    </row>
    <row r="516" ht="14.25" customHeight="1">
      <c r="A516" s="1" t="s">
        <v>1640</v>
      </c>
      <c r="B516" s="2" t="s">
        <v>27</v>
      </c>
      <c r="C516" s="2" t="s">
        <v>28</v>
      </c>
      <c r="D516" s="2" t="s">
        <v>1641</v>
      </c>
      <c r="E516" s="3" t="s">
        <v>1642</v>
      </c>
      <c r="F516" s="4" t="s">
        <v>38</v>
      </c>
      <c r="G516" s="4" t="s">
        <v>39</v>
      </c>
      <c r="H516" s="4" t="s">
        <v>118</v>
      </c>
      <c r="I516" s="4" t="s">
        <v>561</v>
      </c>
      <c r="J516" s="6"/>
      <c r="K516" s="7"/>
      <c r="L516" s="8" t="str">
        <f t="shared" si="62"/>
        <v>BUCARAMANGA</v>
      </c>
      <c r="O516" s="10"/>
    </row>
    <row r="517" ht="14.25" customHeight="1">
      <c r="A517" s="1" t="s">
        <v>1643</v>
      </c>
      <c r="B517" s="2" t="s">
        <v>27</v>
      </c>
      <c r="C517" s="2" t="s">
        <v>66</v>
      </c>
      <c r="D517" s="2" t="s">
        <v>1644</v>
      </c>
      <c r="E517" s="3" t="s">
        <v>1645</v>
      </c>
      <c r="F517" s="4" t="s">
        <v>38</v>
      </c>
      <c r="G517" s="4" t="s">
        <v>81</v>
      </c>
      <c r="H517" s="14"/>
      <c r="I517" s="4" t="s">
        <v>164</v>
      </c>
      <c r="J517" s="6"/>
      <c r="K517" s="7"/>
      <c r="L517" s="8" t="str">
        <f t="shared" si="62"/>
        <v>FLORIDABLANCA</v>
      </c>
      <c r="O517" s="10"/>
    </row>
    <row r="518" ht="14.25" hidden="1" customHeight="1">
      <c r="A518" s="13" t="s">
        <v>1646</v>
      </c>
      <c r="B518" s="4" t="s">
        <v>27</v>
      </c>
      <c r="C518" s="4" t="s">
        <v>28</v>
      </c>
      <c r="D518" s="4" t="s">
        <v>1647</v>
      </c>
      <c r="E518" s="4">
        <v>3.22292338E9</v>
      </c>
      <c r="F518" s="4" t="s">
        <v>30</v>
      </c>
      <c r="G518" s="4" t="s">
        <v>31</v>
      </c>
      <c r="H518" s="14"/>
      <c r="I518" s="4" t="s">
        <v>32</v>
      </c>
      <c r="J518" s="14"/>
      <c r="K518" s="14"/>
      <c r="L518" s="14"/>
    </row>
    <row r="519" ht="14.25" hidden="1" customHeight="1">
      <c r="A519" s="13" t="s">
        <v>1648</v>
      </c>
      <c r="B519" s="4" t="s">
        <v>27</v>
      </c>
      <c r="C519" s="4" t="s">
        <v>28</v>
      </c>
      <c r="D519" s="4" t="s">
        <v>1649</v>
      </c>
      <c r="E519" s="4">
        <v>3.102211527E9</v>
      </c>
      <c r="F519" s="4" t="s">
        <v>30</v>
      </c>
      <c r="G519" s="4" t="s">
        <v>35</v>
      </c>
      <c r="H519" s="14"/>
      <c r="I519" s="4" t="s">
        <v>32</v>
      </c>
      <c r="J519" s="14"/>
      <c r="K519" s="14"/>
      <c r="L519" s="14"/>
    </row>
    <row r="520" ht="14.25" hidden="1" customHeight="1">
      <c r="A520" s="13" t="s">
        <v>1650</v>
      </c>
      <c r="B520" s="4" t="s">
        <v>27</v>
      </c>
      <c r="C520" s="4" t="s">
        <v>28</v>
      </c>
      <c r="D520" s="4" t="s">
        <v>1651</v>
      </c>
      <c r="E520" s="4">
        <v>3.102211527E9</v>
      </c>
      <c r="F520" s="4" t="s">
        <v>30</v>
      </c>
      <c r="G520" s="4" t="s">
        <v>35</v>
      </c>
      <c r="H520" s="14"/>
      <c r="I520" s="4" t="s">
        <v>32</v>
      </c>
      <c r="J520" s="14"/>
      <c r="K520" s="14"/>
      <c r="L520" s="14"/>
    </row>
    <row r="521" ht="14.25" hidden="1" customHeight="1">
      <c r="A521" s="13" t="s">
        <v>1652</v>
      </c>
      <c r="B521" s="4" t="s">
        <v>27</v>
      </c>
      <c r="C521" s="4" t="s">
        <v>28</v>
      </c>
      <c r="D521" s="4" t="s">
        <v>1653</v>
      </c>
      <c r="E521" s="4">
        <v>3.22731914E9</v>
      </c>
      <c r="F521" s="4" t="s">
        <v>30</v>
      </c>
      <c r="G521" s="4" t="s">
        <v>35</v>
      </c>
      <c r="H521" s="14"/>
      <c r="I521" s="4" t="s">
        <v>32</v>
      </c>
      <c r="J521" s="14"/>
      <c r="K521" s="14"/>
      <c r="L521" s="14"/>
    </row>
    <row r="522" ht="14.25" customHeight="1">
      <c r="A522" s="1" t="s">
        <v>1654</v>
      </c>
      <c r="B522" s="2" t="s">
        <v>27</v>
      </c>
      <c r="C522" s="2" t="s">
        <v>28</v>
      </c>
      <c r="D522" s="2" t="s">
        <v>1655</v>
      </c>
      <c r="E522" s="3" t="s">
        <v>1656</v>
      </c>
      <c r="F522" s="4" t="s">
        <v>38</v>
      </c>
      <c r="G522" s="4" t="s">
        <v>113</v>
      </c>
      <c r="H522" s="14"/>
      <c r="I522" s="4" t="s">
        <v>358</v>
      </c>
      <c r="J522" s="6"/>
      <c r="K522" s="7"/>
      <c r="L522" s="8" t="str">
        <f>UPPER(G522)</f>
        <v>BARRANCABERMEJA</v>
      </c>
      <c r="O522" s="10"/>
    </row>
    <row r="523" ht="14.25" hidden="1" customHeight="1">
      <c r="A523" s="13" t="s">
        <v>1657</v>
      </c>
      <c r="B523" s="4" t="s">
        <v>27</v>
      </c>
      <c r="C523" s="4" t="s">
        <v>28</v>
      </c>
      <c r="D523" s="4" t="s">
        <v>1658</v>
      </c>
      <c r="E523" s="4">
        <v>3.22292338E9</v>
      </c>
      <c r="F523" s="4" t="s">
        <v>30</v>
      </c>
      <c r="G523" s="4" t="s">
        <v>31</v>
      </c>
      <c r="H523" s="14"/>
      <c r="I523" s="4" t="s">
        <v>32</v>
      </c>
      <c r="J523" s="14"/>
      <c r="K523" s="14"/>
      <c r="L523" s="14"/>
    </row>
    <row r="524" ht="14.25" hidden="1" customHeight="1">
      <c r="A524" s="13" t="s">
        <v>1659</v>
      </c>
      <c r="B524" s="4" t="s">
        <v>27</v>
      </c>
      <c r="C524" s="4" t="s">
        <v>28</v>
      </c>
      <c r="D524" s="4" t="s">
        <v>1660</v>
      </c>
      <c r="E524" s="4">
        <v>3.132541018E9</v>
      </c>
      <c r="F524" s="4" t="s">
        <v>30</v>
      </c>
      <c r="G524" s="4" t="s">
        <v>31</v>
      </c>
      <c r="H524" s="14"/>
      <c r="I524" s="4" t="s">
        <v>32</v>
      </c>
      <c r="J524" s="14"/>
      <c r="K524" s="14"/>
      <c r="L524" s="14"/>
    </row>
    <row r="525" ht="14.25" customHeight="1">
      <c r="A525" s="1" t="s">
        <v>1661</v>
      </c>
      <c r="B525" s="2" t="s">
        <v>27</v>
      </c>
      <c r="C525" s="2" t="s">
        <v>28</v>
      </c>
      <c r="D525" s="2" t="s">
        <v>1662</v>
      </c>
      <c r="E525" s="3" t="s">
        <v>1663</v>
      </c>
      <c r="F525" s="4" t="s">
        <v>38</v>
      </c>
      <c r="G525" s="4" t="s">
        <v>113</v>
      </c>
      <c r="H525" s="14"/>
      <c r="I525" s="4" t="s">
        <v>358</v>
      </c>
      <c r="J525" s="6"/>
      <c r="K525" s="7"/>
      <c r="L525" s="8" t="str">
        <f>UPPER(G525)</f>
        <v>BARRANCABERMEJA</v>
      </c>
      <c r="O525" s="10"/>
    </row>
    <row r="526" ht="14.25" hidden="1" customHeight="1">
      <c r="A526" s="13" t="s">
        <v>1664</v>
      </c>
      <c r="B526" s="4" t="s">
        <v>27</v>
      </c>
      <c r="C526" s="4" t="s">
        <v>28</v>
      </c>
      <c r="D526" s="4" t="s">
        <v>1665</v>
      </c>
      <c r="E526" s="4">
        <v>3.22292338E9</v>
      </c>
      <c r="F526" s="4" t="s">
        <v>30</v>
      </c>
      <c r="G526" s="4" t="s">
        <v>31</v>
      </c>
      <c r="H526" s="14"/>
      <c r="I526" s="4" t="s">
        <v>32</v>
      </c>
      <c r="J526" s="14"/>
      <c r="K526" s="14"/>
      <c r="L526" s="14"/>
    </row>
    <row r="527" ht="14.25" customHeight="1">
      <c r="A527" s="1" t="s">
        <v>1666</v>
      </c>
      <c r="B527" s="2" t="s">
        <v>27</v>
      </c>
      <c r="C527" s="2" t="s">
        <v>28</v>
      </c>
      <c r="D527" s="2" t="s">
        <v>1667</v>
      </c>
      <c r="E527" s="3" t="s">
        <v>1668</v>
      </c>
      <c r="F527" s="4" t="s">
        <v>38</v>
      </c>
      <c r="G527" s="4" t="s">
        <v>39</v>
      </c>
      <c r="H527" s="4" t="s">
        <v>40</v>
      </c>
      <c r="I527" s="4" t="s">
        <v>561</v>
      </c>
      <c r="J527" s="6"/>
      <c r="K527" s="7"/>
      <c r="L527" s="8" t="str">
        <f t="shared" ref="L527:L528" si="63">UPPER(G527)</f>
        <v>BUCARAMANGA</v>
      </c>
      <c r="O527" s="10"/>
    </row>
    <row r="528" ht="14.25" customHeight="1">
      <c r="A528" s="1" t="s">
        <v>1669</v>
      </c>
      <c r="B528" s="2" t="s">
        <v>27</v>
      </c>
      <c r="C528" s="2" t="s">
        <v>28</v>
      </c>
      <c r="D528" s="2" t="s">
        <v>1670</v>
      </c>
      <c r="E528" s="3" t="s">
        <v>1671</v>
      </c>
      <c r="F528" s="4" t="s">
        <v>38</v>
      </c>
      <c r="G528" s="4" t="s">
        <v>39</v>
      </c>
      <c r="H528" s="14"/>
      <c r="I528" s="4" t="s">
        <v>76</v>
      </c>
      <c r="J528" s="6"/>
      <c r="K528" s="7"/>
      <c r="L528" s="8" t="str">
        <f t="shared" si="63"/>
        <v>BUCARAMANGA</v>
      </c>
      <c r="O528" s="10"/>
    </row>
    <row r="529" ht="14.25" hidden="1" customHeight="1">
      <c r="A529" s="13" t="s">
        <v>1672</v>
      </c>
      <c r="B529" s="4" t="s">
        <v>27</v>
      </c>
      <c r="C529" s="4" t="s">
        <v>28</v>
      </c>
      <c r="D529" s="4" t="s">
        <v>1673</v>
      </c>
      <c r="E529" s="4">
        <v>3.229457091E9</v>
      </c>
      <c r="F529" s="4" t="s">
        <v>30</v>
      </c>
      <c r="G529" s="4" t="s">
        <v>31</v>
      </c>
      <c r="H529" s="14"/>
      <c r="I529" s="4" t="s">
        <v>32</v>
      </c>
      <c r="J529" s="14"/>
      <c r="K529" s="14"/>
      <c r="L529" s="14"/>
    </row>
    <row r="530" ht="14.25" hidden="1" customHeight="1">
      <c r="A530" s="13" t="s">
        <v>1674</v>
      </c>
      <c r="B530" s="4" t="s">
        <v>27</v>
      </c>
      <c r="C530" s="4" t="s">
        <v>28</v>
      </c>
      <c r="D530" s="4" t="s">
        <v>1675</v>
      </c>
      <c r="E530" s="4">
        <v>3.118713141E9</v>
      </c>
      <c r="F530" s="4" t="s">
        <v>30</v>
      </c>
      <c r="G530" s="4" t="s">
        <v>35</v>
      </c>
      <c r="H530" s="14"/>
      <c r="I530" s="4" t="s">
        <v>32</v>
      </c>
      <c r="J530" s="14"/>
      <c r="K530" s="14"/>
      <c r="L530" s="14"/>
    </row>
    <row r="531" ht="14.25" customHeight="1">
      <c r="A531" s="1" t="s">
        <v>1676</v>
      </c>
      <c r="B531" s="2" t="s">
        <v>27</v>
      </c>
      <c r="C531" s="2" t="s">
        <v>28</v>
      </c>
      <c r="D531" s="2" t="s">
        <v>1677</v>
      </c>
      <c r="E531" s="3" t="s">
        <v>1678</v>
      </c>
      <c r="F531" s="4" t="s">
        <v>69</v>
      </c>
      <c r="G531" s="4" t="s">
        <v>69</v>
      </c>
      <c r="H531" s="14"/>
      <c r="I531" s="4" t="s">
        <v>182</v>
      </c>
      <c r="J531" s="6"/>
      <c r="K531" s="7"/>
      <c r="L531" s="8" t="str">
        <f t="shared" ref="L531:L532" si="64">UPPER(G531)</f>
        <v>BOGOTA</v>
      </c>
      <c r="O531" s="10"/>
    </row>
    <row r="532" ht="14.25" customHeight="1">
      <c r="A532" s="1" t="s">
        <v>1679</v>
      </c>
      <c r="B532" s="2" t="s">
        <v>27</v>
      </c>
      <c r="C532" s="2" t="s">
        <v>28</v>
      </c>
      <c r="D532" s="2" t="s">
        <v>1680</v>
      </c>
      <c r="E532" s="3" t="s">
        <v>1681</v>
      </c>
      <c r="F532" s="4" t="s">
        <v>38</v>
      </c>
      <c r="G532" s="4" t="s">
        <v>113</v>
      </c>
      <c r="H532" s="4" t="s">
        <v>1682</v>
      </c>
      <c r="I532" s="4" t="s">
        <v>358</v>
      </c>
      <c r="J532" s="6" t="s">
        <v>1683</v>
      </c>
      <c r="K532" s="7">
        <v>13.0</v>
      </c>
      <c r="L532" s="8" t="str">
        <f t="shared" si="64"/>
        <v>BARRANCABERMEJA</v>
      </c>
      <c r="O532" s="10"/>
    </row>
    <row r="533" ht="14.25" hidden="1" customHeight="1">
      <c r="A533" s="13" t="s">
        <v>1684</v>
      </c>
      <c r="B533" s="4" t="s">
        <v>27</v>
      </c>
      <c r="C533" s="4" t="s">
        <v>28</v>
      </c>
      <c r="D533" s="4" t="s">
        <v>1685</v>
      </c>
      <c r="E533" s="4">
        <v>3.118713141E9</v>
      </c>
      <c r="F533" s="4" t="s">
        <v>30</v>
      </c>
      <c r="G533" s="4" t="s">
        <v>35</v>
      </c>
      <c r="H533" s="14"/>
      <c r="I533" s="4" t="s">
        <v>32</v>
      </c>
      <c r="J533" s="14"/>
      <c r="K533" s="14"/>
      <c r="L533" s="14"/>
    </row>
    <row r="534" ht="14.25" customHeight="1">
      <c r="A534" s="1" t="s">
        <v>1686</v>
      </c>
      <c r="B534" s="2" t="s">
        <v>27</v>
      </c>
      <c r="C534" s="2" t="s">
        <v>28</v>
      </c>
      <c r="D534" s="2" t="s">
        <v>1687</v>
      </c>
      <c r="E534" s="3" t="s">
        <v>1688</v>
      </c>
      <c r="F534" s="4" t="s">
        <v>212</v>
      </c>
      <c r="G534" s="4" t="s">
        <v>213</v>
      </c>
      <c r="H534" s="14"/>
      <c r="I534" s="4" t="s">
        <v>540</v>
      </c>
      <c r="J534" s="6"/>
      <c r="K534" s="7"/>
      <c r="L534" s="8" t="str">
        <f>UPPER(G534)</f>
        <v>BARRANCO DE LOBA</v>
      </c>
      <c r="O534" s="10"/>
    </row>
    <row r="535" ht="14.25" hidden="1" customHeight="1">
      <c r="A535" s="13" t="s">
        <v>1689</v>
      </c>
      <c r="B535" s="4" t="s">
        <v>27</v>
      </c>
      <c r="C535" s="4" t="s">
        <v>28</v>
      </c>
      <c r="D535" s="4" t="s">
        <v>1690</v>
      </c>
      <c r="E535" s="4">
        <v>3.126882431E9</v>
      </c>
      <c r="F535" s="4" t="s">
        <v>30</v>
      </c>
      <c r="G535" s="4" t="s">
        <v>35</v>
      </c>
      <c r="H535" s="14"/>
      <c r="I535" s="4" t="s">
        <v>32</v>
      </c>
      <c r="J535" s="14"/>
      <c r="K535" s="14"/>
      <c r="L535" s="14"/>
    </row>
    <row r="536" ht="14.25" hidden="1" customHeight="1">
      <c r="A536" s="13" t="s">
        <v>1691</v>
      </c>
      <c r="B536" s="4" t="s">
        <v>27</v>
      </c>
      <c r="C536" s="4" t="s">
        <v>28</v>
      </c>
      <c r="D536" s="4" t="s">
        <v>1692</v>
      </c>
      <c r="E536" s="4">
        <v>3.22292338E9</v>
      </c>
      <c r="F536" s="4" t="s">
        <v>30</v>
      </c>
      <c r="G536" s="4" t="s">
        <v>31</v>
      </c>
      <c r="H536" s="14"/>
      <c r="I536" s="4" t="s">
        <v>32</v>
      </c>
      <c r="J536" s="14"/>
      <c r="K536" s="14"/>
      <c r="L536" s="14"/>
    </row>
    <row r="537" ht="14.25" customHeight="1">
      <c r="A537" s="1" t="s">
        <v>1693</v>
      </c>
      <c r="B537" s="2" t="s">
        <v>27</v>
      </c>
      <c r="C537" s="2" t="s">
        <v>28</v>
      </c>
      <c r="D537" s="2" t="s">
        <v>1694</v>
      </c>
      <c r="E537" s="3" t="s">
        <v>423</v>
      </c>
      <c r="F537" s="4" t="s">
        <v>424</v>
      </c>
      <c r="G537" s="4" t="s">
        <v>425</v>
      </c>
      <c r="H537" s="14"/>
      <c r="I537" s="4" t="s">
        <v>32</v>
      </c>
      <c r="J537" s="6"/>
      <c r="K537" s="7"/>
      <c r="L537" s="8" t="str">
        <f t="shared" ref="L537:L543" si="65">UPPER(G537)</f>
        <v>MONTERIA</v>
      </c>
      <c r="O537" s="10"/>
    </row>
    <row r="538" ht="14.25" customHeight="1">
      <c r="A538" s="1" t="s">
        <v>1695</v>
      </c>
      <c r="B538" s="2" t="s">
        <v>27</v>
      </c>
      <c r="C538" s="2" t="s">
        <v>66</v>
      </c>
      <c r="D538" s="2" t="s">
        <v>1696</v>
      </c>
      <c r="E538" s="3" t="s">
        <v>1697</v>
      </c>
      <c r="F538" s="4" t="s">
        <v>38</v>
      </c>
      <c r="G538" s="4" t="s">
        <v>113</v>
      </c>
      <c r="H538" s="4" t="s">
        <v>357</v>
      </c>
      <c r="I538" s="4" t="s">
        <v>358</v>
      </c>
      <c r="J538" s="6"/>
      <c r="K538" s="7"/>
      <c r="L538" s="8" t="str">
        <f t="shared" si="65"/>
        <v>BARRANCABERMEJA</v>
      </c>
      <c r="O538" s="10"/>
    </row>
    <row r="539" ht="14.25" customHeight="1">
      <c r="A539" s="1" t="s">
        <v>1698</v>
      </c>
      <c r="B539" s="2" t="s">
        <v>27</v>
      </c>
      <c r="C539" s="2" t="s">
        <v>551</v>
      </c>
      <c r="D539" s="2" t="s">
        <v>1699</v>
      </c>
      <c r="E539" s="3" t="s">
        <v>1700</v>
      </c>
      <c r="F539" s="4" t="s">
        <v>38</v>
      </c>
      <c r="G539" s="4" t="s">
        <v>113</v>
      </c>
      <c r="H539" s="14"/>
      <c r="I539" s="4" t="s">
        <v>419</v>
      </c>
      <c r="J539" s="6" t="s">
        <v>1701</v>
      </c>
      <c r="K539" s="7"/>
      <c r="L539" s="8" t="str">
        <f t="shared" si="65"/>
        <v>BARRANCABERMEJA</v>
      </c>
      <c r="O539" s="10"/>
    </row>
    <row r="540" ht="14.25" customHeight="1">
      <c r="A540" s="1" t="s">
        <v>1702</v>
      </c>
      <c r="B540" s="2" t="s">
        <v>27</v>
      </c>
      <c r="C540" s="2" t="s">
        <v>28</v>
      </c>
      <c r="D540" s="2" t="s">
        <v>1703</v>
      </c>
      <c r="E540" s="3" t="s">
        <v>1704</v>
      </c>
      <c r="F540" s="4" t="s">
        <v>69</v>
      </c>
      <c r="G540" s="4" t="s">
        <v>69</v>
      </c>
      <c r="H540" s="14"/>
      <c r="I540" s="4" t="s">
        <v>182</v>
      </c>
      <c r="J540" s="6"/>
      <c r="K540" s="7"/>
      <c r="L540" s="8" t="str">
        <f t="shared" si="65"/>
        <v>BOGOTA</v>
      </c>
      <c r="O540" s="10"/>
    </row>
    <row r="541" ht="14.25" customHeight="1">
      <c r="A541" s="1" t="s">
        <v>1705</v>
      </c>
      <c r="B541" s="2" t="s">
        <v>27</v>
      </c>
      <c r="C541" s="2" t="s">
        <v>28</v>
      </c>
      <c r="D541" s="2" t="s">
        <v>1706</v>
      </c>
      <c r="E541" s="3" t="s">
        <v>1707</v>
      </c>
      <c r="F541" s="4" t="s">
        <v>69</v>
      </c>
      <c r="G541" s="4" t="s">
        <v>69</v>
      </c>
      <c r="H541" s="14"/>
      <c r="I541" s="4" t="s">
        <v>51</v>
      </c>
      <c r="J541" s="6"/>
      <c r="K541" s="7"/>
      <c r="L541" s="8" t="str">
        <f t="shared" si="65"/>
        <v>BOGOTA</v>
      </c>
      <c r="O541" s="10"/>
    </row>
    <row r="542" ht="14.25" customHeight="1">
      <c r="A542" s="1" t="s">
        <v>1708</v>
      </c>
      <c r="B542" s="2" t="s">
        <v>27</v>
      </c>
      <c r="C542" s="2" t="s">
        <v>28</v>
      </c>
      <c r="D542" s="2" t="s">
        <v>1709</v>
      </c>
      <c r="E542" s="3" t="s">
        <v>1710</v>
      </c>
      <c r="F542" s="4" t="s">
        <v>69</v>
      </c>
      <c r="G542" s="4" t="s">
        <v>69</v>
      </c>
      <c r="H542" s="14"/>
      <c r="I542" s="4" t="s">
        <v>540</v>
      </c>
      <c r="J542" s="6"/>
      <c r="K542" s="7"/>
      <c r="L542" s="8" t="str">
        <f t="shared" si="65"/>
        <v>BOGOTA</v>
      </c>
      <c r="O542" s="10"/>
    </row>
    <row r="543" ht="14.25" customHeight="1">
      <c r="A543" s="1" t="s">
        <v>1711</v>
      </c>
      <c r="B543" s="2" t="s">
        <v>27</v>
      </c>
      <c r="C543" s="2" t="s">
        <v>28</v>
      </c>
      <c r="D543" s="2" t="s">
        <v>1712</v>
      </c>
      <c r="E543" s="3" t="s">
        <v>1713</v>
      </c>
      <c r="F543" s="4" t="s">
        <v>38</v>
      </c>
      <c r="G543" s="4" t="s">
        <v>113</v>
      </c>
      <c r="H543" s="4" t="s">
        <v>965</v>
      </c>
      <c r="I543" s="4" t="s">
        <v>358</v>
      </c>
      <c r="J543" s="6"/>
      <c r="K543" s="7"/>
      <c r="L543" s="8" t="str">
        <f t="shared" si="65"/>
        <v>BARRANCABERMEJA</v>
      </c>
      <c r="O543" s="10"/>
    </row>
    <row r="544" ht="14.25" hidden="1" customHeight="1">
      <c r="A544" s="13" t="s">
        <v>1714</v>
      </c>
      <c r="B544" s="4" t="s">
        <v>27</v>
      </c>
      <c r="C544" s="4" t="s">
        <v>28</v>
      </c>
      <c r="D544" s="4" t="s">
        <v>1715</v>
      </c>
      <c r="E544" s="4">
        <v>3.22731914E9</v>
      </c>
      <c r="F544" s="4" t="s">
        <v>30</v>
      </c>
      <c r="G544" s="4" t="s">
        <v>35</v>
      </c>
      <c r="H544" s="14"/>
      <c r="I544" s="4" t="s">
        <v>32</v>
      </c>
      <c r="J544" s="14"/>
      <c r="K544" s="14"/>
      <c r="L544" s="14"/>
    </row>
    <row r="545" ht="14.25" hidden="1" customHeight="1">
      <c r="A545" s="13" t="s">
        <v>1716</v>
      </c>
      <c r="B545" s="4" t="s">
        <v>27</v>
      </c>
      <c r="C545" s="4" t="s">
        <v>28</v>
      </c>
      <c r="D545" s="4" t="s">
        <v>1717</v>
      </c>
      <c r="E545" s="4">
        <v>3.169240845E9</v>
      </c>
      <c r="F545" s="4" t="s">
        <v>30</v>
      </c>
      <c r="G545" s="4" t="s">
        <v>35</v>
      </c>
      <c r="H545" s="14"/>
      <c r="I545" s="4" t="s">
        <v>32</v>
      </c>
      <c r="J545" s="14"/>
      <c r="K545" s="14"/>
      <c r="L545" s="14"/>
    </row>
    <row r="546" ht="14.25" hidden="1" customHeight="1">
      <c r="A546" s="13" t="s">
        <v>1718</v>
      </c>
      <c r="B546" s="4" t="s">
        <v>27</v>
      </c>
      <c r="C546" s="4" t="s">
        <v>28</v>
      </c>
      <c r="D546" s="4" t="s">
        <v>1719</v>
      </c>
      <c r="E546" s="4">
        <v>3.22292338E9</v>
      </c>
      <c r="F546" s="4" t="s">
        <v>30</v>
      </c>
      <c r="G546" s="4" t="s">
        <v>31</v>
      </c>
      <c r="H546" s="14"/>
      <c r="I546" s="4" t="s">
        <v>32</v>
      </c>
      <c r="J546" s="14"/>
      <c r="K546" s="14"/>
      <c r="L546" s="14"/>
    </row>
    <row r="547" ht="14.25" customHeight="1">
      <c r="A547" s="1" t="s">
        <v>1720</v>
      </c>
      <c r="B547" s="2" t="s">
        <v>27</v>
      </c>
      <c r="C547" s="2" t="s">
        <v>28</v>
      </c>
      <c r="D547" s="2" t="s">
        <v>1721</v>
      </c>
      <c r="E547" s="3" t="s">
        <v>1722</v>
      </c>
      <c r="F547" s="4" t="s">
        <v>38</v>
      </c>
      <c r="G547" s="4" t="s">
        <v>39</v>
      </c>
      <c r="H547" s="4" t="s">
        <v>1723</v>
      </c>
      <c r="I547" s="4" t="s">
        <v>540</v>
      </c>
      <c r="J547" s="6"/>
      <c r="K547" s="7"/>
      <c r="L547" s="8" t="str">
        <f t="shared" ref="L547:L548" si="66">UPPER(G547)</f>
        <v>BUCARAMANGA</v>
      </c>
      <c r="O547" s="10"/>
    </row>
    <row r="548" ht="14.25" customHeight="1">
      <c r="A548" s="1" t="s">
        <v>1724</v>
      </c>
      <c r="B548" s="2" t="s">
        <v>1725</v>
      </c>
      <c r="C548" s="2" t="s">
        <v>28</v>
      </c>
      <c r="D548" s="2" t="s">
        <v>1726</v>
      </c>
      <c r="E548" s="3" t="s">
        <v>1727</v>
      </c>
      <c r="F548" s="4" t="s">
        <v>38</v>
      </c>
      <c r="G548" s="4" t="s">
        <v>113</v>
      </c>
      <c r="H548" s="14"/>
      <c r="I548" s="4" t="s">
        <v>540</v>
      </c>
      <c r="J548" s="6"/>
      <c r="K548" s="7"/>
      <c r="L548" s="8" t="str">
        <f t="shared" si="66"/>
        <v>BARRANCABERMEJA</v>
      </c>
      <c r="O548" s="10"/>
    </row>
    <row r="549" ht="14.25" hidden="1" customHeight="1">
      <c r="A549" s="13" t="s">
        <v>1728</v>
      </c>
      <c r="B549" s="4" t="s">
        <v>27</v>
      </c>
      <c r="C549" s="4" t="s">
        <v>28</v>
      </c>
      <c r="D549" s="4" t="s">
        <v>1729</v>
      </c>
      <c r="E549" s="4">
        <v>3.125007711E9</v>
      </c>
      <c r="F549" s="4" t="s">
        <v>30</v>
      </c>
      <c r="G549" s="4" t="s">
        <v>31</v>
      </c>
      <c r="H549" s="14"/>
      <c r="I549" s="4" t="s">
        <v>32</v>
      </c>
      <c r="J549" s="14"/>
      <c r="K549" s="14"/>
      <c r="L549" s="14"/>
    </row>
    <row r="550" ht="14.25" customHeight="1">
      <c r="A550" s="1" t="s">
        <v>1730</v>
      </c>
      <c r="B550" s="2" t="s">
        <v>27</v>
      </c>
      <c r="C550" s="2" t="s">
        <v>28</v>
      </c>
      <c r="D550" s="2" t="s">
        <v>1731</v>
      </c>
      <c r="E550" s="3" t="s">
        <v>1732</v>
      </c>
      <c r="F550" s="4" t="s">
        <v>38</v>
      </c>
      <c r="G550" s="4" t="s">
        <v>113</v>
      </c>
      <c r="H550" s="4" t="s">
        <v>1733</v>
      </c>
      <c r="I550" s="4" t="s">
        <v>358</v>
      </c>
      <c r="J550" s="6" t="s">
        <v>1734</v>
      </c>
      <c r="K550" s="7">
        <v>2.0</v>
      </c>
      <c r="L550" s="8" t="str">
        <f t="shared" ref="L550:L554" si="67">UPPER(G550)</f>
        <v>BARRANCABERMEJA</v>
      </c>
      <c r="O550" s="10"/>
    </row>
    <row r="551" ht="14.25" customHeight="1">
      <c r="A551" s="1" t="s">
        <v>1735</v>
      </c>
      <c r="B551" s="2" t="s">
        <v>27</v>
      </c>
      <c r="C551" s="2" t="s">
        <v>28</v>
      </c>
      <c r="D551" s="2" t="s">
        <v>1736</v>
      </c>
      <c r="E551" s="3" t="s">
        <v>1737</v>
      </c>
      <c r="F551" s="4" t="s">
        <v>69</v>
      </c>
      <c r="G551" s="4" t="s">
        <v>69</v>
      </c>
      <c r="H551" s="14"/>
      <c r="I551" s="4" t="s">
        <v>182</v>
      </c>
      <c r="J551" s="6"/>
      <c r="K551" s="7"/>
      <c r="L551" s="8" t="str">
        <f t="shared" si="67"/>
        <v>BOGOTA</v>
      </c>
      <c r="O551" s="10"/>
    </row>
    <row r="552" ht="14.25" customHeight="1">
      <c r="A552" s="1" t="s">
        <v>1738</v>
      </c>
      <c r="B552" s="2" t="s">
        <v>27</v>
      </c>
      <c r="C552" s="2" t="s">
        <v>28</v>
      </c>
      <c r="D552" s="2" t="s">
        <v>1739</v>
      </c>
      <c r="E552" s="3" t="s">
        <v>1740</v>
      </c>
      <c r="F552" s="4" t="s">
        <v>69</v>
      </c>
      <c r="G552" s="4" t="s">
        <v>69</v>
      </c>
      <c r="H552" s="14"/>
      <c r="I552" s="4" t="s">
        <v>182</v>
      </c>
      <c r="J552" s="6"/>
      <c r="K552" s="7"/>
      <c r="L552" s="8" t="str">
        <f t="shared" si="67"/>
        <v>BOGOTA</v>
      </c>
      <c r="O552" s="10"/>
    </row>
    <row r="553" ht="14.25" customHeight="1">
      <c r="A553" s="1" t="s">
        <v>1741</v>
      </c>
      <c r="B553" s="2" t="s">
        <v>27</v>
      </c>
      <c r="C553" s="2" t="s">
        <v>28</v>
      </c>
      <c r="D553" s="2" t="s">
        <v>1742</v>
      </c>
      <c r="E553" s="3" t="s">
        <v>1743</v>
      </c>
      <c r="F553" s="4" t="s">
        <v>69</v>
      </c>
      <c r="G553" s="4" t="s">
        <v>69</v>
      </c>
      <c r="H553" s="14"/>
      <c r="I553" s="4" t="s">
        <v>182</v>
      </c>
      <c r="J553" s="6"/>
      <c r="K553" s="7"/>
      <c r="L553" s="8" t="str">
        <f t="shared" si="67"/>
        <v>BOGOTA</v>
      </c>
      <c r="O553" s="10"/>
    </row>
    <row r="554" ht="14.25" customHeight="1">
      <c r="A554" s="1" t="s">
        <v>1744</v>
      </c>
      <c r="B554" s="2" t="s">
        <v>27</v>
      </c>
      <c r="C554" s="2" t="s">
        <v>28</v>
      </c>
      <c r="D554" s="2" t="s">
        <v>1745</v>
      </c>
      <c r="E554" s="3" t="s">
        <v>1746</v>
      </c>
      <c r="F554" s="4" t="s">
        <v>38</v>
      </c>
      <c r="G554" s="4" t="s">
        <v>113</v>
      </c>
      <c r="H554" s="14"/>
      <c r="I554" s="4" t="s">
        <v>358</v>
      </c>
      <c r="J554" s="6"/>
      <c r="K554" s="7"/>
      <c r="L554" s="8" t="str">
        <f t="shared" si="67"/>
        <v>BARRANCABERMEJA</v>
      </c>
      <c r="O554" s="10"/>
    </row>
    <row r="555" ht="14.25" hidden="1" customHeight="1">
      <c r="A555" s="13" t="s">
        <v>1747</v>
      </c>
      <c r="B555" s="4" t="s">
        <v>27</v>
      </c>
      <c r="C555" s="4" t="s">
        <v>28</v>
      </c>
      <c r="D555" s="4" t="s">
        <v>1748</v>
      </c>
      <c r="E555" s="4">
        <v>3.113867755E9</v>
      </c>
      <c r="F555" s="4" t="s">
        <v>30</v>
      </c>
      <c r="G555" s="4" t="s">
        <v>35</v>
      </c>
      <c r="H555" s="14"/>
      <c r="I555" s="4" t="s">
        <v>32</v>
      </c>
      <c r="J555" s="14"/>
      <c r="K555" s="14"/>
      <c r="L555" s="14"/>
    </row>
    <row r="556" ht="14.25" customHeight="1">
      <c r="A556" s="1" t="s">
        <v>1749</v>
      </c>
      <c r="B556" s="2" t="s">
        <v>27</v>
      </c>
      <c r="C556" s="2" t="s">
        <v>28</v>
      </c>
      <c r="D556" s="2" t="s">
        <v>1750</v>
      </c>
      <c r="E556" s="3" t="s">
        <v>1751</v>
      </c>
      <c r="F556" s="4" t="s">
        <v>69</v>
      </c>
      <c r="G556" s="4" t="s">
        <v>69</v>
      </c>
      <c r="H556" s="14"/>
      <c r="I556" s="4" t="s">
        <v>51</v>
      </c>
      <c r="J556" s="6"/>
      <c r="K556" s="7"/>
      <c r="L556" s="8" t="str">
        <f>UPPER(G556)</f>
        <v>BOGOTA</v>
      </c>
      <c r="O556" s="10"/>
    </row>
    <row r="557" ht="14.25" hidden="1" customHeight="1">
      <c r="A557" s="13" t="s">
        <v>1752</v>
      </c>
      <c r="B557" s="4" t="s">
        <v>27</v>
      </c>
      <c r="C557" s="4" t="s">
        <v>28</v>
      </c>
      <c r="D557" s="4" t="s">
        <v>1753</v>
      </c>
      <c r="E557" s="4">
        <v>3.22292338E9</v>
      </c>
      <c r="F557" s="4" t="s">
        <v>30</v>
      </c>
      <c r="G557" s="4" t="s">
        <v>35</v>
      </c>
      <c r="H557" s="14"/>
      <c r="I557" s="4" t="s">
        <v>32</v>
      </c>
      <c r="J557" s="14"/>
      <c r="K557" s="14"/>
      <c r="L557" s="14"/>
    </row>
    <row r="558" ht="14.25" hidden="1" customHeight="1">
      <c r="A558" s="13" t="s">
        <v>1754</v>
      </c>
      <c r="B558" s="4" t="s">
        <v>27</v>
      </c>
      <c r="C558" s="4" t="s">
        <v>28</v>
      </c>
      <c r="D558" s="4" t="s">
        <v>1755</v>
      </c>
      <c r="E558" s="4">
        <v>3.102211527E9</v>
      </c>
      <c r="F558" s="4" t="s">
        <v>30</v>
      </c>
      <c r="G558" s="4" t="s">
        <v>35</v>
      </c>
      <c r="H558" s="14"/>
      <c r="I558" s="4" t="s">
        <v>32</v>
      </c>
      <c r="J558" s="14"/>
      <c r="K558" s="14"/>
      <c r="L558" s="14"/>
    </row>
    <row r="559" ht="14.25" hidden="1" customHeight="1">
      <c r="A559" s="13" t="s">
        <v>1756</v>
      </c>
      <c r="B559" s="4" t="s">
        <v>27</v>
      </c>
      <c r="C559" s="4" t="s">
        <v>28</v>
      </c>
      <c r="D559" s="4" t="s">
        <v>1757</v>
      </c>
      <c r="E559" s="4">
        <v>3.213289711E9</v>
      </c>
      <c r="F559" s="4" t="s">
        <v>30</v>
      </c>
      <c r="G559" s="4" t="s">
        <v>35</v>
      </c>
      <c r="H559" s="14"/>
      <c r="I559" s="4" t="s">
        <v>32</v>
      </c>
      <c r="J559" s="14"/>
      <c r="K559" s="14"/>
      <c r="L559" s="14"/>
    </row>
    <row r="560" ht="14.25" customHeight="1">
      <c r="A560" s="1" t="s">
        <v>1758</v>
      </c>
      <c r="B560" s="2" t="s">
        <v>27</v>
      </c>
      <c r="C560" s="2" t="s">
        <v>28</v>
      </c>
      <c r="D560" s="2" t="s">
        <v>1759</v>
      </c>
      <c r="E560" s="3" t="s">
        <v>660</v>
      </c>
      <c r="F560" s="4" t="s">
        <v>212</v>
      </c>
      <c r="G560" s="4" t="s">
        <v>661</v>
      </c>
      <c r="H560" s="4" t="s">
        <v>662</v>
      </c>
      <c r="I560" s="4" t="s">
        <v>32</v>
      </c>
      <c r="J560" s="6"/>
      <c r="K560" s="7"/>
      <c r="L560" s="8" t="str">
        <f>UPPER(G560)</f>
        <v>CARTAGENA</v>
      </c>
      <c r="O560" s="10"/>
    </row>
    <row r="561" ht="14.25" hidden="1" customHeight="1">
      <c r="A561" s="13" t="s">
        <v>1760</v>
      </c>
      <c r="B561" s="4" t="s">
        <v>27</v>
      </c>
      <c r="C561" s="4" t="s">
        <v>28</v>
      </c>
      <c r="D561" s="4" t="s">
        <v>1761</v>
      </c>
      <c r="E561" s="4">
        <v>3.222316412E9</v>
      </c>
      <c r="F561" s="4" t="s">
        <v>30</v>
      </c>
      <c r="G561" s="4" t="s">
        <v>35</v>
      </c>
      <c r="H561" s="14"/>
      <c r="I561" s="4" t="s">
        <v>32</v>
      </c>
      <c r="J561" s="14"/>
      <c r="K561" s="14"/>
      <c r="L561" s="14"/>
    </row>
    <row r="562" ht="14.25" hidden="1" customHeight="1">
      <c r="A562" s="13" t="s">
        <v>1762</v>
      </c>
      <c r="B562" s="4" t="s">
        <v>27</v>
      </c>
      <c r="C562" s="4" t="s">
        <v>28</v>
      </c>
      <c r="D562" s="4" t="s">
        <v>1763</v>
      </c>
      <c r="E562" s="4">
        <v>3.147447014E9</v>
      </c>
      <c r="F562" s="4" t="s">
        <v>30</v>
      </c>
      <c r="G562" s="4" t="s">
        <v>35</v>
      </c>
      <c r="H562" s="14"/>
      <c r="I562" s="4" t="s">
        <v>32</v>
      </c>
      <c r="J562" s="14"/>
      <c r="K562" s="14"/>
      <c r="L562" s="14"/>
    </row>
    <row r="563" ht="14.25" customHeight="1">
      <c r="A563" s="1" t="s">
        <v>1764</v>
      </c>
      <c r="B563" s="2" t="s">
        <v>27</v>
      </c>
      <c r="C563" s="2" t="s">
        <v>28</v>
      </c>
      <c r="D563" s="2" t="s">
        <v>1765</v>
      </c>
      <c r="E563" s="3" t="s">
        <v>1766</v>
      </c>
      <c r="F563" s="4" t="s">
        <v>69</v>
      </c>
      <c r="G563" s="4" t="s">
        <v>69</v>
      </c>
      <c r="H563" s="14"/>
      <c r="I563" s="4" t="s">
        <v>540</v>
      </c>
      <c r="J563" s="6"/>
      <c r="K563" s="7"/>
      <c r="L563" s="8" t="str">
        <f>UPPER(G563)</f>
        <v>BOGOTA</v>
      </c>
      <c r="O563" s="10"/>
    </row>
    <row r="564" ht="14.25" hidden="1" customHeight="1">
      <c r="A564" s="13" t="s">
        <v>1767</v>
      </c>
      <c r="B564" s="4" t="s">
        <v>27</v>
      </c>
      <c r="C564" s="4" t="s">
        <v>28</v>
      </c>
      <c r="D564" s="4" t="s">
        <v>1768</v>
      </c>
      <c r="E564" s="4">
        <v>3.118713141E9</v>
      </c>
      <c r="F564" s="4" t="s">
        <v>30</v>
      </c>
      <c r="G564" s="4" t="s">
        <v>35</v>
      </c>
      <c r="H564" s="14"/>
      <c r="I564" s="4" t="s">
        <v>32</v>
      </c>
      <c r="J564" s="14"/>
      <c r="K564" s="14"/>
      <c r="L564" s="14"/>
    </row>
    <row r="565" ht="14.25" customHeight="1">
      <c r="A565" s="1" t="s">
        <v>1769</v>
      </c>
      <c r="B565" s="2" t="s">
        <v>27</v>
      </c>
      <c r="C565" s="2" t="s">
        <v>28</v>
      </c>
      <c r="D565" s="2" t="s">
        <v>1770</v>
      </c>
      <c r="E565" s="3" t="s">
        <v>1771</v>
      </c>
      <c r="F565" s="4" t="s">
        <v>38</v>
      </c>
      <c r="G565" s="4" t="s">
        <v>81</v>
      </c>
      <c r="H565" s="14"/>
      <c r="I565" s="4" t="s">
        <v>561</v>
      </c>
      <c r="J565" s="6"/>
      <c r="K565" s="7"/>
      <c r="L565" s="8" t="str">
        <f>UPPER(G565)</f>
        <v>FLORIDABLANCA</v>
      </c>
      <c r="O565" s="10"/>
    </row>
    <row r="566" ht="14.25" hidden="1" customHeight="1">
      <c r="A566" s="13" t="s">
        <v>1772</v>
      </c>
      <c r="B566" s="4" t="s">
        <v>27</v>
      </c>
      <c r="C566" s="4" t="s">
        <v>28</v>
      </c>
      <c r="D566" s="4" t="s">
        <v>1773</v>
      </c>
      <c r="E566" s="4">
        <v>3.219567768E9</v>
      </c>
      <c r="F566" s="4" t="s">
        <v>30</v>
      </c>
      <c r="G566" s="4" t="s">
        <v>35</v>
      </c>
      <c r="H566" s="14"/>
      <c r="I566" s="4" t="s">
        <v>32</v>
      </c>
      <c r="J566" s="14"/>
      <c r="K566" s="14"/>
      <c r="L566" s="14"/>
    </row>
    <row r="567" ht="14.25" hidden="1" customHeight="1">
      <c r="A567" s="13" t="s">
        <v>1774</v>
      </c>
      <c r="B567" s="4" t="s">
        <v>27</v>
      </c>
      <c r="C567" s="4" t="s">
        <v>28</v>
      </c>
      <c r="D567" s="4" t="s">
        <v>1775</v>
      </c>
      <c r="E567" s="4">
        <v>3.14294672E9</v>
      </c>
      <c r="F567" s="4" t="s">
        <v>30</v>
      </c>
      <c r="G567" s="4" t="s">
        <v>35</v>
      </c>
      <c r="H567" s="14"/>
      <c r="I567" s="4" t="s">
        <v>32</v>
      </c>
      <c r="J567" s="14"/>
      <c r="K567" s="14"/>
      <c r="L567" s="14"/>
    </row>
    <row r="568" ht="14.25" hidden="1" customHeight="1">
      <c r="A568" s="13" t="s">
        <v>1776</v>
      </c>
      <c r="B568" s="4" t="s">
        <v>27</v>
      </c>
      <c r="C568" s="4" t="s">
        <v>28</v>
      </c>
      <c r="D568" s="4" t="s">
        <v>1777</v>
      </c>
      <c r="E568" s="4">
        <v>3.222316412E9</v>
      </c>
      <c r="F568" s="4" t="s">
        <v>30</v>
      </c>
      <c r="G568" s="4" t="s">
        <v>35</v>
      </c>
      <c r="H568" s="14"/>
      <c r="I568" s="4" t="s">
        <v>32</v>
      </c>
      <c r="J568" s="14"/>
      <c r="K568" s="14"/>
      <c r="L568" s="14"/>
    </row>
    <row r="569" ht="14.25" customHeight="1">
      <c r="A569" s="1" t="s">
        <v>1778</v>
      </c>
      <c r="B569" s="2" t="s">
        <v>27</v>
      </c>
      <c r="C569" s="2" t="s">
        <v>28</v>
      </c>
      <c r="D569" s="2" t="s">
        <v>1779</v>
      </c>
      <c r="E569" s="3" t="s">
        <v>1780</v>
      </c>
      <c r="F569" s="4" t="s">
        <v>38</v>
      </c>
      <c r="G569" s="4" t="s">
        <v>39</v>
      </c>
      <c r="H569" s="4" t="s">
        <v>1781</v>
      </c>
      <c r="I569" s="4" t="s">
        <v>846</v>
      </c>
      <c r="J569" s="6"/>
      <c r="K569" s="7"/>
      <c r="L569" s="8" t="str">
        <f t="shared" ref="L569:L571" si="68">UPPER(G569)</f>
        <v>BUCARAMANGA</v>
      </c>
      <c r="O569" s="10"/>
    </row>
    <row r="570" ht="14.25" customHeight="1">
      <c r="A570" s="1" t="s">
        <v>1782</v>
      </c>
      <c r="B570" s="2" t="s">
        <v>27</v>
      </c>
      <c r="C570" s="2" t="s">
        <v>28</v>
      </c>
      <c r="D570" s="2" t="s">
        <v>1783</v>
      </c>
      <c r="E570" s="3" t="s">
        <v>1784</v>
      </c>
      <c r="F570" s="4" t="s">
        <v>38</v>
      </c>
      <c r="G570" s="4" t="s">
        <v>159</v>
      </c>
      <c r="H570" s="4" t="s">
        <v>1785</v>
      </c>
      <c r="I570" s="4" t="s">
        <v>76</v>
      </c>
      <c r="J570" s="6"/>
      <c r="K570" s="7"/>
      <c r="L570" s="8" t="str">
        <f t="shared" si="68"/>
        <v>PIEDECUESTA</v>
      </c>
      <c r="O570" s="10"/>
    </row>
    <row r="571" ht="14.25" customHeight="1">
      <c r="A571" s="1" t="s">
        <v>1786</v>
      </c>
      <c r="B571" s="2" t="s">
        <v>27</v>
      </c>
      <c r="C571" s="2" t="s">
        <v>28</v>
      </c>
      <c r="D571" s="2" t="s">
        <v>1787</v>
      </c>
      <c r="E571" s="3" t="s">
        <v>1788</v>
      </c>
      <c r="F571" s="4" t="s">
        <v>38</v>
      </c>
      <c r="G571" s="4" t="s">
        <v>39</v>
      </c>
      <c r="H571" s="4" t="s">
        <v>118</v>
      </c>
      <c r="I571" s="4" t="s">
        <v>561</v>
      </c>
      <c r="J571" s="6"/>
      <c r="K571" s="7"/>
      <c r="L571" s="8" t="str">
        <f t="shared" si="68"/>
        <v>BUCARAMANGA</v>
      </c>
      <c r="O571" s="10"/>
    </row>
    <row r="572" ht="14.25" hidden="1" customHeight="1">
      <c r="A572" s="13" t="s">
        <v>1789</v>
      </c>
      <c r="B572" s="4" t="s">
        <v>27</v>
      </c>
      <c r="C572" s="4" t="s">
        <v>28</v>
      </c>
      <c r="D572" s="4" t="s">
        <v>1790</v>
      </c>
      <c r="E572" s="4">
        <v>3.112886292E9</v>
      </c>
      <c r="F572" s="4" t="s">
        <v>30</v>
      </c>
      <c r="G572" s="4" t="s">
        <v>35</v>
      </c>
      <c r="H572" s="14"/>
      <c r="I572" s="4" t="s">
        <v>32</v>
      </c>
      <c r="J572" s="14"/>
      <c r="K572" s="14"/>
      <c r="L572" s="14"/>
    </row>
    <row r="573" ht="14.25" hidden="1" customHeight="1">
      <c r="A573" s="13" t="s">
        <v>1791</v>
      </c>
      <c r="B573" s="4" t="s">
        <v>27</v>
      </c>
      <c r="C573" s="4" t="s">
        <v>28</v>
      </c>
      <c r="D573" s="4" t="s">
        <v>1792</v>
      </c>
      <c r="E573" s="4">
        <v>3.229457091E9</v>
      </c>
      <c r="F573" s="4" t="s">
        <v>30</v>
      </c>
      <c r="G573" s="4" t="s">
        <v>31</v>
      </c>
      <c r="H573" s="14"/>
      <c r="I573" s="4" t="s">
        <v>32</v>
      </c>
      <c r="J573" s="14"/>
      <c r="K573" s="14"/>
      <c r="L573" s="14"/>
    </row>
    <row r="574" ht="14.25" customHeight="1">
      <c r="A574" s="1" t="s">
        <v>1793</v>
      </c>
      <c r="B574" s="2" t="s">
        <v>27</v>
      </c>
      <c r="C574" s="2" t="s">
        <v>28</v>
      </c>
      <c r="D574" s="2" t="s">
        <v>1794</v>
      </c>
      <c r="E574" s="3" t="s">
        <v>1795</v>
      </c>
      <c r="F574" s="4" t="s">
        <v>69</v>
      </c>
      <c r="G574" s="4" t="s">
        <v>69</v>
      </c>
      <c r="H574" s="14"/>
      <c r="I574" s="4" t="s">
        <v>51</v>
      </c>
      <c r="J574" s="6"/>
      <c r="K574" s="7"/>
      <c r="L574" s="8" t="str">
        <f>UPPER(G574)</f>
        <v>BOGOTA</v>
      </c>
      <c r="O574" s="10"/>
    </row>
    <row r="575" ht="14.25" hidden="1" customHeight="1">
      <c r="A575" s="13" t="s">
        <v>1796</v>
      </c>
      <c r="B575" s="4" t="s">
        <v>27</v>
      </c>
      <c r="C575" s="4" t="s">
        <v>28</v>
      </c>
      <c r="D575" s="4" t="s">
        <v>1797</v>
      </c>
      <c r="E575" s="4">
        <v>3.166026011E9</v>
      </c>
      <c r="F575" s="4" t="s">
        <v>30</v>
      </c>
      <c r="G575" s="4" t="s">
        <v>35</v>
      </c>
      <c r="H575" s="14"/>
      <c r="I575" s="4" t="s">
        <v>32</v>
      </c>
      <c r="J575" s="14"/>
      <c r="K575" s="14"/>
      <c r="L575" s="14"/>
    </row>
    <row r="576" ht="14.25" hidden="1" customHeight="1">
      <c r="A576" s="13" t="s">
        <v>1798</v>
      </c>
      <c r="B576" s="4" t="s">
        <v>27</v>
      </c>
      <c r="C576" s="4" t="s">
        <v>28</v>
      </c>
      <c r="D576" s="4" t="s">
        <v>1799</v>
      </c>
      <c r="E576" s="4">
        <v>3.229457091E9</v>
      </c>
      <c r="F576" s="4" t="s">
        <v>30</v>
      </c>
      <c r="G576" s="4" t="s">
        <v>31</v>
      </c>
      <c r="H576" s="14"/>
      <c r="I576" s="4" t="s">
        <v>32</v>
      </c>
      <c r="J576" s="14"/>
      <c r="K576" s="14"/>
      <c r="L576" s="14"/>
    </row>
    <row r="577" ht="14.25" customHeight="1">
      <c r="A577" s="1" t="s">
        <v>1800</v>
      </c>
      <c r="B577" s="2" t="s">
        <v>65</v>
      </c>
      <c r="C577" s="2" t="s">
        <v>66</v>
      </c>
      <c r="D577" s="2" t="s">
        <v>1801</v>
      </c>
      <c r="E577" s="3" t="s">
        <v>1802</v>
      </c>
      <c r="F577" s="4" t="s">
        <v>38</v>
      </c>
      <c r="G577" s="4" t="s">
        <v>113</v>
      </c>
      <c r="H577" s="14"/>
      <c r="I577" s="4" t="s">
        <v>540</v>
      </c>
      <c r="J577" s="6"/>
      <c r="K577" s="7"/>
      <c r="L577" s="8" t="str">
        <f t="shared" ref="L577:L578" si="69">UPPER(G577)</f>
        <v>BARRANCABERMEJA</v>
      </c>
      <c r="O577" s="10"/>
    </row>
    <row r="578" ht="14.25" customHeight="1">
      <c r="A578" s="1" t="s">
        <v>1803</v>
      </c>
      <c r="B578" s="2" t="s">
        <v>27</v>
      </c>
      <c r="C578" s="2" t="s">
        <v>28</v>
      </c>
      <c r="D578" s="2" t="s">
        <v>1804</v>
      </c>
      <c r="E578" s="3" t="s">
        <v>1805</v>
      </c>
      <c r="F578" s="4" t="s">
        <v>38</v>
      </c>
      <c r="G578" s="4" t="s">
        <v>113</v>
      </c>
      <c r="H578" s="14"/>
      <c r="I578" s="4" t="s">
        <v>540</v>
      </c>
      <c r="J578" s="6"/>
      <c r="K578" s="7"/>
      <c r="L578" s="8" t="str">
        <f t="shared" si="69"/>
        <v>BARRANCABERMEJA</v>
      </c>
      <c r="O578" s="10"/>
    </row>
    <row r="579" ht="14.25" hidden="1" customHeight="1">
      <c r="A579" s="13" t="s">
        <v>1806</v>
      </c>
      <c r="B579" s="4" t="s">
        <v>27</v>
      </c>
      <c r="C579" s="4" t="s">
        <v>28</v>
      </c>
      <c r="D579" s="4" t="s">
        <v>1807</v>
      </c>
      <c r="E579" s="4">
        <v>3.225958571E9</v>
      </c>
      <c r="F579" s="4" t="s">
        <v>30</v>
      </c>
      <c r="G579" s="4" t="s">
        <v>35</v>
      </c>
      <c r="H579" s="14"/>
      <c r="I579" s="4" t="s">
        <v>32</v>
      </c>
      <c r="J579" s="14"/>
      <c r="K579" s="14"/>
      <c r="L579" s="14"/>
    </row>
    <row r="580" ht="14.25" customHeight="1">
      <c r="A580" s="1" t="s">
        <v>1808</v>
      </c>
      <c r="B580" s="2" t="s">
        <v>27</v>
      </c>
      <c r="C580" s="2" t="s">
        <v>28</v>
      </c>
      <c r="D580" s="2" t="s">
        <v>1809</v>
      </c>
      <c r="E580" s="3" t="s">
        <v>1810</v>
      </c>
      <c r="F580" s="4" t="s">
        <v>69</v>
      </c>
      <c r="G580" s="4" t="s">
        <v>69</v>
      </c>
      <c r="H580" s="14"/>
      <c r="I580" s="4" t="s">
        <v>51</v>
      </c>
      <c r="J580" s="6"/>
      <c r="K580" s="7"/>
      <c r="L580" s="8" t="str">
        <f>UPPER(G580)</f>
        <v>BOGOTA</v>
      </c>
      <c r="O580" s="10"/>
    </row>
    <row r="581" ht="14.25" hidden="1" customHeight="1">
      <c r="A581" s="13" t="s">
        <v>1811</v>
      </c>
      <c r="B581" s="4" t="s">
        <v>27</v>
      </c>
      <c r="C581" s="4" t="s">
        <v>28</v>
      </c>
      <c r="D581" s="4" t="s">
        <v>1812</v>
      </c>
      <c r="E581" s="4">
        <v>3.166026011E9</v>
      </c>
      <c r="F581" s="4" t="s">
        <v>30</v>
      </c>
      <c r="G581" s="4" t="s">
        <v>35</v>
      </c>
      <c r="H581" s="14"/>
      <c r="I581" s="4" t="s">
        <v>32</v>
      </c>
      <c r="J581" s="14"/>
      <c r="K581" s="14"/>
      <c r="L581" s="14"/>
    </row>
    <row r="582" ht="14.25" hidden="1" customHeight="1">
      <c r="A582" s="13" t="s">
        <v>1813</v>
      </c>
      <c r="B582" s="4" t="s">
        <v>27</v>
      </c>
      <c r="C582" s="4" t="s">
        <v>28</v>
      </c>
      <c r="D582" s="4" t="s">
        <v>1814</v>
      </c>
      <c r="E582" s="4">
        <v>3.22292338E9</v>
      </c>
      <c r="F582" s="4" t="s">
        <v>30</v>
      </c>
      <c r="G582" s="4" t="s">
        <v>31</v>
      </c>
      <c r="H582" s="14"/>
      <c r="I582" s="4" t="s">
        <v>32</v>
      </c>
      <c r="J582" s="14"/>
      <c r="K582" s="14"/>
      <c r="L582" s="14"/>
    </row>
    <row r="583" ht="14.25" hidden="1" customHeight="1">
      <c r="A583" s="13" t="s">
        <v>1815</v>
      </c>
      <c r="B583" s="4" t="s">
        <v>27</v>
      </c>
      <c r="C583" s="4" t="s">
        <v>28</v>
      </c>
      <c r="D583" s="4" t="s">
        <v>1816</v>
      </c>
      <c r="E583" s="4">
        <v>3.22292338E9</v>
      </c>
      <c r="F583" s="4" t="s">
        <v>30</v>
      </c>
      <c r="G583" s="4" t="s">
        <v>31</v>
      </c>
      <c r="H583" s="14"/>
      <c r="I583" s="4" t="s">
        <v>32</v>
      </c>
      <c r="J583" s="14"/>
      <c r="K583" s="14"/>
      <c r="L583" s="14"/>
    </row>
    <row r="584" ht="14.25" hidden="1" customHeight="1">
      <c r="A584" s="13" t="s">
        <v>1817</v>
      </c>
      <c r="B584" s="4" t="s">
        <v>27</v>
      </c>
      <c r="C584" s="4" t="s">
        <v>28</v>
      </c>
      <c r="D584" s="4" t="s">
        <v>1818</v>
      </c>
      <c r="E584" s="4">
        <v>3.229457091E9</v>
      </c>
      <c r="F584" s="4" t="s">
        <v>30</v>
      </c>
      <c r="G584" s="4" t="s">
        <v>31</v>
      </c>
      <c r="H584" s="14"/>
      <c r="I584" s="4" t="s">
        <v>32</v>
      </c>
      <c r="J584" s="14"/>
      <c r="K584" s="14"/>
      <c r="L584" s="14"/>
    </row>
    <row r="585" ht="14.25" hidden="1" customHeight="1">
      <c r="A585" s="13" t="s">
        <v>1819</v>
      </c>
      <c r="B585" s="4" t="s">
        <v>27</v>
      </c>
      <c r="C585" s="4" t="s">
        <v>28</v>
      </c>
      <c r="D585" s="4" t="s">
        <v>1820</v>
      </c>
      <c r="E585" s="4">
        <v>3.22731914E9</v>
      </c>
      <c r="F585" s="4" t="s">
        <v>30</v>
      </c>
      <c r="G585" s="4" t="s">
        <v>35</v>
      </c>
      <c r="H585" s="14"/>
      <c r="I585" s="4" t="s">
        <v>32</v>
      </c>
      <c r="J585" s="14"/>
      <c r="K585" s="14"/>
      <c r="L585" s="14"/>
    </row>
    <row r="586" ht="14.25" hidden="1" customHeight="1">
      <c r="A586" s="13" t="s">
        <v>1821</v>
      </c>
      <c r="B586" s="4" t="s">
        <v>27</v>
      </c>
      <c r="C586" s="4" t="s">
        <v>28</v>
      </c>
      <c r="D586" s="4" t="s">
        <v>1822</v>
      </c>
      <c r="E586" s="4">
        <v>3.118713141E9</v>
      </c>
      <c r="F586" s="4" t="s">
        <v>30</v>
      </c>
      <c r="G586" s="4" t="s">
        <v>35</v>
      </c>
      <c r="H586" s="14"/>
      <c r="I586" s="4" t="s">
        <v>32</v>
      </c>
      <c r="J586" s="14"/>
      <c r="K586" s="14"/>
      <c r="L586" s="14"/>
    </row>
    <row r="587" ht="14.25" hidden="1" customHeight="1">
      <c r="A587" s="13" t="s">
        <v>1823</v>
      </c>
      <c r="B587" s="4" t="s">
        <v>27</v>
      </c>
      <c r="C587" s="4" t="s">
        <v>28</v>
      </c>
      <c r="D587" s="4" t="s">
        <v>1824</v>
      </c>
      <c r="E587" s="4">
        <v>3.227649445E9</v>
      </c>
      <c r="F587" s="4" t="s">
        <v>30</v>
      </c>
      <c r="G587" s="4" t="s">
        <v>35</v>
      </c>
      <c r="H587" s="14"/>
      <c r="I587" s="4" t="s">
        <v>32</v>
      </c>
      <c r="J587" s="14"/>
      <c r="K587" s="14"/>
      <c r="L587" s="14"/>
    </row>
    <row r="588" ht="14.25" customHeight="1">
      <c r="A588" s="1" t="s">
        <v>1825</v>
      </c>
      <c r="B588" s="2" t="s">
        <v>27</v>
      </c>
      <c r="C588" s="2" t="s">
        <v>28</v>
      </c>
      <c r="D588" s="2" t="s">
        <v>1826</v>
      </c>
      <c r="E588" s="3" t="s">
        <v>1827</v>
      </c>
      <c r="F588" s="4" t="s">
        <v>38</v>
      </c>
      <c r="G588" s="4" t="s">
        <v>81</v>
      </c>
      <c r="H588" s="4" t="s">
        <v>308</v>
      </c>
      <c r="I588" s="4" t="s">
        <v>561</v>
      </c>
      <c r="J588" s="6"/>
      <c r="K588" s="7"/>
      <c r="L588" s="8" t="str">
        <f>UPPER(G588)</f>
        <v>FLORIDABLANCA</v>
      </c>
      <c r="O588" s="10"/>
    </row>
    <row r="589" ht="14.25" hidden="1" customHeight="1">
      <c r="A589" s="13" t="s">
        <v>1828</v>
      </c>
      <c r="B589" s="4" t="s">
        <v>27</v>
      </c>
      <c r="C589" s="4" t="s">
        <v>28</v>
      </c>
      <c r="D589" s="4" t="s">
        <v>1829</v>
      </c>
      <c r="E589" s="4">
        <v>3.118713141E9</v>
      </c>
      <c r="F589" s="4" t="s">
        <v>30</v>
      </c>
      <c r="G589" s="4" t="s">
        <v>35</v>
      </c>
      <c r="H589" s="14"/>
      <c r="I589" s="4" t="s">
        <v>32</v>
      </c>
      <c r="J589" s="14"/>
      <c r="K589" s="14"/>
      <c r="L589" s="14"/>
    </row>
    <row r="590" ht="14.25" customHeight="1">
      <c r="A590" s="1" t="s">
        <v>1830</v>
      </c>
      <c r="B590" s="2" t="s">
        <v>27</v>
      </c>
      <c r="C590" s="2" t="s">
        <v>28</v>
      </c>
      <c r="D590" s="2" t="s">
        <v>1831</v>
      </c>
      <c r="E590" s="3" t="s">
        <v>1832</v>
      </c>
      <c r="F590" s="4" t="s">
        <v>69</v>
      </c>
      <c r="G590" s="4" t="s">
        <v>69</v>
      </c>
      <c r="H590" s="4" t="s">
        <v>133</v>
      </c>
      <c r="I590" s="4" t="s">
        <v>51</v>
      </c>
      <c r="J590" s="6"/>
      <c r="K590" s="7"/>
      <c r="L590" s="8" t="str">
        <f t="shared" ref="L590:L593" si="70">UPPER(G590)</f>
        <v>BOGOTA</v>
      </c>
      <c r="O590" s="10"/>
    </row>
    <row r="591" ht="14.25" customHeight="1">
      <c r="A591" s="1" t="s">
        <v>1833</v>
      </c>
      <c r="B591" s="2" t="s">
        <v>27</v>
      </c>
      <c r="C591" s="2" t="s">
        <v>28</v>
      </c>
      <c r="D591" s="2" t="s">
        <v>1834</v>
      </c>
      <c r="E591" s="3" t="s">
        <v>1835</v>
      </c>
      <c r="F591" s="4" t="s">
        <v>38</v>
      </c>
      <c r="G591" s="4" t="s">
        <v>39</v>
      </c>
      <c r="H591" s="4" t="s">
        <v>40</v>
      </c>
      <c r="I591" s="4" t="s">
        <v>561</v>
      </c>
      <c r="J591" s="6"/>
      <c r="K591" s="7"/>
      <c r="L591" s="8" t="str">
        <f t="shared" si="70"/>
        <v>BUCARAMANGA</v>
      </c>
      <c r="O591" s="10"/>
    </row>
    <row r="592" ht="14.25" customHeight="1">
      <c r="A592" s="1" t="s">
        <v>1836</v>
      </c>
      <c r="B592" s="2" t="s">
        <v>27</v>
      </c>
      <c r="C592" s="2" t="s">
        <v>28</v>
      </c>
      <c r="D592" s="2" t="s">
        <v>1837</v>
      </c>
      <c r="E592" s="3" t="s">
        <v>1838</v>
      </c>
      <c r="F592" s="4" t="s">
        <v>38</v>
      </c>
      <c r="G592" s="4" t="s">
        <v>1839</v>
      </c>
      <c r="H592" s="14"/>
      <c r="I592" s="4" t="s">
        <v>561</v>
      </c>
      <c r="J592" s="6"/>
      <c r="K592" s="7"/>
      <c r="L592" s="8" t="str">
        <f t="shared" si="70"/>
        <v>SOCORRO</v>
      </c>
      <c r="O592" s="10"/>
    </row>
    <row r="593" ht="14.25" customHeight="1">
      <c r="A593" s="1" t="s">
        <v>1840</v>
      </c>
      <c r="B593" s="2" t="s">
        <v>27</v>
      </c>
      <c r="C593" s="2" t="s">
        <v>28</v>
      </c>
      <c r="D593" s="2" t="s">
        <v>1841</v>
      </c>
      <c r="E593" s="3" t="s">
        <v>1842</v>
      </c>
      <c r="F593" s="4" t="s">
        <v>38</v>
      </c>
      <c r="G593" s="4" t="s">
        <v>39</v>
      </c>
      <c r="H593" s="4" t="s">
        <v>58</v>
      </c>
      <c r="I593" s="4" t="s">
        <v>561</v>
      </c>
      <c r="J593" s="6"/>
      <c r="K593" s="7"/>
      <c r="L593" s="8" t="str">
        <f t="shared" si="70"/>
        <v>BUCARAMANGA</v>
      </c>
      <c r="O593" s="10"/>
    </row>
    <row r="594" ht="14.25" hidden="1" customHeight="1">
      <c r="A594" s="13" t="s">
        <v>1843</v>
      </c>
      <c r="B594" s="4" t="s">
        <v>27</v>
      </c>
      <c r="C594" s="4" t="s">
        <v>28</v>
      </c>
      <c r="D594" s="4" t="s">
        <v>1844</v>
      </c>
      <c r="E594" s="4">
        <v>3.12591924E9</v>
      </c>
      <c r="F594" s="4" t="s">
        <v>30</v>
      </c>
      <c r="G594" s="4" t="s">
        <v>35</v>
      </c>
      <c r="H594" s="14"/>
      <c r="I594" s="4" t="s">
        <v>32</v>
      </c>
      <c r="J594" s="14"/>
      <c r="K594" s="14"/>
      <c r="L594" s="14"/>
    </row>
    <row r="595" ht="14.25" customHeight="1">
      <c r="A595" s="1" t="s">
        <v>1845</v>
      </c>
      <c r="B595" s="2" t="s">
        <v>27</v>
      </c>
      <c r="C595" s="2" t="s">
        <v>28</v>
      </c>
      <c r="D595" s="2" t="s">
        <v>1846</v>
      </c>
      <c r="E595" s="3" t="s">
        <v>1847</v>
      </c>
      <c r="F595" s="4" t="s">
        <v>38</v>
      </c>
      <c r="G595" s="4" t="s">
        <v>39</v>
      </c>
      <c r="H595" s="14"/>
      <c r="I595" s="4" t="s">
        <v>76</v>
      </c>
      <c r="J595" s="6"/>
      <c r="K595" s="7"/>
      <c r="L595" s="8" t="str">
        <f t="shared" ref="L595:L597" si="71">UPPER(G595)</f>
        <v>BUCARAMANGA</v>
      </c>
      <c r="O595" s="10"/>
    </row>
    <row r="596" ht="14.25" customHeight="1">
      <c r="A596" s="1" t="s">
        <v>1848</v>
      </c>
      <c r="B596" s="2" t="s">
        <v>27</v>
      </c>
      <c r="C596" s="2" t="s">
        <v>28</v>
      </c>
      <c r="D596" s="2" t="s">
        <v>1849</v>
      </c>
      <c r="E596" s="3" t="s">
        <v>1850</v>
      </c>
      <c r="F596" s="4" t="s">
        <v>38</v>
      </c>
      <c r="G596" s="4" t="s">
        <v>113</v>
      </c>
      <c r="H596" s="14"/>
      <c r="I596" s="4" t="s">
        <v>540</v>
      </c>
      <c r="J596" s="6" t="s">
        <v>1851</v>
      </c>
      <c r="K596" s="7">
        <v>18.0</v>
      </c>
      <c r="L596" s="8" t="str">
        <f t="shared" si="71"/>
        <v>BARRANCABERMEJA</v>
      </c>
      <c r="O596" s="10"/>
    </row>
    <row r="597" ht="14.25" customHeight="1">
      <c r="A597" s="1" t="s">
        <v>1852</v>
      </c>
      <c r="B597" s="2" t="s">
        <v>27</v>
      </c>
      <c r="C597" s="2" t="s">
        <v>28</v>
      </c>
      <c r="D597" s="2" t="s">
        <v>1853</v>
      </c>
      <c r="E597" s="3" t="s">
        <v>1854</v>
      </c>
      <c r="F597" s="4" t="s">
        <v>38</v>
      </c>
      <c r="G597" s="4" t="s">
        <v>81</v>
      </c>
      <c r="H597" s="4" t="s">
        <v>1055</v>
      </c>
      <c r="I597" s="4" t="s">
        <v>561</v>
      </c>
      <c r="J597" s="6"/>
      <c r="K597" s="7"/>
      <c r="L597" s="8" t="str">
        <f t="shared" si="71"/>
        <v>FLORIDABLANCA</v>
      </c>
      <c r="O597" s="10"/>
    </row>
    <row r="598" ht="14.25" hidden="1" customHeight="1">
      <c r="A598" s="13" t="s">
        <v>1855</v>
      </c>
      <c r="B598" s="4" t="s">
        <v>27</v>
      </c>
      <c r="C598" s="4" t="s">
        <v>28</v>
      </c>
      <c r="D598" s="4" t="s">
        <v>1856</v>
      </c>
      <c r="E598" s="4">
        <v>3.22731914E9</v>
      </c>
      <c r="F598" s="4" t="s">
        <v>30</v>
      </c>
      <c r="G598" s="4" t="s">
        <v>35</v>
      </c>
      <c r="H598" s="14"/>
      <c r="I598" s="4" t="s">
        <v>32</v>
      </c>
      <c r="J598" s="14"/>
      <c r="K598" s="14"/>
      <c r="L598" s="14"/>
    </row>
    <row r="599" ht="14.25" customHeight="1">
      <c r="A599" s="1" t="s">
        <v>1857</v>
      </c>
      <c r="B599" s="2" t="s">
        <v>27</v>
      </c>
      <c r="C599" s="2" t="s">
        <v>962</v>
      </c>
      <c r="D599" s="2" t="s">
        <v>1858</v>
      </c>
      <c r="E599" s="3" t="s">
        <v>1859</v>
      </c>
      <c r="F599" s="4" t="s">
        <v>38</v>
      </c>
      <c r="G599" s="4" t="s">
        <v>39</v>
      </c>
      <c r="H599" s="14"/>
      <c r="I599" s="4" t="s">
        <v>164</v>
      </c>
      <c r="J599" s="6"/>
      <c r="K599" s="7"/>
      <c r="L599" s="8" t="str">
        <f t="shared" ref="L599:L601" si="72">UPPER(G599)</f>
        <v>BUCARAMANGA</v>
      </c>
      <c r="O599" s="10"/>
    </row>
    <row r="600" ht="14.25" customHeight="1">
      <c r="A600" s="1" t="s">
        <v>1860</v>
      </c>
      <c r="B600" s="2" t="s">
        <v>27</v>
      </c>
      <c r="C600" s="2" t="s">
        <v>28</v>
      </c>
      <c r="D600" s="2" t="s">
        <v>1861</v>
      </c>
      <c r="E600" s="3" t="s">
        <v>1862</v>
      </c>
      <c r="F600" s="4" t="s">
        <v>1863</v>
      </c>
      <c r="G600" s="4" t="s">
        <v>1356</v>
      </c>
      <c r="H600" s="14"/>
      <c r="I600" s="4" t="s">
        <v>51</v>
      </c>
      <c r="J600" s="6"/>
      <c r="K600" s="7"/>
      <c r="L600" s="8" t="str">
        <f t="shared" si="72"/>
        <v>CALI</v>
      </c>
      <c r="O600" s="10"/>
    </row>
    <row r="601" ht="14.25" customHeight="1">
      <c r="A601" s="1" t="s">
        <v>1864</v>
      </c>
      <c r="B601" s="2" t="s">
        <v>27</v>
      </c>
      <c r="C601" s="2" t="s">
        <v>28</v>
      </c>
      <c r="D601" s="2" t="s">
        <v>1865</v>
      </c>
      <c r="E601" s="3" t="s">
        <v>1866</v>
      </c>
      <c r="F601" s="4" t="s">
        <v>38</v>
      </c>
      <c r="G601" s="4" t="s">
        <v>39</v>
      </c>
      <c r="H601" s="4" t="s">
        <v>40</v>
      </c>
      <c r="I601" s="4" t="s">
        <v>561</v>
      </c>
      <c r="J601" s="6"/>
      <c r="K601" s="7"/>
      <c r="L601" s="8" t="str">
        <f t="shared" si="72"/>
        <v>BUCARAMANGA</v>
      </c>
      <c r="O601" s="10"/>
    </row>
    <row r="602" ht="14.25" hidden="1" customHeight="1">
      <c r="A602" s="13" t="s">
        <v>1867</v>
      </c>
      <c r="B602" s="4" t="s">
        <v>27</v>
      </c>
      <c r="C602" s="4" t="s">
        <v>28</v>
      </c>
      <c r="D602" s="4" t="s">
        <v>1868</v>
      </c>
      <c r="E602" s="4">
        <v>3.118012734E9</v>
      </c>
      <c r="F602" s="4" t="s">
        <v>30</v>
      </c>
      <c r="G602" s="4" t="s">
        <v>35</v>
      </c>
      <c r="H602" s="14"/>
      <c r="I602" s="4" t="s">
        <v>32</v>
      </c>
      <c r="J602" s="14"/>
      <c r="K602" s="14"/>
      <c r="L602" s="14"/>
    </row>
    <row r="603" ht="14.25" customHeight="1">
      <c r="A603" s="1" t="s">
        <v>1869</v>
      </c>
      <c r="B603" s="2" t="s">
        <v>27</v>
      </c>
      <c r="C603" s="2" t="s">
        <v>28</v>
      </c>
      <c r="D603" s="2" t="s">
        <v>1870</v>
      </c>
      <c r="E603" s="3" t="s">
        <v>1871</v>
      </c>
      <c r="F603" s="4" t="s">
        <v>38</v>
      </c>
      <c r="G603" s="4" t="s">
        <v>113</v>
      </c>
      <c r="H603" s="4" t="s">
        <v>1872</v>
      </c>
      <c r="I603" s="4" t="s">
        <v>419</v>
      </c>
      <c r="J603" s="6" t="s">
        <v>1701</v>
      </c>
      <c r="K603" s="7">
        <v>11.0</v>
      </c>
      <c r="L603" s="8" t="str">
        <f>UPPER(G603)</f>
        <v>BARRANCABERMEJA</v>
      </c>
      <c r="O603" s="10"/>
    </row>
    <row r="604" ht="14.25" hidden="1" customHeight="1">
      <c r="A604" s="13" t="s">
        <v>1873</v>
      </c>
      <c r="B604" s="4" t="s">
        <v>27</v>
      </c>
      <c r="C604" s="4" t="s">
        <v>28</v>
      </c>
      <c r="D604" s="4" t="s">
        <v>1874</v>
      </c>
      <c r="E604" s="4">
        <v>3.107577787E9</v>
      </c>
      <c r="F604" s="4" t="s">
        <v>30</v>
      </c>
      <c r="G604" s="4" t="s">
        <v>35</v>
      </c>
      <c r="H604" s="14"/>
      <c r="I604" s="4" t="s">
        <v>32</v>
      </c>
      <c r="J604" s="14"/>
      <c r="K604" s="14"/>
      <c r="L604" s="14"/>
    </row>
    <row r="605" ht="14.25" hidden="1" customHeight="1">
      <c r="A605" s="13" t="s">
        <v>1875</v>
      </c>
      <c r="B605" s="4" t="s">
        <v>27</v>
      </c>
      <c r="C605" s="4" t="s">
        <v>28</v>
      </c>
      <c r="D605" s="4" t="s">
        <v>1876</v>
      </c>
      <c r="E605" s="4">
        <v>3.22292338E9</v>
      </c>
      <c r="F605" s="4" t="s">
        <v>30</v>
      </c>
      <c r="G605" s="4" t="s">
        <v>31</v>
      </c>
      <c r="H605" s="14"/>
      <c r="I605" s="4" t="s">
        <v>32</v>
      </c>
      <c r="J605" s="14"/>
      <c r="K605" s="14"/>
      <c r="L605" s="14"/>
    </row>
    <row r="606" ht="14.25" customHeight="1">
      <c r="A606" s="1" t="s">
        <v>1877</v>
      </c>
      <c r="B606" s="2" t="s">
        <v>27</v>
      </c>
      <c r="C606" s="2" t="s">
        <v>28</v>
      </c>
      <c r="D606" s="2" t="s">
        <v>1878</v>
      </c>
      <c r="E606" s="3" t="s">
        <v>1879</v>
      </c>
      <c r="F606" s="4" t="s">
        <v>69</v>
      </c>
      <c r="G606" s="4" t="s">
        <v>69</v>
      </c>
      <c r="H606" s="14"/>
      <c r="I606" s="4" t="s">
        <v>182</v>
      </c>
      <c r="J606" s="6"/>
      <c r="K606" s="7"/>
      <c r="L606" s="8" t="str">
        <f>UPPER(G606)</f>
        <v>BOGOTA</v>
      </c>
      <c r="O606" s="10"/>
    </row>
    <row r="607" ht="14.25" hidden="1" customHeight="1">
      <c r="A607" s="13" t="s">
        <v>1880</v>
      </c>
      <c r="B607" s="4" t="s">
        <v>27</v>
      </c>
      <c r="C607" s="4" t="s">
        <v>28</v>
      </c>
      <c r="D607" s="4" t="s">
        <v>1881</v>
      </c>
      <c r="E607" s="4">
        <v>3.124295466E9</v>
      </c>
      <c r="F607" s="4" t="s">
        <v>30</v>
      </c>
      <c r="G607" s="4" t="s">
        <v>35</v>
      </c>
      <c r="H607" s="14"/>
      <c r="I607" s="4" t="s">
        <v>32</v>
      </c>
      <c r="J607" s="14"/>
      <c r="K607" s="14"/>
      <c r="L607" s="14"/>
    </row>
    <row r="608" ht="14.25" customHeight="1">
      <c r="A608" s="1" t="s">
        <v>1882</v>
      </c>
      <c r="B608" s="2" t="s">
        <v>27</v>
      </c>
      <c r="C608" s="2" t="s">
        <v>28</v>
      </c>
      <c r="D608" s="2" t="s">
        <v>1883</v>
      </c>
      <c r="E608" s="3" t="s">
        <v>1884</v>
      </c>
      <c r="F608" s="4" t="s">
        <v>38</v>
      </c>
      <c r="G608" s="4" t="s">
        <v>1885</v>
      </c>
      <c r="H608" s="14"/>
      <c r="I608" s="4" t="s">
        <v>561</v>
      </c>
      <c r="J608" s="6"/>
      <c r="K608" s="7"/>
      <c r="L608" s="8" t="str">
        <f t="shared" ref="L608:L611" si="73">UPPER(G608)</f>
        <v>CHARALA</v>
      </c>
      <c r="O608" s="10"/>
    </row>
    <row r="609" ht="14.25" customHeight="1">
      <c r="A609" s="1" t="s">
        <v>1886</v>
      </c>
      <c r="B609" s="2" t="s">
        <v>27</v>
      </c>
      <c r="C609" s="2" t="s">
        <v>28</v>
      </c>
      <c r="D609" s="2" t="s">
        <v>1887</v>
      </c>
      <c r="E609" s="3" t="s">
        <v>1888</v>
      </c>
      <c r="F609" s="4" t="s">
        <v>69</v>
      </c>
      <c r="G609" s="4" t="s">
        <v>69</v>
      </c>
      <c r="H609" s="4" t="s">
        <v>133</v>
      </c>
      <c r="I609" s="4" t="s">
        <v>51</v>
      </c>
      <c r="J609" s="6"/>
      <c r="K609" s="7"/>
      <c r="L609" s="8" t="str">
        <f t="shared" si="73"/>
        <v>BOGOTA</v>
      </c>
      <c r="O609" s="10"/>
    </row>
    <row r="610" ht="14.25" customHeight="1">
      <c r="A610" s="1" t="s">
        <v>1889</v>
      </c>
      <c r="B610" s="2" t="s">
        <v>27</v>
      </c>
      <c r="C610" s="2" t="s">
        <v>28</v>
      </c>
      <c r="D610" s="2" t="s">
        <v>1890</v>
      </c>
      <c r="E610" s="3" t="s">
        <v>1891</v>
      </c>
      <c r="F610" s="4" t="s">
        <v>69</v>
      </c>
      <c r="G610" s="4" t="s">
        <v>69</v>
      </c>
      <c r="H610" s="14"/>
      <c r="I610" s="4" t="s">
        <v>51</v>
      </c>
      <c r="J610" s="6"/>
      <c r="K610" s="7"/>
      <c r="L610" s="8" t="str">
        <f t="shared" si="73"/>
        <v>BOGOTA</v>
      </c>
      <c r="O610" s="10"/>
    </row>
    <row r="611" ht="14.25" customHeight="1">
      <c r="A611" s="1" t="s">
        <v>1892</v>
      </c>
      <c r="B611" s="2" t="s">
        <v>27</v>
      </c>
      <c r="C611" s="2" t="s">
        <v>28</v>
      </c>
      <c r="D611" s="2" t="s">
        <v>1893</v>
      </c>
      <c r="E611" s="3" t="s">
        <v>1894</v>
      </c>
      <c r="F611" s="4" t="s">
        <v>105</v>
      </c>
      <c r="G611" s="4" t="s">
        <v>225</v>
      </c>
      <c r="H611" s="14"/>
      <c r="I611" s="4" t="s">
        <v>51</v>
      </c>
      <c r="J611" s="6"/>
      <c r="K611" s="7"/>
      <c r="L611" s="8" t="str">
        <f t="shared" si="73"/>
        <v>MEDELLIN</v>
      </c>
      <c r="O611" s="10"/>
    </row>
    <row r="612" ht="14.25" hidden="1" customHeight="1">
      <c r="A612" s="13" t="s">
        <v>1895</v>
      </c>
      <c r="B612" s="4" t="s">
        <v>27</v>
      </c>
      <c r="C612" s="4" t="s">
        <v>28</v>
      </c>
      <c r="D612" s="4" t="s">
        <v>1896</v>
      </c>
      <c r="E612" s="4">
        <v>3.124295466E9</v>
      </c>
      <c r="F612" s="4" t="s">
        <v>30</v>
      </c>
      <c r="G612" s="4" t="s">
        <v>35</v>
      </c>
      <c r="H612" s="14"/>
      <c r="I612" s="4" t="s">
        <v>32</v>
      </c>
      <c r="J612" s="14"/>
      <c r="K612" s="14"/>
      <c r="L612" s="14"/>
    </row>
    <row r="613" ht="14.25" customHeight="1">
      <c r="A613" s="1" t="s">
        <v>1897</v>
      </c>
      <c r="B613" s="2" t="s">
        <v>27</v>
      </c>
      <c r="C613" s="2" t="s">
        <v>28</v>
      </c>
      <c r="D613" s="2" t="s">
        <v>1898</v>
      </c>
      <c r="E613" s="3" t="s">
        <v>1899</v>
      </c>
      <c r="F613" s="4" t="s">
        <v>69</v>
      </c>
      <c r="G613" s="4" t="s">
        <v>69</v>
      </c>
      <c r="H613" s="14"/>
      <c r="I613" s="4" t="s">
        <v>51</v>
      </c>
      <c r="J613" s="6"/>
      <c r="K613" s="7"/>
      <c r="L613" s="8" t="str">
        <f t="shared" ref="L613:L617" si="74">UPPER(G613)</f>
        <v>BOGOTA</v>
      </c>
      <c r="O613" s="10"/>
    </row>
    <row r="614" ht="14.25" customHeight="1">
      <c r="A614" s="1" t="s">
        <v>1900</v>
      </c>
      <c r="B614" s="2" t="s">
        <v>1901</v>
      </c>
      <c r="C614" s="2" t="s">
        <v>66</v>
      </c>
      <c r="D614" s="2" t="s">
        <v>1902</v>
      </c>
      <c r="E614" s="3" t="s">
        <v>1903</v>
      </c>
      <c r="F614" s="4" t="s">
        <v>38</v>
      </c>
      <c r="G614" s="4" t="s">
        <v>113</v>
      </c>
      <c r="H614" s="4" t="s">
        <v>1904</v>
      </c>
      <c r="I614" s="4" t="s">
        <v>540</v>
      </c>
      <c r="J614" s="6"/>
      <c r="K614" s="7"/>
      <c r="L614" s="8" t="str">
        <f t="shared" si="74"/>
        <v>BARRANCABERMEJA</v>
      </c>
      <c r="O614" s="10"/>
    </row>
    <row r="615" ht="14.25" customHeight="1">
      <c r="A615" s="1" t="s">
        <v>1905</v>
      </c>
      <c r="B615" s="2" t="s">
        <v>27</v>
      </c>
      <c r="C615" s="2" t="s">
        <v>28</v>
      </c>
      <c r="D615" s="2" t="s">
        <v>1906</v>
      </c>
      <c r="E615" s="3" t="s">
        <v>1907</v>
      </c>
      <c r="F615" s="4" t="s">
        <v>38</v>
      </c>
      <c r="G615" s="4" t="s">
        <v>113</v>
      </c>
      <c r="H615" s="4" t="s">
        <v>1904</v>
      </c>
      <c r="I615" s="4" t="s">
        <v>540</v>
      </c>
      <c r="J615" s="6"/>
      <c r="K615" s="7"/>
      <c r="L615" s="8" t="str">
        <f t="shared" si="74"/>
        <v>BARRANCABERMEJA</v>
      </c>
      <c r="O615" s="10"/>
    </row>
    <row r="616" ht="14.25" customHeight="1">
      <c r="A616" s="1" t="s">
        <v>1908</v>
      </c>
      <c r="B616" s="2" t="s">
        <v>27</v>
      </c>
      <c r="C616" s="2" t="s">
        <v>28</v>
      </c>
      <c r="D616" s="2" t="s">
        <v>1909</v>
      </c>
      <c r="E616" s="3" t="s">
        <v>1910</v>
      </c>
      <c r="F616" s="4" t="s">
        <v>38</v>
      </c>
      <c r="G616" s="4" t="s">
        <v>113</v>
      </c>
      <c r="H616" s="4" t="s">
        <v>1911</v>
      </c>
      <c r="I616" s="4" t="s">
        <v>419</v>
      </c>
      <c r="J616" s="6" t="s">
        <v>1912</v>
      </c>
      <c r="K616" s="7"/>
      <c r="L616" s="8" t="str">
        <f t="shared" si="74"/>
        <v>BARRANCABERMEJA</v>
      </c>
      <c r="O616" s="10"/>
    </row>
    <row r="617" ht="14.25" customHeight="1">
      <c r="A617" s="1" t="s">
        <v>1913</v>
      </c>
      <c r="B617" s="2" t="s">
        <v>27</v>
      </c>
      <c r="C617" s="2" t="s">
        <v>28</v>
      </c>
      <c r="D617" s="2" t="s">
        <v>1914</v>
      </c>
      <c r="E617" s="3" t="s">
        <v>1915</v>
      </c>
      <c r="F617" s="4" t="s">
        <v>38</v>
      </c>
      <c r="G617" s="4" t="s">
        <v>113</v>
      </c>
      <c r="H617" s="14"/>
      <c r="I617" s="4" t="s">
        <v>182</v>
      </c>
      <c r="J617" s="6"/>
      <c r="K617" s="7"/>
      <c r="L617" s="8" t="str">
        <f t="shared" si="74"/>
        <v>BARRANCABERMEJA</v>
      </c>
      <c r="O617" s="10"/>
    </row>
    <row r="618" ht="14.25" hidden="1" customHeight="1">
      <c r="A618" s="13" t="s">
        <v>1916</v>
      </c>
      <c r="B618" s="4" t="s">
        <v>27</v>
      </c>
      <c r="C618" s="4" t="s">
        <v>28</v>
      </c>
      <c r="D618" s="4" t="s">
        <v>1917</v>
      </c>
      <c r="E618" s="4">
        <v>3.102211527E9</v>
      </c>
      <c r="F618" s="4" t="s">
        <v>30</v>
      </c>
      <c r="G618" s="4" t="s">
        <v>35</v>
      </c>
      <c r="H618" s="14"/>
      <c r="I618" s="4" t="s">
        <v>32</v>
      </c>
      <c r="J618" s="14"/>
      <c r="K618" s="14"/>
      <c r="L618" s="14"/>
    </row>
    <row r="619" ht="14.25" customHeight="1">
      <c r="A619" s="1" t="s">
        <v>1918</v>
      </c>
      <c r="B619" s="2" t="s">
        <v>27</v>
      </c>
      <c r="C619" s="2" t="s">
        <v>28</v>
      </c>
      <c r="D619" s="2" t="s">
        <v>1919</v>
      </c>
      <c r="E619" s="3" t="s">
        <v>1920</v>
      </c>
      <c r="F619" s="4" t="s">
        <v>69</v>
      </c>
      <c r="G619" s="4" t="s">
        <v>69</v>
      </c>
      <c r="H619" s="4" t="s">
        <v>133</v>
      </c>
      <c r="I619" s="4" t="s">
        <v>51</v>
      </c>
      <c r="J619" s="6"/>
      <c r="K619" s="7"/>
      <c r="L619" s="8" t="str">
        <f t="shared" ref="L619:L620" si="75">UPPER(G619)</f>
        <v>BOGOTA</v>
      </c>
      <c r="O619" s="10"/>
    </row>
    <row r="620" ht="14.25" customHeight="1">
      <c r="A620" s="1" t="s">
        <v>1921</v>
      </c>
      <c r="B620" s="2" t="s">
        <v>27</v>
      </c>
      <c r="C620" s="2" t="s">
        <v>28</v>
      </c>
      <c r="D620" s="2" t="s">
        <v>1922</v>
      </c>
      <c r="E620" s="3" t="s">
        <v>1923</v>
      </c>
      <c r="F620" s="4" t="s">
        <v>69</v>
      </c>
      <c r="G620" s="4" t="s">
        <v>69</v>
      </c>
      <c r="H620" s="4" t="s">
        <v>133</v>
      </c>
      <c r="I620" s="4" t="s">
        <v>51</v>
      </c>
      <c r="J620" s="6"/>
      <c r="K620" s="7"/>
      <c r="L620" s="8" t="str">
        <f t="shared" si="75"/>
        <v>BOGOTA</v>
      </c>
      <c r="O620" s="10"/>
    </row>
    <row r="621" ht="14.25" hidden="1" customHeight="1">
      <c r="A621" s="13" t="s">
        <v>1924</v>
      </c>
      <c r="B621" s="4" t="s">
        <v>27</v>
      </c>
      <c r="C621" s="4" t="s">
        <v>28</v>
      </c>
      <c r="D621" s="4" t="s">
        <v>1925</v>
      </c>
      <c r="E621" s="4">
        <v>3.22292338E9</v>
      </c>
      <c r="F621" s="4" t="s">
        <v>30</v>
      </c>
      <c r="G621" s="4" t="s">
        <v>31</v>
      </c>
      <c r="H621" s="14"/>
      <c r="I621" s="4" t="s">
        <v>32</v>
      </c>
      <c r="J621" s="14"/>
      <c r="K621" s="14"/>
      <c r="L621" s="14"/>
    </row>
    <row r="622" ht="14.25" hidden="1" customHeight="1">
      <c r="A622" s="13" t="s">
        <v>1926</v>
      </c>
      <c r="B622" s="4" t="s">
        <v>27</v>
      </c>
      <c r="C622" s="4" t="s">
        <v>28</v>
      </c>
      <c r="D622" s="4" t="s">
        <v>1927</v>
      </c>
      <c r="E622" s="4">
        <v>3.124295466E9</v>
      </c>
      <c r="F622" s="4" t="s">
        <v>30</v>
      </c>
      <c r="G622" s="4" t="s">
        <v>35</v>
      </c>
      <c r="H622" s="14"/>
      <c r="I622" s="4" t="s">
        <v>32</v>
      </c>
      <c r="J622" s="14"/>
      <c r="K622" s="14"/>
      <c r="L622" s="14"/>
    </row>
    <row r="623" ht="14.25" customHeight="1">
      <c r="A623" s="1" t="s">
        <v>1928</v>
      </c>
      <c r="B623" s="2" t="s">
        <v>27</v>
      </c>
      <c r="C623" s="2" t="s">
        <v>28</v>
      </c>
      <c r="D623" s="2" t="s">
        <v>1929</v>
      </c>
      <c r="E623" s="3" t="s">
        <v>1930</v>
      </c>
      <c r="F623" s="4" t="s">
        <v>38</v>
      </c>
      <c r="G623" s="4" t="s">
        <v>39</v>
      </c>
      <c r="H623" s="14"/>
      <c r="I623" s="4" t="s">
        <v>561</v>
      </c>
      <c r="J623" s="6"/>
      <c r="K623" s="7"/>
      <c r="L623" s="8" t="str">
        <f>UPPER(G623)</f>
        <v>BUCARAMANGA</v>
      </c>
      <c r="O623" s="10"/>
    </row>
    <row r="624" ht="14.25" hidden="1" customHeight="1">
      <c r="A624" s="13" t="s">
        <v>1931</v>
      </c>
      <c r="B624" s="4" t="s">
        <v>27</v>
      </c>
      <c r="C624" s="4" t="s">
        <v>28</v>
      </c>
      <c r="D624" s="4" t="s">
        <v>1932</v>
      </c>
      <c r="E624" s="4">
        <v>3.22392338E9</v>
      </c>
      <c r="F624" s="4" t="s">
        <v>30</v>
      </c>
      <c r="G624" s="4" t="s">
        <v>31</v>
      </c>
      <c r="H624" s="14"/>
      <c r="I624" s="4" t="s">
        <v>32</v>
      </c>
      <c r="J624" s="14"/>
      <c r="K624" s="14"/>
      <c r="L624" s="14"/>
    </row>
    <row r="625" ht="14.25" hidden="1" customHeight="1">
      <c r="A625" s="13" t="s">
        <v>1933</v>
      </c>
      <c r="B625" s="4" t="s">
        <v>27</v>
      </c>
      <c r="C625" s="4" t="s">
        <v>28</v>
      </c>
      <c r="D625" s="4" t="s">
        <v>1934</v>
      </c>
      <c r="E625" s="4">
        <v>3.118713141E9</v>
      </c>
      <c r="F625" s="4" t="s">
        <v>30</v>
      </c>
      <c r="G625" s="4" t="s">
        <v>35</v>
      </c>
      <c r="H625" s="14"/>
      <c r="I625" s="4" t="s">
        <v>32</v>
      </c>
      <c r="J625" s="14"/>
      <c r="K625" s="14"/>
      <c r="L625" s="14"/>
    </row>
    <row r="626" ht="14.25" hidden="1" customHeight="1">
      <c r="A626" s="13" t="s">
        <v>1935</v>
      </c>
      <c r="B626" s="4" t="s">
        <v>27</v>
      </c>
      <c r="C626" s="4" t="s">
        <v>28</v>
      </c>
      <c r="D626" s="4" t="s">
        <v>1936</v>
      </c>
      <c r="E626" s="4">
        <v>3.113855088E9</v>
      </c>
      <c r="F626" s="4" t="s">
        <v>30</v>
      </c>
      <c r="G626" s="4" t="s">
        <v>31</v>
      </c>
      <c r="H626" s="14"/>
      <c r="I626" s="4" t="s">
        <v>32</v>
      </c>
      <c r="J626" s="14"/>
      <c r="K626" s="14"/>
      <c r="L626" s="14"/>
    </row>
    <row r="627" ht="14.25" hidden="1" customHeight="1">
      <c r="A627" s="13" t="s">
        <v>1937</v>
      </c>
      <c r="B627" s="4" t="s">
        <v>27</v>
      </c>
      <c r="C627" s="4" t="s">
        <v>28</v>
      </c>
      <c r="D627" s="4" t="s">
        <v>1938</v>
      </c>
      <c r="E627" s="4">
        <v>3.227649445E9</v>
      </c>
      <c r="F627" s="4" t="s">
        <v>30</v>
      </c>
      <c r="G627" s="4" t="s">
        <v>35</v>
      </c>
      <c r="H627" s="14"/>
      <c r="I627" s="4" t="s">
        <v>32</v>
      </c>
      <c r="J627" s="14"/>
      <c r="K627" s="14"/>
      <c r="L627" s="14"/>
    </row>
    <row r="628" ht="14.25" hidden="1" customHeight="1">
      <c r="A628" s="13" t="s">
        <v>1939</v>
      </c>
      <c r="B628" s="4" t="s">
        <v>27</v>
      </c>
      <c r="C628" s="4" t="s">
        <v>28</v>
      </c>
      <c r="D628" s="4" t="s">
        <v>1940</v>
      </c>
      <c r="E628" s="4">
        <v>3.144305745E9</v>
      </c>
      <c r="F628" s="4" t="s">
        <v>30</v>
      </c>
      <c r="G628" s="4" t="s">
        <v>35</v>
      </c>
      <c r="H628" s="14"/>
      <c r="I628" s="4" t="s">
        <v>32</v>
      </c>
      <c r="J628" s="14"/>
      <c r="K628" s="14"/>
      <c r="L628" s="14"/>
    </row>
    <row r="629" ht="14.25" customHeight="1">
      <c r="A629" s="1" t="s">
        <v>1941</v>
      </c>
      <c r="B629" s="2" t="s">
        <v>27</v>
      </c>
      <c r="C629" s="2" t="s">
        <v>28</v>
      </c>
      <c r="D629" s="2" t="s">
        <v>1942</v>
      </c>
      <c r="E629" s="3" t="s">
        <v>1943</v>
      </c>
      <c r="F629" s="4" t="s">
        <v>38</v>
      </c>
      <c r="G629" s="4" t="s">
        <v>75</v>
      </c>
      <c r="H629" s="14"/>
      <c r="I629" s="4" t="s">
        <v>76</v>
      </c>
      <c r="J629" s="6"/>
      <c r="K629" s="7"/>
      <c r="L629" s="8" t="str">
        <f t="shared" ref="L629:L631" si="76">UPPER(G629)</f>
        <v>GIRON</v>
      </c>
      <c r="O629" s="10"/>
    </row>
    <row r="630" ht="14.25" customHeight="1">
      <c r="A630" s="1" t="s">
        <v>1944</v>
      </c>
      <c r="B630" s="2" t="s">
        <v>27</v>
      </c>
      <c r="C630" s="2" t="s">
        <v>28</v>
      </c>
      <c r="D630" s="2" t="s">
        <v>1945</v>
      </c>
      <c r="E630" s="3" t="s">
        <v>1946</v>
      </c>
      <c r="F630" s="4" t="s">
        <v>38</v>
      </c>
      <c r="G630" s="4" t="s">
        <v>81</v>
      </c>
      <c r="H630" s="14"/>
      <c r="I630" s="4" t="s">
        <v>561</v>
      </c>
      <c r="J630" s="6"/>
      <c r="K630" s="7"/>
      <c r="L630" s="8" t="str">
        <f t="shared" si="76"/>
        <v>FLORIDABLANCA</v>
      </c>
      <c r="O630" s="10"/>
    </row>
    <row r="631" ht="14.25" customHeight="1">
      <c r="A631" s="1" t="s">
        <v>1947</v>
      </c>
      <c r="B631" s="2" t="s">
        <v>1948</v>
      </c>
      <c r="C631" s="2" t="s">
        <v>66</v>
      </c>
      <c r="D631" s="2" t="s">
        <v>1949</v>
      </c>
      <c r="E631" s="3" t="s">
        <v>1950</v>
      </c>
      <c r="F631" s="4" t="s">
        <v>38</v>
      </c>
      <c r="G631" s="4" t="s">
        <v>39</v>
      </c>
      <c r="H631" s="14"/>
      <c r="I631" s="4" t="s">
        <v>540</v>
      </c>
      <c r="J631" s="6"/>
      <c r="K631" s="7"/>
      <c r="L631" s="8" t="str">
        <f t="shared" si="76"/>
        <v>BUCARAMANGA</v>
      </c>
      <c r="O631" s="10"/>
    </row>
    <row r="632" ht="14.25" hidden="1" customHeight="1">
      <c r="A632" s="13" t="s">
        <v>1951</v>
      </c>
      <c r="B632" s="4" t="s">
        <v>27</v>
      </c>
      <c r="C632" s="4" t="s">
        <v>28</v>
      </c>
      <c r="D632" s="4" t="s">
        <v>1952</v>
      </c>
      <c r="E632" s="4">
        <v>3.113867755E9</v>
      </c>
      <c r="F632" s="4" t="s">
        <v>30</v>
      </c>
      <c r="G632" s="4" t="s">
        <v>35</v>
      </c>
      <c r="H632" s="14"/>
      <c r="I632" s="4" t="s">
        <v>32</v>
      </c>
      <c r="J632" s="14"/>
      <c r="K632" s="14"/>
      <c r="L632" s="14"/>
    </row>
    <row r="633" ht="14.25" hidden="1" customHeight="1">
      <c r="A633" s="13" t="s">
        <v>1953</v>
      </c>
      <c r="B633" s="4" t="s">
        <v>27</v>
      </c>
      <c r="C633" s="4" t="s">
        <v>28</v>
      </c>
      <c r="D633" s="4" t="s">
        <v>1954</v>
      </c>
      <c r="E633" s="4">
        <v>3.12591924E9</v>
      </c>
      <c r="F633" s="4" t="s">
        <v>30</v>
      </c>
      <c r="G633" s="4" t="s">
        <v>35</v>
      </c>
      <c r="H633" s="14"/>
      <c r="I633" s="4" t="s">
        <v>32</v>
      </c>
      <c r="J633" s="14"/>
      <c r="K633" s="14"/>
      <c r="L633" s="14"/>
    </row>
    <row r="634" ht="14.25" hidden="1" customHeight="1">
      <c r="A634" s="13" t="s">
        <v>1955</v>
      </c>
      <c r="B634" s="4" t="s">
        <v>27</v>
      </c>
      <c r="C634" s="4" t="s">
        <v>28</v>
      </c>
      <c r="D634" s="4" t="s">
        <v>1956</v>
      </c>
      <c r="E634" s="4">
        <v>3.003915029E9</v>
      </c>
      <c r="F634" s="4" t="s">
        <v>30</v>
      </c>
      <c r="G634" s="4" t="s">
        <v>35</v>
      </c>
      <c r="H634" s="14"/>
      <c r="I634" s="4" t="s">
        <v>32</v>
      </c>
      <c r="J634" s="14"/>
      <c r="K634" s="14"/>
      <c r="L634" s="14"/>
    </row>
    <row r="635" ht="14.25" customHeight="1">
      <c r="A635" s="1" t="s">
        <v>1957</v>
      </c>
      <c r="B635" s="2" t="s">
        <v>27</v>
      </c>
      <c r="C635" s="2" t="s">
        <v>28</v>
      </c>
      <c r="D635" s="2" t="s">
        <v>1958</v>
      </c>
      <c r="E635" s="3" t="s">
        <v>1959</v>
      </c>
      <c r="F635" s="4" t="s">
        <v>38</v>
      </c>
      <c r="G635" s="4" t="s">
        <v>159</v>
      </c>
      <c r="H635" s="4" t="s">
        <v>691</v>
      </c>
      <c r="I635" s="4" t="s">
        <v>561</v>
      </c>
      <c r="J635" s="6"/>
      <c r="K635" s="7"/>
      <c r="L635" s="8" t="str">
        <f t="shared" ref="L635:L636" si="77">UPPER(G635)</f>
        <v>PIEDECUESTA</v>
      </c>
      <c r="O635" s="10"/>
    </row>
    <row r="636" ht="14.25" customHeight="1">
      <c r="A636" s="1" t="s">
        <v>1960</v>
      </c>
      <c r="B636" s="2" t="s">
        <v>27</v>
      </c>
      <c r="C636" s="2" t="s">
        <v>28</v>
      </c>
      <c r="D636" s="2" t="s">
        <v>1958</v>
      </c>
      <c r="E636" s="3" t="s">
        <v>1961</v>
      </c>
      <c r="F636" s="4" t="s">
        <v>38</v>
      </c>
      <c r="G636" s="4" t="s">
        <v>159</v>
      </c>
      <c r="H636" s="4" t="s">
        <v>691</v>
      </c>
      <c r="I636" s="4" t="s">
        <v>561</v>
      </c>
      <c r="J636" s="6"/>
      <c r="K636" s="7"/>
      <c r="L636" s="8" t="str">
        <f t="shared" si="77"/>
        <v>PIEDECUESTA</v>
      </c>
      <c r="O636" s="10"/>
    </row>
    <row r="637" ht="14.25" hidden="1" customHeight="1">
      <c r="A637" s="13" t="s">
        <v>1962</v>
      </c>
      <c r="B637" s="4" t="s">
        <v>27</v>
      </c>
      <c r="C637" s="4" t="s">
        <v>28</v>
      </c>
      <c r="D637" s="4" t="s">
        <v>1963</v>
      </c>
      <c r="E637" s="4">
        <v>3.126882431E9</v>
      </c>
      <c r="F637" s="4" t="s">
        <v>30</v>
      </c>
      <c r="G637" s="4" t="s">
        <v>35</v>
      </c>
      <c r="H637" s="14"/>
      <c r="I637" s="4" t="s">
        <v>32</v>
      </c>
      <c r="J637" s="14"/>
      <c r="K637" s="14"/>
      <c r="L637" s="14"/>
    </row>
    <row r="638" ht="14.25" customHeight="1">
      <c r="A638" s="1" t="s">
        <v>1964</v>
      </c>
      <c r="B638" s="2" t="s">
        <v>27</v>
      </c>
      <c r="C638" s="2" t="s">
        <v>28</v>
      </c>
      <c r="D638" s="2" t="s">
        <v>1965</v>
      </c>
      <c r="E638" s="3" t="s">
        <v>1966</v>
      </c>
      <c r="F638" s="4" t="s">
        <v>38</v>
      </c>
      <c r="G638" s="4" t="s">
        <v>39</v>
      </c>
      <c r="H638" s="4" t="s">
        <v>1967</v>
      </c>
      <c r="I638" s="4" t="s">
        <v>561</v>
      </c>
      <c r="J638" s="6"/>
      <c r="K638" s="7"/>
      <c r="L638" s="8" t="str">
        <f>UPPER(G638)</f>
        <v>BUCARAMANGA</v>
      </c>
      <c r="O638" s="10"/>
    </row>
    <row r="639" ht="14.25" hidden="1" customHeight="1">
      <c r="A639" s="13" t="s">
        <v>1968</v>
      </c>
      <c r="B639" s="4" t="s">
        <v>27</v>
      </c>
      <c r="C639" s="4" t="s">
        <v>28</v>
      </c>
      <c r="D639" s="4" t="s">
        <v>1969</v>
      </c>
      <c r="E639" s="4">
        <v>3.118713141E9</v>
      </c>
      <c r="F639" s="4" t="s">
        <v>30</v>
      </c>
      <c r="G639" s="4" t="s">
        <v>35</v>
      </c>
      <c r="H639" s="14"/>
      <c r="I639" s="4" t="s">
        <v>32</v>
      </c>
      <c r="J639" s="14"/>
      <c r="K639" s="14"/>
      <c r="L639" s="14"/>
    </row>
    <row r="640" ht="14.25" customHeight="1">
      <c r="A640" s="1" t="s">
        <v>1970</v>
      </c>
      <c r="B640" s="2" t="s">
        <v>27</v>
      </c>
      <c r="C640" s="2" t="s">
        <v>28</v>
      </c>
      <c r="D640" s="2" t="s">
        <v>1971</v>
      </c>
      <c r="E640" s="3" t="s">
        <v>1972</v>
      </c>
      <c r="F640" s="4" t="s">
        <v>69</v>
      </c>
      <c r="G640" s="4" t="s">
        <v>69</v>
      </c>
      <c r="H640" s="4" t="s">
        <v>133</v>
      </c>
      <c r="I640" s="4" t="s">
        <v>51</v>
      </c>
      <c r="J640" s="6"/>
      <c r="K640" s="7"/>
      <c r="L640" s="8" t="str">
        <f>UPPER(G640)</f>
        <v>BOGOTA</v>
      </c>
      <c r="O640" s="10"/>
    </row>
    <row r="641" ht="14.25" hidden="1" customHeight="1">
      <c r="A641" s="13" t="s">
        <v>1973</v>
      </c>
      <c r="B641" s="4" t="s">
        <v>27</v>
      </c>
      <c r="C641" s="4" t="s">
        <v>28</v>
      </c>
      <c r="D641" s="4" t="s">
        <v>1974</v>
      </c>
      <c r="E641" s="4">
        <v>3.123591172E9</v>
      </c>
      <c r="F641" s="4" t="s">
        <v>30</v>
      </c>
      <c r="G641" s="4" t="s">
        <v>35</v>
      </c>
      <c r="H641" s="14"/>
      <c r="I641" s="4" t="s">
        <v>32</v>
      </c>
      <c r="J641" s="14"/>
      <c r="K641" s="14"/>
      <c r="L641" s="14"/>
    </row>
    <row r="642" ht="14.25" hidden="1" customHeight="1">
      <c r="A642" s="13" t="s">
        <v>1975</v>
      </c>
      <c r="B642" s="4" t="s">
        <v>27</v>
      </c>
      <c r="C642" s="4" t="s">
        <v>28</v>
      </c>
      <c r="D642" s="4" t="s">
        <v>1976</v>
      </c>
      <c r="E642" s="4">
        <v>3.22731914E9</v>
      </c>
      <c r="F642" s="4" t="s">
        <v>30</v>
      </c>
      <c r="G642" s="4" t="s">
        <v>35</v>
      </c>
      <c r="H642" s="14"/>
      <c r="I642" s="4" t="s">
        <v>32</v>
      </c>
      <c r="J642" s="14"/>
      <c r="K642" s="14"/>
      <c r="L642" s="14"/>
    </row>
    <row r="643" ht="14.25" hidden="1" customHeight="1">
      <c r="A643" s="13" t="s">
        <v>1977</v>
      </c>
      <c r="B643" s="4" t="s">
        <v>27</v>
      </c>
      <c r="C643" s="4" t="s">
        <v>28</v>
      </c>
      <c r="D643" s="4" t="s">
        <v>1978</v>
      </c>
      <c r="E643" s="4">
        <v>3.228791251E9</v>
      </c>
      <c r="F643" s="4" t="s">
        <v>30</v>
      </c>
      <c r="G643" s="4" t="s">
        <v>35</v>
      </c>
      <c r="H643" s="14"/>
      <c r="I643" s="4" t="s">
        <v>32</v>
      </c>
      <c r="J643" s="14"/>
      <c r="K643" s="14"/>
      <c r="L643" s="14"/>
    </row>
    <row r="644" ht="14.25" hidden="1" customHeight="1">
      <c r="A644" s="13" t="s">
        <v>1979</v>
      </c>
      <c r="B644" s="4" t="s">
        <v>27</v>
      </c>
      <c r="C644" s="4" t="s">
        <v>28</v>
      </c>
      <c r="D644" s="4" t="s">
        <v>1980</v>
      </c>
      <c r="E644" s="4">
        <v>3.124295466E9</v>
      </c>
      <c r="F644" s="4" t="s">
        <v>30</v>
      </c>
      <c r="G644" s="4" t="s">
        <v>35</v>
      </c>
      <c r="H644" s="14"/>
      <c r="I644" s="4" t="s">
        <v>32</v>
      </c>
      <c r="J644" s="14"/>
      <c r="K644" s="14"/>
      <c r="L644" s="14"/>
    </row>
    <row r="645" ht="14.25" hidden="1" customHeight="1">
      <c r="A645" s="13" t="s">
        <v>1981</v>
      </c>
      <c r="B645" s="4" t="s">
        <v>27</v>
      </c>
      <c r="C645" s="4" t="s">
        <v>28</v>
      </c>
      <c r="D645" s="4" t="s">
        <v>1982</v>
      </c>
      <c r="E645" s="4">
        <v>3.229457091E9</v>
      </c>
      <c r="F645" s="4" t="s">
        <v>30</v>
      </c>
      <c r="G645" s="4" t="s">
        <v>31</v>
      </c>
      <c r="H645" s="14"/>
      <c r="I645" s="4" t="s">
        <v>32</v>
      </c>
      <c r="J645" s="14"/>
      <c r="K645" s="14"/>
      <c r="L645" s="14"/>
    </row>
    <row r="646" ht="14.25" customHeight="1">
      <c r="A646" s="1" t="s">
        <v>1983</v>
      </c>
      <c r="B646" s="2" t="s">
        <v>27</v>
      </c>
      <c r="C646" s="2" t="s">
        <v>28</v>
      </c>
      <c r="D646" s="2" t="s">
        <v>1984</v>
      </c>
      <c r="E646" s="3" t="s">
        <v>1871</v>
      </c>
      <c r="F646" s="4" t="s">
        <v>38</v>
      </c>
      <c r="G646" s="4" t="s">
        <v>113</v>
      </c>
      <c r="H646" s="4" t="s">
        <v>1985</v>
      </c>
      <c r="I646" s="4" t="s">
        <v>419</v>
      </c>
      <c r="J646" s="6"/>
      <c r="K646" s="7"/>
      <c r="L646" s="8" t="str">
        <f>UPPER(G646)</f>
        <v>BARRANCABERMEJA</v>
      </c>
      <c r="O646" s="10"/>
    </row>
    <row r="647" ht="14.25" hidden="1" customHeight="1">
      <c r="A647" s="13" t="s">
        <v>1986</v>
      </c>
      <c r="B647" s="4" t="s">
        <v>27</v>
      </c>
      <c r="C647" s="4" t="s">
        <v>28</v>
      </c>
      <c r="D647" s="4" t="s">
        <v>1987</v>
      </c>
      <c r="E647" s="4">
        <v>3.118713141E9</v>
      </c>
      <c r="F647" s="4" t="s">
        <v>30</v>
      </c>
      <c r="G647" s="4" t="s">
        <v>35</v>
      </c>
      <c r="H647" s="14"/>
      <c r="I647" s="4" t="s">
        <v>32</v>
      </c>
      <c r="J647" s="14"/>
      <c r="K647" s="14"/>
      <c r="L647" s="14"/>
    </row>
    <row r="648" ht="14.25" hidden="1" customHeight="1">
      <c r="A648" s="13" t="s">
        <v>1988</v>
      </c>
      <c r="B648" s="4" t="s">
        <v>27</v>
      </c>
      <c r="C648" s="4" t="s">
        <v>28</v>
      </c>
      <c r="D648" s="4" t="s">
        <v>1989</v>
      </c>
      <c r="E648" s="4">
        <v>3.22292338E9</v>
      </c>
      <c r="F648" s="4" t="s">
        <v>30</v>
      </c>
      <c r="G648" s="4" t="s">
        <v>31</v>
      </c>
      <c r="H648" s="14"/>
      <c r="I648" s="4" t="s">
        <v>32</v>
      </c>
      <c r="J648" s="14"/>
      <c r="K648" s="14"/>
      <c r="L648" s="14"/>
    </row>
    <row r="649" ht="14.25" customHeight="1">
      <c r="A649" s="1" t="s">
        <v>1990</v>
      </c>
      <c r="B649" s="2" t="s">
        <v>27</v>
      </c>
      <c r="C649" s="2" t="s">
        <v>551</v>
      </c>
      <c r="D649" s="2" t="s">
        <v>1991</v>
      </c>
      <c r="E649" s="3" t="s">
        <v>1992</v>
      </c>
      <c r="F649" s="4" t="s">
        <v>38</v>
      </c>
      <c r="G649" s="4" t="s">
        <v>39</v>
      </c>
      <c r="H649" s="14"/>
      <c r="I649" s="4" t="s">
        <v>164</v>
      </c>
      <c r="J649" s="6"/>
      <c r="K649" s="7"/>
      <c r="L649" s="8" t="str">
        <f>UPPER(G649)</f>
        <v>BUCARAMANGA</v>
      </c>
      <c r="O649" s="10"/>
    </row>
    <row r="650" ht="14.25" hidden="1" customHeight="1">
      <c r="A650" s="13" t="s">
        <v>1993</v>
      </c>
      <c r="B650" s="4" t="s">
        <v>27</v>
      </c>
      <c r="C650" s="4" t="s">
        <v>28</v>
      </c>
      <c r="D650" s="4" t="s">
        <v>1994</v>
      </c>
      <c r="E650" s="4">
        <v>3.22292338E9</v>
      </c>
      <c r="F650" s="4" t="s">
        <v>30</v>
      </c>
      <c r="G650" s="4" t="s">
        <v>31</v>
      </c>
      <c r="H650" s="14"/>
      <c r="I650" s="4" t="s">
        <v>32</v>
      </c>
      <c r="J650" s="14"/>
      <c r="K650" s="14"/>
      <c r="L650" s="14"/>
    </row>
    <row r="651" ht="14.25" customHeight="1">
      <c r="A651" s="1" t="s">
        <v>1995</v>
      </c>
      <c r="B651" s="2" t="s">
        <v>27</v>
      </c>
      <c r="C651" s="2" t="s">
        <v>28</v>
      </c>
      <c r="D651" s="2" t="s">
        <v>1996</v>
      </c>
      <c r="E651" s="3" t="s">
        <v>1997</v>
      </c>
      <c r="F651" s="4" t="s">
        <v>69</v>
      </c>
      <c r="G651" s="4" t="s">
        <v>69</v>
      </c>
      <c r="H651" s="4" t="s">
        <v>133</v>
      </c>
      <c r="I651" s="4" t="s">
        <v>51</v>
      </c>
      <c r="J651" s="6"/>
      <c r="K651" s="7"/>
      <c r="L651" s="8" t="str">
        <f>UPPER(G651)</f>
        <v>BOGOTA</v>
      </c>
      <c r="O651" s="10"/>
    </row>
    <row r="652" ht="14.25" hidden="1" customHeight="1">
      <c r="A652" s="13" t="s">
        <v>1998</v>
      </c>
      <c r="B652" s="4" t="s">
        <v>27</v>
      </c>
      <c r="C652" s="4" t="s">
        <v>28</v>
      </c>
      <c r="D652" s="4" t="s">
        <v>1999</v>
      </c>
      <c r="E652" s="4">
        <v>3.22731914E9</v>
      </c>
      <c r="F652" s="4" t="s">
        <v>30</v>
      </c>
      <c r="G652" s="4" t="s">
        <v>35</v>
      </c>
      <c r="H652" s="14"/>
      <c r="I652" s="4" t="s">
        <v>32</v>
      </c>
      <c r="J652" s="14"/>
      <c r="K652" s="14"/>
      <c r="L652" s="14"/>
    </row>
    <row r="653" ht="14.25" hidden="1" customHeight="1">
      <c r="A653" s="13" t="s">
        <v>2000</v>
      </c>
      <c r="B653" s="4" t="s">
        <v>27</v>
      </c>
      <c r="C653" s="4" t="s">
        <v>28</v>
      </c>
      <c r="D653" s="4" t="s">
        <v>2001</v>
      </c>
      <c r="E653" s="4">
        <v>3.113867755E9</v>
      </c>
      <c r="F653" s="4" t="s">
        <v>30</v>
      </c>
      <c r="G653" s="4" t="s">
        <v>35</v>
      </c>
      <c r="H653" s="14"/>
      <c r="I653" s="4" t="s">
        <v>32</v>
      </c>
      <c r="J653" s="14"/>
      <c r="K653" s="14"/>
      <c r="L653" s="14"/>
    </row>
    <row r="654" ht="14.25" hidden="1" customHeight="1">
      <c r="A654" s="13" t="s">
        <v>2002</v>
      </c>
      <c r="B654" s="4" t="s">
        <v>27</v>
      </c>
      <c r="C654" s="4" t="s">
        <v>28</v>
      </c>
      <c r="D654" s="4" t="s">
        <v>2003</v>
      </c>
      <c r="E654" s="4">
        <v>3.222316412E9</v>
      </c>
      <c r="F654" s="4" t="s">
        <v>30</v>
      </c>
      <c r="G654" s="4" t="s">
        <v>35</v>
      </c>
      <c r="H654" s="14"/>
      <c r="I654" s="4" t="s">
        <v>32</v>
      </c>
      <c r="J654" s="14"/>
      <c r="K654" s="14"/>
      <c r="L654" s="14"/>
    </row>
    <row r="655" ht="14.25" customHeight="1">
      <c r="A655" s="1" t="s">
        <v>2004</v>
      </c>
      <c r="B655" s="2" t="s">
        <v>27</v>
      </c>
      <c r="C655" s="2" t="s">
        <v>28</v>
      </c>
      <c r="D655" s="2" t="s">
        <v>2005</v>
      </c>
      <c r="E655" s="3" t="s">
        <v>2006</v>
      </c>
      <c r="F655" s="4" t="s">
        <v>38</v>
      </c>
      <c r="G655" s="4" t="s">
        <v>113</v>
      </c>
      <c r="H655" s="4" t="s">
        <v>357</v>
      </c>
      <c r="I655" s="4" t="s">
        <v>358</v>
      </c>
      <c r="J655" s="6"/>
      <c r="K655" s="7"/>
      <c r="L655" s="8" t="str">
        <f t="shared" ref="L655:L656" si="78">UPPER(G655)</f>
        <v>BARRANCABERMEJA</v>
      </c>
      <c r="O655" s="10"/>
    </row>
    <row r="656" ht="14.25" customHeight="1">
      <c r="A656" s="1" t="s">
        <v>2007</v>
      </c>
      <c r="B656" s="2" t="s">
        <v>27</v>
      </c>
      <c r="C656" s="2" t="s">
        <v>28</v>
      </c>
      <c r="D656" s="2" t="s">
        <v>2008</v>
      </c>
      <c r="E656" s="3" t="s">
        <v>2009</v>
      </c>
      <c r="F656" s="4" t="s">
        <v>38</v>
      </c>
      <c r="G656" s="4" t="s">
        <v>81</v>
      </c>
      <c r="H656" s="4" t="s">
        <v>2010</v>
      </c>
      <c r="I656" s="4" t="s">
        <v>76</v>
      </c>
      <c r="J656" s="6"/>
      <c r="K656" s="7"/>
      <c r="L656" s="8" t="str">
        <f t="shared" si="78"/>
        <v>FLORIDABLANCA</v>
      </c>
      <c r="O656" s="10"/>
    </row>
    <row r="657" ht="14.25" hidden="1" customHeight="1">
      <c r="A657" s="13" t="s">
        <v>2011</v>
      </c>
      <c r="B657" s="4" t="s">
        <v>27</v>
      </c>
      <c r="C657" s="4" t="s">
        <v>28</v>
      </c>
      <c r="D657" s="4" t="s">
        <v>2012</v>
      </c>
      <c r="E657" s="4">
        <v>3.12591924E9</v>
      </c>
      <c r="F657" s="4" t="s">
        <v>30</v>
      </c>
      <c r="G657" s="4" t="s">
        <v>35</v>
      </c>
      <c r="H657" s="14"/>
      <c r="I657" s="4" t="s">
        <v>32</v>
      </c>
      <c r="J657" s="14"/>
      <c r="K657" s="14"/>
      <c r="L657" s="14"/>
    </row>
    <row r="658" ht="14.25" customHeight="1">
      <c r="A658" s="1" t="s">
        <v>2013</v>
      </c>
      <c r="B658" s="2" t="s">
        <v>27</v>
      </c>
      <c r="C658" s="2" t="s">
        <v>28</v>
      </c>
      <c r="D658" s="2" t="s">
        <v>2014</v>
      </c>
      <c r="E658" s="3" t="s">
        <v>2015</v>
      </c>
      <c r="F658" s="4" t="s">
        <v>105</v>
      </c>
      <c r="G658" s="4" t="s">
        <v>225</v>
      </c>
      <c r="H658" s="14"/>
      <c r="I658" s="4" t="s">
        <v>51</v>
      </c>
      <c r="J658" s="6"/>
      <c r="K658" s="7"/>
      <c r="L658" s="8" t="str">
        <f t="shared" ref="L658:L659" si="79">UPPER(G658)</f>
        <v>MEDELLIN</v>
      </c>
      <c r="O658" s="10"/>
    </row>
    <row r="659" ht="14.25" customHeight="1">
      <c r="A659" s="1" t="s">
        <v>2016</v>
      </c>
      <c r="B659" s="2" t="s">
        <v>27</v>
      </c>
      <c r="C659" s="2" t="s">
        <v>28</v>
      </c>
      <c r="D659" s="2" t="s">
        <v>2017</v>
      </c>
      <c r="E659" s="3" t="s">
        <v>2018</v>
      </c>
      <c r="F659" s="4" t="s">
        <v>38</v>
      </c>
      <c r="G659" s="4" t="s">
        <v>81</v>
      </c>
      <c r="H659" s="14"/>
      <c r="I659" s="4" t="s">
        <v>164</v>
      </c>
      <c r="J659" s="6"/>
      <c r="K659" s="7"/>
      <c r="L659" s="8" t="str">
        <f t="shared" si="79"/>
        <v>FLORIDABLANCA</v>
      </c>
      <c r="O659" s="10"/>
    </row>
    <row r="660" ht="14.25" hidden="1" customHeight="1">
      <c r="A660" s="13" t="s">
        <v>2019</v>
      </c>
      <c r="B660" s="4" t="s">
        <v>27</v>
      </c>
      <c r="C660" s="4" t="s">
        <v>28</v>
      </c>
      <c r="D660" s="4" t="s">
        <v>2020</v>
      </c>
      <c r="E660" s="4">
        <v>3.126545437E9</v>
      </c>
      <c r="F660" s="4" t="s">
        <v>30</v>
      </c>
      <c r="G660" s="4" t="s">
        <v>35</v>
      </c>
      <c r="H660" s="14"/>
      <c r="I660" s="4" t="s">
        <v>32</v>
      </c>
      <c r="J660" s="14"/>
      <c r="K660" s="14"/>
      <c r="L660" s="14"/>
    </row>
    <row r="661" ht="14.25" hidden="1" customHeight="1">
      <c r="A661" s="13" t="s">
        <v>2021</v>
      </c>
      <c r="B661" s="4" t="s">
        <v>27</v>
      </c>
      <c r="C661" s="4" t="s">
        <v>28</v>
      </c>
      <c r="D661" s="4" t="s">
        <v>2022</v>
      </c>
      <c r="E661" s="4">
        <v>3.124295466E9</v>
      </c>
      <c r="F661" s="4" t="s">
        <v>30</v>
      </c>
      <c r="G661" s="4" t="s">
        <v>35</v>
      </c>
      <c r="H661" s="14"/>
      <c r="I661" s="4" t="s">
        <v>32</v>
      </c>
      <c r="J661" s="14"/>
      <c r="K661" s="14"/>
      <c r="L661" s="14"/>
    </row>
    <row r="662" ht="14.25" customHeight="1">
      <c r="A662" s="1" t="s">
        <v>2023</v>
      </c>
      <c r="B662" s="2" t="s">
        <v>27</v>
      </c>
      <c r="C662" s="2" t="s">
        <v>28</v>
      </c>
      <c r="D662" s="2" t="s">
        <v>2024</v>
      </c>
      <c r="E662" s="3" t="s">
        <v>2025</v>
      </c>
      <c r="F662" s="4" t="s">
        <v>69</v>
      </c>
      <c r="G662" s="4" t="s">
        <v>69</v>
      </c>
      <c r="H662" s="14"/>
      <c r="I662" s="4" t="s">
        <v>51</v>
      </c>
      <c r="J662" s="6"/>
      <c r="K662" s="7"/>
      <c r="L662" s="8" t="str">
        <f>UPPER(G662)</f>
        <v>BOGOTA</v>
      </c>
      <c r="O662" s="10"/>
    </row>
    <row r="663" ht="14.25" hidden="1" customHeight="1">
      <c r="A663" s="13" t="s">
        <v>2026</v>
      </c>
      <c r="B663" s="4" t="s">
        <v>27</v>
      </c>
      <c r="C663" s="4" t="s">
        <v>28</v>
      </c>
      <c r="D663" s="4" t="s">
        <v>2027</v>
      </c>
      <c r="E663" s="4">
        <v>3.124295466E9</v>
      </c>
      <c r="F663" s="4" t="s">
        <v>30</v>
      </c>
      <c r="G663" s="4" t="s">
        <v>35</v>
      </c>
      <c r="H663" s="14"/>
      <c r="I663" s="4" t="s">
        <v>32</v>
      </c>
      <c r="J663" s="14"/>
      <c r="K663" s="14"/>
      <c r="L663" s="14"/>
    </row>
    <row r="664" ht="14.25" hidden="1" customHeight="1">
      <c r="A664" s="13" t="s">
        <v>2028</v>
      </c>
      <c r="B664" s="4" t="s">
        <v>27</v>
      </c>
      <c r="C664" s="4" t="s">
        <v>28</v>
      </c>
      <c r="D664" s="4" t="s">
        <v>2029</v>
      </c>
      <c r="E664" s="4">
        <v>3.22292338E9</v>
      </c>
      <c r="F664" s="4" t="s">
        <v>30</v>
      </c>
      <c r="G664" s="4" t="s">
        <v>31</v>
      </c>
      <c r="H664" s="14"/>
      <c r="I664" s="4" t="s">
        <v>32</v>
      </c>
      <c r="J664" s="14"/>
      <c r="K664" s="14"/>
      <c r="L664" s="14"/>
    </row>
    <row r="665" ht="14.25" customHeight="1">
      <c r="A665" s="1" t="s">
        <v>2030</v>
      </c>
      <c r="B665" s="2" t="s">
        <v>27</v>
      </c>
      <c r="C665" s="2" t="s">
        <v>28</v>
      </c>
      <c r="D665" s="2" t="s">
        <v>2031</v>
      </c>
      <c r="E665" s="3" t="s">
        <v>1341</v>
      </c>
      <c r="F665" s="4" t="s">
        <v>38</v>
      </c>
      <c r="G665" s="4" t="s">
        <v>39</v>
      </c>
      <c r="H665" s="4" t="s">
        <v>40</v>
      </c>
      <c r="I665" s="4" t="s">
        <v>561</v>
      </c>
      <c r="J665" s="6"/>
      <c r="K665" s="7"/>
      <c r="L665" s="8" t="str">
        <f t="shared" ref="L665:L667" si="80">UPPER(G665)</f>
        <v>BUCARAMANGA</v>
      </c>
      <c r="O665" s="10"/>
    </row>
    <row r="666" ht="14.25" customHeight="1">
      <c r="A666" s="1" t="s">
        <v>2032</v>
      </c>
      <c r="B666" s="2" t="s">
        <v>27</v>
      </c>
      <c r="C666" s="2" t="s">
        <v>28</v>
      </c>
      <c r="D666" s="2" t="s">
        <v>2033</v>
      </c>
      <c r="E666" s="3" t="s">
        <v>1002</v>
      </c>
      <c r="F666" s="4" t="s">
        <v>38</v>
      </c>
      <c r="G666" s="4" t="s">
        <v>39</v>
      </c>
      <c r="H666" s="4" t="s">
        <v>40</v>
      </c>
      <c r="I666" s="4" t="s">
        <v>561</v>
      </c>
      <c r="J666" s="6"/>
      <c r="K666" s="7"/>
      <c r="L666" s="8" t="str">
        <f t="shared" si="80"/>
        <v>BUCARAMANGA</v>
      </c>
      <c r="O666" s="10"/>
    </row>
    <row r="667" ht="14.25" customHeight="1">
      <c r="A667" s="1" t="s">
        <v>2034</v>
      </c>
      <c r="B667" s="2" t="s">
        <v>27</v>
      </c>
      <c r="C667" s="2" t="s">
        <v>28</v>
      </c>
      <c r="D667" s="2" t="s">
        <v>2035</v>
      </c>
      <c r="E667" s="3" t="s">
        <v>2036</v>
      </c>
      <c r="F667" s="4" t="s">
        <v>69</v>
      </c>
      <c r="G667" s="4" t="s">
        <v>69</v>
      </c>
      <c r="H667" s="30"/>
      <c r="I667" s="4" t="s">
        <v>182</v>
      </c>
      <c r="J667" s="6"/>
      <c r="K667" s="7"/>
      <c r="L667" s="8" t="str">
        <f t="shared" si="80"/>
        <v>BOGOTA</v>
      </c>
      <c r="O667" s="10"/>
    </row>
    <row r="668" ht="14.25" hidden="1" customHeight="1">
      <c r="A668" s="13" t="s">
        <v>2037</v>
      </c>
      <c r="B668" s="4" t="s">
        <v>27</v>
      </c>
      <c r="C668" s="4" t="s">
        <v>28</v>
      </c>
      <c r="D668" s="4" t="s">
        <v>2038</v>
      </c>
      <c r="E668" s="4">
        <v>3.132541018E9</v>
      </c>
      <c r="F668" s="4" t="s">
        <v>30</v>
      </c>
      <c r="G668" s="4" t="s">
        <v>31</v>
      </c>
      <c r="H668" s="14"/>
      <c r="I668" s="4" t="s">
        <v>32</v>
      </c>
      <c r="J668" s="14"/>
      <c r="K668" s="14"/>
      <c r="L668" s="14"/>
    </row>
    <row r="669" ht="14.25" customHeight="1">
      <c r="A669" s="1" t="s">
        <v>2039</v>
      </c>
      <c r="B669" s="2" t="s">
        <v>27</v>
      </c>
      <c r="C669" s="2" t="s">
        <v>28</v>
      </c>
      <c r="D669" s="2" t="s">
        <v>2040</v>
      </c>
      <c r="E669" s="3" t="s">
        <v>2041</v>
      </c>
      <c r="F669" s="4" t="s">
        <v>38</v>
      </c>
      <c r="G669" s="4" t="s">
        <v>39</v>
      </c>
      <c r="H669" s="14"/>
      <c r="I669" s="4" t="s">
        <v>164</v>
      </c>
      <c r="J669" s="6"/>
      <c r="K669" s="7"/>
      <c r="L669" s="8" t="str">
        <f t="shared" ref="L669:L670" si="81">UPPER(G669)</f>
        <v>BUCARAMANGA</v>
      </c>
      <c r="O669" s="10"/>
    </row>
    <row r="670" ht="14.25" customHeight="1">
      <c r="A670" s="1" t="s">
        <v>2042</v>
      </c>
      <c r="B670" s="2" t="s">
        <v>27</v>
      </c>
      <c r="C670" s="2" t="s">
        <v>28</v>
      </c>
      <c r="D670" s="2" t="s">
        <v>2043</v>
      </c>
      <c r="E670" s="3" t="s">
        <v>2044</v>
      </c>
      <c r="F670" s="4" t="s">
        <v>38</v>
      </c>
      <c r="G670" s="4" t="s">
        <v>39</v>
      </c>
      <c r="H670" s="14"/>
      <c r="I670" s="4" t="s">
        <v>76</v>
      </c>
      <c r="J670" s="6"/>
      <c r="K670" s="7"/>
      <c r="L670" s="8" t="str">
        <f t="shared" si="81"/>
        <v>BUCARAMANGA</v>
      </c>
      <c r="O670" s="10"/>
    </row>
    <row r="671" ht="14.25" hidden="1" customHeight="1">
      <c r="A671" s="13" t="s">
        <v>2045</v>
      </c>
      <c r="B671" s="4" t="s">
        <v>27</v>
      </c>
      <c r="C671" s="4" t="s">
        <v>28</v>
      </c>
      <c r="D671" s="4" t="s">
        <v>2046</v>
      </c>
      <c r="E671" s="4">
        <v>3.113867755E9</v>
      </c>
      <c r="F671" s="4" t="s">
        <v>30</v>
      </c>
      <c r="G671" s="4" t="s">
        <v>35</v>
      </c>
      <c r="H671" s="14"/>
      <c r="I671" s="4" t="s">
        <v>32</v>
      </c>
      <c r="J671" s="14"/>
      <c r="K671" s="14"/>
      <c r="L671" s="14"/>
    </row>
    <row r="672" ht="14.25" customHeight="1">
      <c r="A672" s="1" t="s">
        <v>2047</v>
      </c>
      <c r="B672" s="2" t="s">
        <v>27</v>
      </c>
      <c r="C672" s="2" t="s">
        <v>28</v>
      </c>
      <c r="D672" s="2" t="s">
        <v>2048</v>
      </c>
      <c r="E672" s="3" t="s">
        <v>2049</v>
      </c>
      <c r="F672" s="4" t="s">
        <v>2050</v>
      </c>
      <c r="G672" s="4" t="s">
        <v>2051</v>
      </c>
      <c r="H672" s="14"/>
      <c r="I672" s="4" t="s">
        <v>164</v>
      </c>
      <c r="J672" s="6"/>
      <c r="K672" s="7"/>
      <c r="L672" s="8" t="str">
        <f>UPPER(G672)</f>
        <v>PUERTO GAITAN</v>
      </c>
      <c r="O672" s="10"/>
    </row>
    <row r="673" ht="14.25" hidden="1" customHeight="1">
      <c r="A673" s="13" t="s">
        <v>2052</v>
      </c>
      <c r="B673" s="4" t="s">
        <v>27</v>
      </c>
      <c r="C673" s="4" t="s">
        <v>28</v>
      </c>
      <c r="D673" s="4" t="s">
        <v>2053</v>
      </c>
      <c r="E673" s="4">
        <v>3.124295466E9</v>
      </c>
      <c r="F673" s="4" t="s">
        <v>30</v>
      </c>
      <c r="G673" s="4" t="s">
        <v>35</v>
      </c>
      <c r="H673" s="14"/>
      <c r="I673" s="4" t="s">
        <v>32</v>
      </c>
      <c r="J673" s="14"/>
      <c r="K673" s="14"/>
      <c r="L673" s="14"/>
    </row>
    <row r="674" ht="14.25" hidden="1" customHeight="1">
      <c r="A674" s="13" t="s">
        <v>2054</v>
      </c>
      <c r="B674" s="4" t="s">
        <v>27</v>
      </c>
      <c r="C674" s="4" t="s">
        <v>28</v>
      </c>
      <c r="D674" s="4" t="s">
        <v>2055</v>
      </c>
      <c r="E674" s="4">
        <v>3.22292338E9</v>
      </c>
      <c r="F674" s="4" t="s">
        <v>30</v>
      </c>
      <c r="G674" s="4" t="s">
        <v>31</v>
      </c>
      <c r="H674" s="14"/>
      <c r="I674" s="4" t="s">
        <v>32</v>
      </c>
      <c r="J674" s="14"/>
      <c r="K674" s="14"/>
      <c r="L674" s="14"/>
    </row>
    <row r="675" ht="14.25" hidden="1" customHeight="1">
      <c r="A675" s="13" t="s">
        <v>2056</v>
      </c>
      <c r="B675" s="4" t="s">
        <v>27</v>
      </c>
      <c r="C675" s="4" t="s">
        <v>28</v>
      </c>
      <c r="D675" s="4" t="s">
        <v>2057</v>
      </c>
      <c r="E675" s="4">
        <v>3.22731914E9</v>
      </c>
      <c r="F675" s="4" t="s">
        <v>30</v>
      </c>
      <c r="G675" s="4" t="s">
        <v>35</v>
      </c>
      <c r="H675" s="14"/>
      <c r="I675" s="4" t="s">
        <v>32</v>
      </c>
      <c r="J675" s="14"/>
      <c r="K675" s="14"/>
      <c r="L675" s="14"/>
    </row>
    <row r="676" ht="14.25" hidden="1" customHeight="1">
      <c r="A676" s="13" t="s">
        <v>2058</v>
      </c>
      <c r="B676" s="4" t="s">
        <v>27</v>
      </c>
      <c r="C676" s="4" t="s">
        <v>28</v>
      </c>
      <c r="D676" s="4" t="s">
        <v>2059</v>
      </c>
      <c r="E676" s="4">
        <v>3.132541018E9</v>
      </c>
      <c r="F676" s="4" t="s">
        <v>30</v>
      </c>
      <c r="G676" s="4" t="s">
        <v>31</v>
      </c>
      <c r="H676" s="14"/>
      <c r="I676" s="4" t="s">
        <v>32</v>
      </c>
      <c r="J676" s="14"/>
      <c r="K676" s="14"/>
      <c r="L676" s="14"/>
    </row>
    <row r="677" ht="14.25" customHeight="1">
      <c r="A677" s="1" t="s">
        <v>2060</v>
      </c>
      <c r="B677" s="2" t="s">
        <v>27</v>
      </c>
      <c r="C677" s="2" t="s">
        <v>28</v>
      </c>
      <c r="D677" s="2" t="s">
        <v>2061</v>
      </c>
      <c r="E677" s="3" t="s">
        <v>2062</v>
      </c>
      <c r="F677" s="4" t="s">
        <v>38</v>
      </c>
      <c r="G677" s="4" t="s">
        <v>159</v>
      </c>
      <c r="H677" s="4" t="s">
        <v>579</v>
      </c>
      <c r="I677" s="4" t="s">
        <v>561</v>
      </c>
      <c r="J677" s="6"/>
      <c r="K677" s="7"/>
      <c r="L677" s="8" t="str">
        <f>UPPER(G677)</f>
        <v>PIEDECUESTA</v>
      </c>
      <c r="O677" s="10"/>
    </row>
    <row r="678" ht="14.25" hidden="1" customHeight="1">
      <c r="A678" s="13" t="s">
        <v>2063</v>
      </c>
      <c r="B678" s="4" t="s">
        <v>27</v>
      </c>
      <c r="C678" s="4" t="s">
        <v>28</v>
      </c>
      <c r="D678" s="4" t="s">
        <v>2064</v>
      </c>
      <c r="E678" s="4">
        <v>3.118713141E9</v>
      </c>
      <c r="F678" s="4" t="s">
        <v>30</v>
      </c>
      <c r="G678" s="4" t="s">
        <v>35</v>
      </c>
      <c r="H678" s="14"/>
      <c r="I678" s="4" t="s">
        <v>32</v>
      </c>
      <c r="J678" s="14"/>
      <c r="K678" s="14"/>
      <c r="L678" s="14"/>
    </row>
    <row r="679" ht="14.25" hidden="1" customHeight="1">
      <c r="A679" s="13" t="s">
        <v>2065</v>
      </c>
      <c r="B679" s="4" t="s">
        <v>27</v>
      </c>
      <c r="C679" s="4" t="s">
        <v>28</v>
      </c>
      <c r="D679" s="4" t="s">
        <v>2066</v>
      </c>
      <c r="E679" s="4">
        <v>3.135593844E9</v>
      </c>
      <c r="F679" s="4" t="s">
        <v>30</v>
      </c>
      <c r="G679" s="4" t="s">
        <v>35</v>
      </c>
      <c r="H679" s="14"/>
      <c r="I679" s="4" t="s">
        <v>32</v>
      </c>
      <c r="J679" s="14"/>
      <c r="K679" s="14"/>
      <c r="L679" s="14"/>
    </row>
    <row r="680" ht="14.25" customHeight="1">
      <c r="A680" s="1" t="s">
        <v>2067</v>
      </c>
      <c r="B680" s="2" t="s">
        <v>27</v>
      </c>
      <c r="C680" s="2" t="s">
        <v>28</v>
      </c>
      <c r="D680" s="2" t="s">
        <v>2068</v>
      </c>
      <c r="E680" s="3" t="s">
        <v>2069</v>
      </c>
      <c r="F680" s="4" t="s">
        <v>69</v>
      </c>
      <c r="G680" s="4" t="s">
        <v>69</v>
      </c>
      <c r="H680" s="4" t="s">
        <v>181</v>
      </c>
      <c r="I680" s="4" t="s">
        <v>182</v>
      </c>
      <c r="J680" s="6"/>
      <c r="K680" s="7"/>
      <c r="L680" s="8" t="str">
        <f t="shared" ref="L680:L682" si="82">UPPER(G680)</f>
        <v>BOGOTA</v>
      </c>
      <c r="O680" s="10"/>
    </row>
    <row r="681" ht="14.25" customHeight="1">
      <c r="A681" s="1" t="s">
        <v>2070</v>
      </c>
      <c r="B681" s="2" t="s">
        <v>27</v>
      </c>
      <c r="C681" s="2" t="s">
        <v>28</v>
      </c>
      <c r="D681" s="2" t="s">
        <v>2071</v>
      </c>
      <c r="E681" s="3" t="s">
        <v>2072</v>
      </c>
      <c r="F681" s="4" t="s">
        <v>38</v>
      </c>
      <c r="G681" s="4" t="s">
        <v>113</v>
      </c>
      <c r="H681" s="14"/>
      <c r="I681" s="4" t="s">
        <v>540</v>
      </c>
      <c r="J681" s="6"/>
      <c r="K681" s="7"/>
      <c r="L681" s="8" t="str">
        <f t="shared" si="82"/>
        <v>BARRANCABERMEJA</v>
      </c>
      <c r="O681" s="10"/>
    </row>
    <row r="682" ht="14.25" customHeight="1">
      <c r="A682" s="1" t="s">
        <v>2073</v>
      </c>
      <c r="B682" s="2" t="s">
        <v>27</v>
      </c>
      <c r="C682" s="2" t="s">
        <v>28</v>
      </c>
      <c r="D682" s="2" t="s">
        <v>2074</v>
      </c>
      <c r="E682" s="3" t="s">
        <v>2075</v>
      </c>
      <c r="F682" s="4" t="s">
        <v>38</v>
      </c>
      <c r="G682" s="4" t="s">
        <v>39</v>
      </c>
      <c r="H682" s="4" t="s">
        <v>642</v>
      </c>
      <c r="I682" s="4" t="s">
        <v>846</v>
      </c>
      <c r="J682" s="6"/>
      <c r="K682" s="7"/>
      <c r="L682" s="8" t="str">
        <f t="shared" si="82"/>
        <v>BUCARAMANGA</v>
      </c>
      <c r="O682" s="10"/>
    </row>
    <row r="683" ht="14.25" hidden="1" customHeight="1">
      <c r="A683" s="13" t="s">
        <v>2076</v>
      </c>
      <c r="B683" s="4" t="s">
        <v>27</v>
      </c>
      <c r="C683" s="4" t="s">
        <v>28</v>
      </c>
      <c r="D683" s="4" t="s">
        <v>2077</v>
      </c>
      <c r="E683" s="4">
        <v>3.104858589E9</v>
      </c>
      <c r="F683" s="4" t="s">
        <v>30</v>
      </c>
      <c r="G683" s="4" t="s">
        <v>31</v>
      </c>
      <c r="H683" s="14"/>
      <c r="I683" s="4" t="s">
        <v>32</v>
      </c>
      <c r="J683" s="14"/>
      <c r="K683" s="14"/>
      <c r="L683" s="14"/>
    </row>
    <row r="684" ht="14.25" hidden="1" customHeight="1">
      <c r="A684" s="13" t="s">
        <v>2078</v>
      </c>
      <c r="B684" s="4" t="s">
        <v>27</v>
      </c>
      <c r="C684" s="4" t="s">
        <v>28</v>
      </c>
      <c r="D684" s="4" t="s">
        <v>2079</v>
      </c>
      <c r="E684" s="4">
        <v>3.124295466E9</v>
      </c>
      <c r="F684" s="4" t="s">
        <v>30</v>
      </c>
      <c r="G684" s="4" t="s">
        <v>35</v>
      </c>
      <c r="H684" s="14"/>
      <c r="I684" s="4" t="s">
        <v>32</v>
      </c>
      <c r="J684" s="14"/>
      <c r="K684" s="14"/>
      <c r="L684" s="14"/>
    </row>
    <row r="685" ht="14.25" hidden="1" customHeight="1">
      <c r="A685" s="13" t="s">
        <v>2080</v>
      </c>
      <c r="B685" s="4" t="s">
        <v>27</v>
      </c>
      <c r="C685" s="4" t="s">
        <v>28</v>
      </c>
      <c r="D685" s="4" t="s">
        <v>2081</v>
      </c>
      <c r="E685" s="4">
        <v>3.118713141E9</v>
      </c>
      <c r="F685" s="4" t="s">
        <v>30</v>
      </c>
      <c r="G685" s="4" t="s">
        <v>31</v>
      </c>
      <c r="H685" s="14"/>
      <c r="I685" s="4" t="s">
        <v>32</v>
      </c>
      <c r="J685" s="14"/>
      <c r="K685" s="14"/>
      <c r="L685" s="14"/>
    </row>
    <row r="686" ht="14.25" hidden="1" customHeight="1">
      <c r="A686" s="13" t="s">
        <v>2082</v>
      </c>
      <c r="B686" s="4" t="s">
        <v>27</v>
      </c>
      <c r="C686" s="4" t="s">
        <v>28</v>
      </c>
      <c r="D686" s="4" t="s">
        <v>2083</v>
      </c>
      <c r="E686" s="4">
        <v>3.118012734E9</v>
      </c>
      <c r="F686" s="4" t="s">
        <v>30</v>
      </c>
      <c r="G686" s="4" t="s">
        <v>35</v>
      </c>
      <c r="H686" s="14"/>
      <c r="I686" s="4" t="s">
        <v>32</v>
      </c>
      <c r="J686" s="14"/>
      <c r="K686" s="14"/>
      <c r="L686" s="14"/>
    </row>
    <row r="687" ht="14.25" customHeight="1">
      <c r="A687" s="1" t="s">
        <v>2084</v>
      </c>
      <c r="B687" s="2" t="s">
        <v>27</v>
      </c>
      <c r="C687" s="2" t="s">
        <v>28</v>
      </c>
      <c r="D687" s="2" t="s">
        <v>2085</v>
      </c>
      <c r="E687" s="3" t="s">
        <v>2086</v>
      </c>
      <c r="F687" s="4" t="s">
        <v>38</v>
      </c>
      <c r="G687" s="4" t="s">
        <v>113</v>
      </c>
      <c r="H687" s="14"/>
      <c r="I687" s="4" t="s">
        <v>540</v>
      </c>
      <c r="J687" s="6"/>
      <c r="K687" s="7"/>
      <c r="L687" s="8" t="str">
        <f>UPPER(G687)</f>
        <v>BARRANCABERMEJA</v>
      </c>
      <c r="O687" s="10"/>
    </row>
    <row r="688" ht="14.25" hidden="1" customHeight="1">
      <c r="A688" s="13" t="s">
        <v>2087</v>
      </c>
      <c r="B688" s="4" t="s">
        <v>27</v>
      </c>
      <c r="C688" s="4" t="s">
        <v>28</v>
      </c>
      <c r="D688" s="4" t="s">
        <v>2088</v>
      </c>
      <c r="E688" s="4">
        <v>3.22292338E9</v>
      </c>
      <c r="F688" s="4" t="s">
        <v>30</v>
      </c>
      <c r="G688" s="4" t="s">
        <v>31</v>
      </c>
      <c r="H688" s="14"/>
      <c r="I688" s="4" t="s">
        <v>32</v>
      </c>
      <c r="J688" s="14"/>
      <c r="K688" s="14"/>
      <c r="L688" s="14"/>
    </row>
    <row r="689" ht="14.25" customHeight="1">
      <c r="A689" s="1" t="s">
        <v>2089</v>
      </c>
      <c r="B689" s="2" t="s">
        <v>65</v>
      </c>
      <c r="C689" s="2" t="s">
        <v>66</v>
      </c>
      <c r="D689" s="2" t="s">
        <v>2090</v>
      </c>
      <c r="E689" s="3" t="s">
        <v>2091</v>
      </c>
      <c r="F689" s="4" t="s">
        <v>69</v>
      </c>
      <c r="G689" s="4" t="s">
        <v>69</v>
      </c>
      <c r="H689" s="14"/>
      <c r="I689" s="4" t="s">
        <v>540</v>
      </c>
      <c r="J689" s="6"/>
      <c r="K689" s="7"/>
      <c r="L689" s="8" t="str">
        <f>UPPER(G689)</f>
        <v>BOGOTA</v>
      </c>
      <c r="O689" s="10"/>
    </row>
    <row r="690" ht="14.25" hidden="1" customHeight="1">
      <c r="A690" s="13" t="s">
        <v>2092</v>
      </c>
      <c r="B690" s="4" t="s">
        <v>27</v>
      </c>
      <c r="C690" s="4" t="s">
        <v>28</v>
      </c>
      <c r="D690" s="4" t="s">
        <v>2093</v>
      </c>
      <c r="E690" s="4">
        <v>3.124295466E9</v>
      </c>
      <c r="F690" s="4" t="s">
        <v>30</v>
      </c>
      <c r="G690" s="4" t="s">
        <v>35</v>
      </c>
      <c r="H690" s="14"/>
      <c r="I690" s="4" t="s">
        <v>32</v>
      </c>
      <c r="J690" s="14"/>
      <c r="K690" s="14"/>
      <c r="L690" s="14"/>
    </row>
    <row r="691" ht="14.25" customHeight="1">
      <c r="A691" s="1" t="s">
        <v>2094</v>
      </c>
      <c r="B691" s="2" t="s">
        <v>27</v>
      </c>
      <c r="C691" s="2" t="s">
        <v>28</v>
      </c>
      <c r="D691" s="2" t="s">
        <v>2095</v>
      </c>
      <c r="E691" s="3" t="s">
        <v>2096</v>
      </c>
      <c r="F691" s="4" t="s">
        <v>1863</v>
      </c>
      <c r="G691" s="4" t="s">
        <v>1356</v>
      </c>
      <c r="H691" s="14"/>
      <c r="I691" s="4" t="s">
        <v>51</v>
      </c>
      <c r="J691" s="6"/>
      <c r="K691" s="7"/>
      <c r="L691" s="8" t="str">
        <f t="shared" ref="L691:L695" si="83">UPPER(G691)</f>
        <v>CALI</v>
      </c>
      <c r="O691" s="10"/>
    </row>
    <row r="692" ht="14.25" customHeight="1">
      <c r="A692" s="1" t="s">
        <v>2097</v>
      </c>
      <c r="B692" s="2" t="s">
        <v>27</v>
      </c>
      <c r="C692" s="2" t="s">
        <v>28</v>
      </c>
      <c r="D692" s="2" t="s">
        <v>2098</v>
      </c>
      <c r="E692" s="3" t="s">
        <v>2099</v>
      </c>
      <c r="F692" s="4" t="s">
        <v>38</v>
      </c>
      <c r="G692" s="4" t="s">
        <v>39</v>
      </c>
      <c r="H692" s="4" t="s">
        <v>40</v>
      </c>
      <c r="I692" s="4" t="s">
        <v>561</v>
      </c>
      <c r="J692" s="6"/>
      <c r="K692" s="7"/>
      <c r="L692" s="8" t="str">
        <f t="shared" si="83"/>
        <v>BUCARAMANGA</v>
      </c>
      <c r="O692" s="10"/>
    </row>
    <row r="693" ht="14.25" customHeight="1">
      <c r="A693" s="1" t="s">
        <v>2100</v>
      </c>
      <c r="B693" s="2" t="s">
        <v>27</v>
      </c>
      <c r="C693" s="2" t="s">
        <v>28</v>
      </c>
      <c r="D693" s="2" t="s">
        <v>2101</v>
      </c>
      <c r="E693" s="3" t="s">
        <v>2009</v>
      </c>
      <c r="F693" s="4" t="s">
        <v>38</v>
      </c>
      <c r="G693" s="4" t="s">
        <v>81</v>
      </c>
      <c r="H693" s="4" t="s">
        <v>2102</v>
      </c>
      <c r="I693" s="4" t="s">
        <v>76</v>
      </c>
      <c r="J693" s="6"/>
      <c r="K693" s="7"/>
      <c r="L693" s="8" t="str">
        <f t="shared" si="83"/>
        <v>FLORIDABLANCA</v>
      </c>
      <c r="O693" s="10"/>
    </row>
    <row r="694" ht="14.25" customHeight="1">
      <c r="A694" s="1" t="s">
        <v>2103</v>
      </c>
      <c r="B694" s="2" t="s">
        <v>27</v>
      </c>
      <c r="C694" s="2" t="s">
        <v>28</v>
      </c>
      <c r="D694" s="2" t="s">
        <v>2104</v>
      </c>
      <c r="E694" s="3" t="s">
        <v>2105</v>
      </c>
      <c r="F694" s="4" t="s">
        <v>69</v>
      </c>
      <c r="G694" s="4" t="s">
        <v>69</v>
      </c>
      <c r="H694" s="4" t="s">
        <v>133</v>
      </c>
      <c r="I694" s="4" t="s">
        <v>51</v>
      </c>
      <c r="J694" s="6"/>
      <c r="K694" s="7"/>
      <c r="L694" s="8" t="str">
        <f t="shared" si="83"/>
        <v>BOGOTA</v>
      </c>
      <c r="O694" s="10"/>
    </row>
    <row r="695" ht="14.25" customHeight="1">
      <c r="A695" s="1" t="s">
        <v>2106</v>
      </c>
      <c r="B695" s="2" t="s">
        <v>27</v>
      </c>
      <c r="C695" s="2" t="s">
        <v>28</v>
      </c>
      <c r="D695" s="2" t="s">
        <v>2107</v>
      </c>
      <c r="E695" s="3" t="s">
        <v>921</v>
      </c>
      <c r="F695" s="4" t="s">
        <v>69</v>
      </c>
      <c r="G695" s="4" t="s">
        <v>69</v>
      </c>
      <c r="H695" s="14"/>
      <c r="I695" s="4" t="s">
        <v>51</v>
      </c>
      <c r="J695" s="6"/>
      <c r="K695" s="7"/>
      <c r="L695" s="8" t="str">
        <f t="shared" si="83"/>
        <v>BOGOTA</v>
      </c>
      <c r="O695" s="10"/>
    </row>
    <row r="696" ht="14.25" hidden="1" customHeight="1">
      <c r="A696" s="13" t="s">
        <v>2108</v>
      </c>
      <c r="B696" s="4" t="s">
        <v>27</v>
      </c>
      <c r="C696" s="4" t="s">
        <v>28</v>
      </c>
      <c r="D696" s="4" t="s">
        <v>2109</v>
      </c>
      <c r="E696" s="4">
        <v>3.222945585E9</v>
      </c>
      <c r="F696" s="4" t="s">
        <v>30</v>
      </c>
      <c r="G696" s="4" t="s">
        <v>35</v>
      </c>
      <c r="H696" s="14"/>
      <c r="I696" s="4" t="s">
        <v>32</v>
      </c>
      <c r="J696" s="14"/>
      <c r="K696" s="14"/>
      <c r="L696" s="14"/>
    </row>
    <row r="697" ht="14.25" hidden="1" customHeight="1">
      <c r="A697" s="13" t="s">
        <v>2110</v>
      </c>
      <c r="B697" s="4" t="s">
        <v>27</v>
      </c>
      <c r="C697" s="4" t="s">
        <v>28</v>
      </c>
      <c r="D697" s="4" t="s">
        <v>2111</v>
      </c>
      <c r="E697" s="4">
        <v>3.102211527E9</v>
      </c>
      <c r="F697" s="4" t="s">
        <v>30</v>
      </c>
      <c r="G697" s="4" t="s">
        <v>35</v>
      </c>
      <c r="H697" s="14"/>
      <c r="I697" s="4" t="s">
        <v>32</v>
      </c>
      <c r="J697" s="14"/>
      <c r="K697" s="14"/>
      <c r="L697" s="14"/>
    </row>
    <row r="698" ht="14.25" customHeight="1">
      <c r="A698" s="1" t="s">
        <v>2112</v>
      </c>
      <c r="B698" s="2" t="s">
        <v>27</v>
      </c>
      <c r="C698" s="2" t="s">
        <v>28</v>
      </c>
      <c r="D698" s="2" t="s">
        <v>2113</v>
      </c>
      <c r="E698" s="3" t="s">
        <v>2114</v>
      </c>
      <c r="F698" s="4" t="s">
        <v>38</v>
      </c>
      <c r="G698" s="4" t="s">
        <v>39</v>
      </c>
      <c r="H698" s="4" t="s">
        <v>40</v>
      </c>
      <c r="I698" s="4" t="s">
        <v>76</v>
      </c>
      <c r="J698" s="6"/>
      <c r="K698" s="7"/>
      <c r="L698" s="8" t="str">
        <f t="shared" ref="L698:L699" si="84">UPPER(G698)</f>
        <v>BUCARAMANGA</v>
      </c>
      <c r="O698" s="10"/>
    </row>
    <row r="699" ht="14.25" customHeight="1">
      <c r="A699" s="1" t="s">
        <v>2115</v>
      </c>
      <c r="B699" s="2" t="s">
        <v>27</v>
      </c>
      <c r="C699" s="2" t="s">
        <v>28</v>
      </c>
      <c r="D699" s="2" t="s">
        <v>2116</v>
      </c>
      <c r="E699" s="3" t="s">
        <v>2117</v>
      </c>
      <c r="F699" s="4" t="s">
        <v>38</v>
      </c>
      <c r="G699" s="4" t="s">
        <v>113</v>
      </c>
      <c r="H699" s="4" t="s">
        <v>965</v>
      </c>
      <c r="I699" s="4" t="s">
        <v>358</v>
      </c>
      <c r="J699" s="6"/>
      <c r="K699" s="7"/>
      <c r="L699" s="8" t="str">
        <f t="shared" si="84"/>
        <v>BARRANCABERMEJA</v>
      </c>
      <c r="O699" s="10"/>
    </row>
    <row r="700" ht="14.25" hidden="1" customHeight="1">
      <c r="A700" s="13" t="s">
        <v>2118</v>
      </c>
      <c r="B700" s="4" t="s">
        <v>27</v>
      </c>
      <c r="C700" s="4" t="s">
        <v>28</v>
      </c>
      <c r="D700" s="4" t="s">
        <v>2119</v>
      </c>
      <c r="E700" s="4">
        <v>3.23450271E9</v>
      </c>
      <c r="F700" s="4" t="s">
        <v>30</v>
      </c>
      <c r="G700" s="4" t="s">
        <v>35</v>
      </c>
      <c r="H700" s="14"/>
      <c r="I700" s="4" t="s">
        <v>32</v>
      </c>
      <c r="J700" s="14"/>
      <c r="K700" s="14"/>
      <c r="L700" s="14"/>
    </row>
    <row r="701" ht="14.25" hidden="1" customHeight="1">
      <c r="A701" s="13" t="s">
        <v>2120</v>
      </c>
      <c r="B701" s="4" t="s">
        <v>27</v>
      </c>
      <c r="C701" s="4" t="s">
        <v>28</v>
      </c>
      <c r="D701" s="4" t="s">
        <v>2121</v>
      </c>
      <c r="E701" s="4">
        <v>3.118713141E9</v>
      </c>
      <c r="F701" s="4" t="s">
        <v>30</v>
      </c>
      <c r="G701" s="4" t="s">
        <v>35</v>
      </c>
      <c r="H701" s="14"/>
      <c r="I701" s="4" t="s">
        <v>32</v>
      </c>
      <c r="J701" s="14"/>
      <c r="K701" s="14"/>
      <c r="L701" s="14"/>
    </row>
    <row r="702" ht="14.25" hidden="1" customHeight="1">
      <c r="A702" s="13" t="s">
        <v>2122</v>
      </c>
      <c r="B702" s="4" t="s">
        <v>27</v>
      </c>
      <c r="C702" s="4" t="s">
        <v>28</v>
      </c>
      <c r="D702" s="4" t="s">
        <v>2123</v>
      </c>
      <c r="E702" s="4">
        <v>3.22731914E9</v>
      </c>
      <c r="F702" s="4" t="s">
        <v>30</v>
      </c>
      <c r="G702" s="4" t="s">
        <v>35</v>
      </c>
      <c r="H702" s="14"/>
      <c r="I702" s="4" t="s">
        <v>32</v>
      </c>
      <c r="J702" s="14"/>
      <c r="K702" s="14"/>
      <c r="L702" s="14"/>
    </row>
    <row r="703" ht="14.25" hidden="1" customHeight="1">
      <c r="A703" s="13" t="s">
        <v>2124</v>
      </c>
      <c r="B703" s="4" t="s">
        <v>27</v>
      </c>
      <c r="C703" s="4" t="s">
        <v>28</v>
      </c>
      <c r="D703" s="4" t="s">
        <v>2125</v>
      </c>
      <c r="E703" s="4">
        <v>3.125007711E9</v>
      </c>
      <c r="F703" s="4" t="s">
        <v>30</v>
      </c>
      <c r="G703" s="4" t="s">
        <v>35</v>
      </c>
      <c r="H703" s="14"/>
      <c r="I703" s="4" t="s">
        <v>32</v>
      </c>
      <c r="J703" s="14"/>
      <c r="K703" s="14"/>
      <c r="L703" s="14"/>
    </row>
    <row r="704" ht="14.25" hidden="1" customHeight="1">
      <c r="A704" s="13" t="s">
        <v>2126</v>
      </c>
      <c r="B704" s="4" t="s">
        <v>27</v>
      </c>
      <c r="C704" s="4" t="s">
        <v>28</v>
      </c>
      <c r="D704" s="4" t="s">
        <v>2127</v>
      </c>
      <c r="E704" s="4">
        <v>3.22731914E9</v>
      </c>
      <c r="F704" s="4" t="s">
        <v>30</v>
      </c>
      <c r="G704" s="4" t="s">
        <v>35</v>
      </c>
      <c r="H704" s="14"/>
      <c r="I704" s="4" t="s">
        <v>32</v>
      </c>
      <c r="J704" s="14"/>
      <c r="K704" s="14"/>
      <c r="L704" s="14"/>
    </row>
    <row r="705" ht="14.25" hidden="1" customHeight="1">
      <c r="A705" s="13" t="s">
        <v>2128</v>
      </c>
      <c r="B705" s="4" t="s">
        <v>27</v>
      </c>
      <c r="C705" s="4" t="s">
        <v>28</v>
      </c>
      <c r="D705" s="4" t="s">
        <v>2129</v>
      </c>
      <c r="E705" s="4">
        <v>3.118713141E9</v>
      </c>
      <c r="F705" s="4" t="s">
        <v>30</v>
      </c>
      <c r="G705" s="4" t="s">
        <v>35</v>
      </c>
      <c r="H705" s="14"/>
      <c r="I705" s="4" t="s">
        <v>32</v>
      </c>
      <c r="J705" s="14"/>
      <c r="K705" s="14"/>
      <c r="L705" s="14"/>
    </row>
    <row r="706" ht="14.25" customHeight="1">
      <c r="A706" s="1" t="s">
        <v>2130</v>
      </c>
      <c r="B706" s="2" t="s">
        <v>27</v>
      </c>
      <c r="C706" s="2" t="s">
        <v>28</v>
      </c>
      <c r="D706" s="2" t="s">
        <v>2131</v>
      </c>
      <c r="E706" s="3" t="s">
        <v>2132</v>
      </c>
      <c r="F706" s="4" t="s">
        <v>38</v>
      </c>
      <c r="G706" s="4" t="s">
        <v>39</v>
      </c>
      <c r="H706" s="14"/>
      <c r="I706" s="4" t="s">
        <v>561</v>
      </c>
      <c r="J706" s="6"/>
      <c r="K706" s="7"/>
      <c r="L706" s="8" t="str">
        <f>UPPER(G706)</f>
        <v>BUCARAMANGA</v>
      </c>
      <c r="O706" s="10"/>
    </row>
    <row r="707" ht="14.25" hidden="1" customHeight="1">
      <c r="A707" s="13" t="s">
        <v>2133</v>
      </c>
      <c r="B707" s="4" t="s">
        <v>27</v>
      </c>
      <c r="C707" s="4" t="s">
        <v>28</v>
      </c>
      <c r="D707" s="4" t="s">
        <v>2134</v>
      </c>
      <c r="E707" s="4">
        <v>3.125540939E9</v>
      </c>
      <c r="F707" s="4" t="s">
        <v>30</v>
      </c>
      <c r="G707" s="4" t="s">
        <v>35</v>
      </c>
      <c r="H707" s="14"/>
      <c r="I707" s="4" t="s">
        <v>32</v>
      </c>
      <c r="J707" s="14"/>
      <c r="K707" s="14"/>
      <c r="L707" s="14"/>
    </row>
    <row r="708" ht="14.25" customHeight="1">
      <c r="A708" s="1" t="s">
        <v>2135</v>
      </c>
      <c r="B708" s="2" t="s">
        <v>27</v>
      </c>
      <c r="C708" s="2" t="s">
        <v>28</v>
      </c>
      <c r="D708" s="2" t="s">
        <v>2136</v>
      </c>
      <c r="E708" s="3" t="s">
        <v>2137</v>
      </c>
      <c r="F708" s="4" t="s">
        <v>38</v>
      </c>
      <c r="G708" s="4" t="s">
        <v>159</v>
      </c>
      <c r="H708" s="14"/>
      <c r="I708" s="4" t="s">
        <v>561</v>
      </c>
      <c r="J708" s="6"/>
      <c r="K708" s="7"/>
      <c r="L708" s="8" t="str">
        <f>UPPER(G708)</f>
        <v>PIEDECUESTA</v>
      </c>
      <c r="O708" s="10"/>
    </row>
    <row r="709" ht="14.25" hidden="1" customHeight="1">
      <c r="A709" s="13" t="s">
        <v>2138</v>
      </c>
      <c r="B709" s="4" t="s">
        <v>27</v>
      </c>
      <c r="C709" s="4" t="s">
        <v>28</v>
      </c>
      <c r="D709" s="4" t="s">
        <v>2139</v>
      </c>
      <c r="E709" s="4">
        <v>3.112886292E9</v>
      </c>
      <c r="F709" s="4" t="s">
        <v>30</v>
      </c>
      <c r="G709" s="4" t="s">
        <v>35</v>
      </c>
      <c r="H709" s="14"/>
      <c r="I709" s="4" t="s">
        <v>32</v>
      </c>
      <c r="J709" s="14"/>
      <c r="K709" s="14"/>
      <c r="L709" s="14"/>
    </row>
    <row r="710" ht="14.25" customHeight="1">
      <c r="A710" s="1" t="s">
        <v>2140</v>
      </c>
      <c r="B710" s="2" t="s">
        <v>27</v>
      </c>
      <c r="C710" s="2" t="s">
        <v>28</v>
      </c>
      <c r="D710" s="2" t="s">
        <v>2141</v>
      </c>
      <c r="E710" s="3" t="s">
        <v>2142</v>
      </c>
      <c r="F710" s="4" t="s">
        <v>69</v>
      </c>
      <c r="G710" s="4" t="s">
        <v>69</v>
      </c>
      <c r="H710" s="4" t="s">
        <v>133</v>
      </c>
      <c r="I710" s="4" t="s">
        <v>51</v>
      </c>
      <c r="J710" s="6"/>
      <c r="K710" s="7"/>
      <c r="L710" s="8" t="str">
        <f t="shared" ref="L710:L715" si="85">UPPER(G710)</f>
        <v>BOGOTA</v>
      </c>
      <c r="O710" s="10"/>
    </row>
    <row r="711" ht="14.25" customHeight="1">
      <c r="A711" s="1" t="s">
        <v>2143</v>
      </c>
      <c r="B711" s="2" t="s">
        <v>27</v>
      </c>
      <c r="C711" s="2" t="s">
        <v>28</v>
      </c>
      <c r="D711" s="2" t="s">
        <v>2144</v>
      </c>
      <c r="E711" s="3" t="s">
        <v>2145</v>
      </c>
      <c r="F711" s="4" t="s">
        <v>38</v>
      </c>
      <c r="G711" s="4" t="s">
        <v>81</v>
      </c>
      <c r="H711" s="14"/>
      <c r="I711" s="4" t="s">
        <v>540</v>
      </c>
      <c r="J711" s="6"/>
      <c r="K711" s="7"/>
      <c r="L711" s="8" t="str">
        <f t="shared" si="85"/>
        <v>FLORIDABLANCA</v>
      </c>
      <c r="O711" s="10"/>
    </row>
    <row r="712" ht="14.25" customHeight="1">
      <c r="A712" s="1" t="s">
        <v>2146</v>
      </c>
      <c r="B712" s="2" t="s">
        <v>27</v>
      </c>
      <c r="C712" s="2" t="s">
        <v>28</v>
      </c>
      <c r="D712" s="2" t="s">
        <v>2147</v>
      </c>
      <c r="E712" s="3" t="s">
        <v>2148</v>
      </c>
      <c r="F712" s="4" t="s">
        <v>38</v>
      </c>
      <c r="G712" s="4" t="s">
        <v>39</v>
      </c>
      <c r="H712" s="14"/>
      <c r="I712" s="4" t="s">
        <v>164</v>
      </c>
      <c r="J712" s="6"/>
      <c r="K712" s="7"/>
      <c r="L712" s="8" t="str">
        <f t="shared" si="85"/>
        <v>BUCARAMANGA</v>
      </c>
      <c r="O712" s="10"/>
    </row>
    <row r="713" ht="14.25" customHeight="1">
      <c r="A713" s="1" t="s">
        <v>2149</v>
      </c>
      <c r="B713" s="2" t="s">
        <v>27</v>
      </c>
      <c r="C713" s="2" t="s">
        <v>28</v>
      </c>
      <c r="D713" s="2" t="s">
        <v>2150</v>
      </c>
      <c r="E713" s="3" t="s">
        <v>2151</v>
      </c>
      <c r="F713" s="4" t="s">
        <v>38</v>
      </c>
      <c r="G713" s="4" t="s">
        <v>39</v>
      </c>
      <c r="H713" s="4" t="s">
        <v>40</v>
      </c>
      <c r="I713" s="4" t="s">
        <v>561</v>
      </c>
      <c r="J713" s="6"/>
      <c r="K713" s="7"/>
      <c r="L713" s="8" t="str">
        <f t="shared" si="85"/>
        <v>BUCARAMANGA</v>
      </c>
      <c r="O713" s="10"/>
    </row>
    <row r="714" ht="14.25" customHeight="1">
      <c r="A714" s="1" t="s">
        <v>2152</v>
      </c>
      <c r="B714" s="2" t="s">
        <v>27</v>
      </c>
      <c r="C714" s="2" t="s">
        <v>28</v>
      </c>
      <c r="D714" s="2" t="s">
        <v>2153</v>
      </c>
      <c r="E714" s="3" t="s">
        <v>2154</v>
      </c>
      <c r="F714" s="4" t="s">
        <v>38</v>
      </c>
      <c r="G714" s="4" t="s">
        <v>39</v>
      </c>
      <c r="H714" s="4" t="s">
        <v>40</v>
      </c>
      <c r="I714" s="4" t="s">
        <v>561</v>
      </c>
      <c r="J714" s="6"/>
      <c r="K714" s="7"/>
      <c r="L714" s="8" t="str">
        <f t="shared" si="85"/>
        <v>BUCARAMANGA</v>
      </c>
      <c r="O714" s="10"/>
    </row>
    <row r="715" ht="14.25" customHeight="1">
      <c r="A715" s="1" t="s">
        <v>2155</v>
      </c>
      <c r="B715" s="2" t="s">
        <v>27</v>
      </c>
      <c r="C715" s="2" t="s">
        <v>28</v>
      </c>
      <c r="D715" s="2" t="s">
        <v>2156</v>
      </c>
      <c r="E715" s="3" t="s">
        <v>2157</v>
      </c>
      <c r="F715" s="4" t="s">
        <v>38</v>
      </c>
      <c r="G715" s="4" t="s">
        <v>39</v>
      </c>
      <c r="H715" s="14"/>
      <c r="I715" s="4" t="s">
        <v>76</v>
      </c>
      <c r="J715" s="6"/>
      <c r="K715" s="7"/>
      <c r="L715" s="8" t="str">
        <f t="shared" si="85"/>
        <v>BUCARAMANGA</v>
      </c>
      <c r="O715" s="10"/>
    </row>
    <row r="716" ht="14.25" hidden="1" customHeight="1">
      <c r="A716" s="13" t="s">
        <v>2158</v>
      </c>
      <c r="B716" s="4" t="s">
        <v>27</v>
      </c>
      <c r="C716" s="4" t="s">
        <v>28</v>
      </c>
      <c r="D716" s="4" t="s">
        <v>2159</v>
      </c>
      <c r="E716" s="4">
        <v>3.22292338E9</v>
      </c>
      <c r="F716" s="4" t="s">
        <v>30</v>
      </c>
      <c r="G716" s="4" t="s">
        <v>31</v>
      </c>
      <c r="H716" s="14"/>
      <c r="I716" s="4" t="s">
        <v>32</v>
      </c>
      <c r="J716" s="14"/>
      <c r="K716" s="14"/>
      <c r="L716" s="14"/>
    </row>
    <row r="717" ht="14.25" customHeight="1">
      <c r="A717" s="1" t="s">
        <v>2160</v>
      </c>
      <c r="B717" s="2" t="s">
        <v>27</v>
      </c>
      <c r="C717" s="2" t="s">
        <v>28</v>
      </c>
      <c r="D717" s="2" t="s">
        <v>2161</v>
      </c>
      <c r="E717" s="3" t="s">
        <v>2162</v>
      </c>
      <c r="F717" s="4" t="s">
        <v>38</v>
      </c>
      <c r="G717" s="4" t="s">
        <v>75</v>
      </c>
      <c r="H717" s="4" t="s">
        <v>2163</v>
      </c>
      <c r="I717" s="4" t="s">
        <v>561</v>
      </c>
      <c r="J717" s="6"/>
      <c r="K717" s="7"/>
      <c r="L717" s="8" t="str">
        <f t="shared" ref="L717:L718" si="86">UPPER(G717)</f>
        <v>GIRON</v>
      </c>
      <c r="O717" s="10"/>
    </row>
    <row r="718" ht="14.25" customHeight="1">
      <c r="A718" s="1" t="s">
        <v>2164</v>
      </c>
      <c r="B718" s="2" t="s">
        <v>27</v>
      </c>
      <c r="C718" s="2" t="s">
        <v>28</v>
      </c>
      <c r="D718" s="2" t="s">
        <v>2165</v>
      </c>
      <c r="E718" s="3" t="s">
        <v>2166</v>
      </c>
      <c r="F718" s="4" t="s">
        <v>69</v>
      </c>
      <c r="G718" s="4" t="s">
        <v>69</v>
      </c>
      <c r="H718" s="4" t="s">
        <v>133</v>
      </c>
      <c r="I718" s="4" t="s">
        <v>51</v>
      </c>
      <c r="J718" s="6"/>
      <c r="K718" s="7"/>
      <c r="L718" s="8" t="str">
        <f t="shared" si="86"/>
        <v>BOGOTA</v>
      </c>
      <c r="O718" s="10"/>
    </row>
    <row r="719" ht="14.25" hidden="1" customHeight="1">
      <c r="A719" s="13" t="s">
        <v>2167</v>
      </c>
      <c r="B719" s="4" t="s">
        <v>27</v>
      </c>
      <c r="C719" s="4" t="s">
        <v>28</v>
      </c>
      <c r="D719" s="4" t="s">
        <v>2168</v>
      </c>
      <c r="E719" s="4">
        <v>3.22292338E9</v>
      </c>
      <c r="F719" s="4" t="s">
        <v>30</v>
      </c>
      <c r="G719" s="4" t="s">
        <v>31</v>
      </c>
      <c r="H719" s="14"/>
      <c r="I719" s="4" t="s">
        <v>32</v>
      </c>
      <c r="J719" s="14"/>
      <c r="K719" s="14"/>
      <c r="L719" s="14"/>
    </row>
    <row r="720" ht="14.25" hidden="1" customHeight="1">
      <c r="A720" s="13" t="s">
        <v>2169</v>
      </c>
      <c r="B720" s="4" t="s">
        <v>27</v>
      </c>
      <c r="C720" s="4" t="s">
        <v>28</v>
      </c>
      <c r="D720" s="4" t="s">
        <v>2170</v>
      </c>
      <c r="E720" s="4">
        <v>3.22292228E9</v>
      </c>
      <c r="F720" s="4" t="s">
        <v>30</v>
      </c>
      <c r="G720" s="4" t="s">
        <v>31</v>
      </c>
      <c r="H720" s="14"/>
      <c r="I720" s="4" t="s">
        <v>32</v>
      </c>
      <c r="J720" s="14"/>
      <c r="K720" s="14"/>
      <c r="L720" s="14"/>
    </row>
    <row r="721" ht="14.25" customHeight="1">
      <c r="A721" s="1" t="s">
        <v>2171</v>
      </c>
      <c r="B721" s="2" t="s">
        <v>27</v>
      </c>
      <c r="C721" s="2" t="s">
        <v>28</v>
      </c>
      <c r="D721" s="2" t="s">
        <v>2172</v>
      </c>
      <c r="E721" s="3" t="s">
        <v>2173</v>
      </c>
      <c r="F721" s="4" t="s">
        <v>38</v>
      </c>
      <c r="G721" s="4" t="s">
        <v>39</v>
      </c>
      <c r="H721" s="4" t="s">
        <v>118</v>
      </c>
      <c r="I721" s="4" t="s">
        <v>561</v>
      </c>
      <c r="J721" s="6"/>
      <c r="K721" s="7"/>
      <c r="L721" s="8" t="str">
        <f t="shared" ref="L721:L728" si="87">UPPER(G721)</f>
        <v>BUCARAMANGA</v>
      </c>
      <c r="O721" s="10"/>
    </row>
    <row r="722" ht="14.25" customHeight="1">
      <c r="A722" s="1" t="s">
        <v>2174</v>
      </c>
      <c r="B722" s="2" t="s">
        <v>27</v>
      </c>
      <c r="C722" s="2" t="s">
        <v>28</v>
      </c>
      <c r="D722" s="2" t="s">
        <v>2175</v>
      </c>
      <c r="E722" s="3" t="s">
        <v>2176</v>
      </c>
      <c r="F722" s="4" t="s">
        <v>38</v>
      </c>
      <c r="G722" s="4" t="s">
        <v>81</v>
      </c>
      <c r="H722" s="4" t="s">
        <v>2177</v>
      </c>
      <c r="I722" s="4" t="s">
        <v>561</v>
      </c>
      <c r="J722" s="6"/>
      <c r="K722" s="7"/>
      <c r="L722" s="8" t="str">
        <f t="shared" si="87"/>
        <v>FLORIDABLANCA</v>
      </c>
      <c r="O722" s="10"/>
    </row>
    <row r="723" ht="14.25" customHeight="1">
      <c r="A723" s="1" t="s">
        <v>2178</v>
      </c>
      <c r="B723" s="2" t="s">
        <v>27</v>
      </c>
      <c r="C723" s="2" t="s">
        <v>28</v>
      </c>
      <c r="D723" s="2" t="s">
        <v>2179</v>
      </c>
      <c r="E723" s="3" t="s">
        <v>2180</v>
      </c>
      <c r="F723" s="4" t="s">
        <v>69</v>
      </c>
      <c r="G723" s="4" t="s">
        <v>69</v>
      </c>
      <c r="H723" s="14"/>
      <c r="I723" s="4" t="s">
        <v>51</v>
      </c>
      <c r="J723" s="6"/>
      <c r="K723" s="7"/>
      <c r="L723" s="8" t="str">
        <f t="shared" si="87"/>
        <v>BOGOTA</v>
      </c>
      <c r="O723" s="10"/>
    </row>
    <row r="724" ht="14.25" customHeight="1">
      <c r="A724" s="1" t="s">
        <v>2181</v>
      </c>
      <c r="B724" s="2" t="s">
        <v>27</v>
      </c>
      <c r="C724" s="2" t="s">
        <v>28</v>
      </c>
      <c r="D724" s="2" t="s">
        <v>2182</v>
      </c>
      <c r="E724" s="3" t="s">
        <v>2183</v>
      </c>
      <c r="F724" s="4" t="s">
        <v>38</v>
      </c>
      <c r="G724" s="4" t="s">
        <v>39</v>
      </c>
      <c r="H724" s="14"/>
      <c r="I724" s="4" t="s">
        <v>846</v>
      </c>
      <c r="J724" s="6"/>
      <c r="K724" s="7"/>
      <c r="L724" s="8" t="str">
        <f t="shared" si="87"/>
        <v>BUCARAMANGA</v>
      </c>
      <c r="O724" s="10"/>
    </row>
    <row r="725" ht="14.25" customHeight="1">
      <c r="A725" s="1" t="s">
        <v>2184</v>
      </c>
      <c r="B725" s="2" t="s">
        <v>27</v>
      </c>
      <c r="C725" s="2" t="s">
        <v>28</v>
      </c>
      <c r="D725" s="2" t="s">
        <v>2185</v>
      </c>
      <c r="E725" s="3" t="s">
        <v>2186</v>
      </c>
      <c r="F725" s="4" t="s">
        <v>38</v>
      </c>
      <c r="G725" s="4" t="s">
        <v>39</v>
      </c>
      <c r="H725" s="4" t="s">
        <v>140</v>
      </c>
      <c r="I725" s="4" t="s">
        <v>846</v>
      </c>
      <c r="J725" s="6"/>
      <c r="K725" s="7"/>
      <c r="L725" s="8" t="str">
        <f t="shared" si="87"/>
        <v>BUCARAMANGA</v>
      </c>
      <c r="O725" s="10"/>
    </row>
    <row r="726" ht="14.25" customHeight="1">
      <c r="A726" s="1" t="s">
        <v>2187</v>
      </c>
      <c r="B726" s="2" t="s">
        <v>27</v>
      </c>
      <c r="C726" s="2" t="s">
        <v>28</v>
      </c>
      <c r="D726" s="2" t="s">
        <v>2188</v>
      </c>
      <c r="E726" s="3" t="s">
        <v>2189</v>
      </c>
      <c r="F726" s="4" t="s">
        <v>38</v>
      </c>
      <c r="G726" s="4" t="s">
        <v>113</v>
      </c>
      <c r="H726" s="14"/>
      <c r="I726" s="4" t="s">
        <v>419</v>
      </c>
      <c r="J726" s="6" t="s">
        <v>467</v>
      </c>
      <c r="K726" s="7">
        <v>1.0</v>
      </c>
      <c r="L726" s="8" t="str">
        <f t="shared" si="87"/>
        <v>BARRANCABERMEJA</v>
      </c>
      <c r="O726" s="10"/>
    </row>
    <row r="727" ht="14.25" customHeight="1">
      <c r="A727" s="1" t="s">
        <v>2190</v>
      </c>
      <c r="B727" s="2" t="s">
        <v>27</v>
      </c>
      <c r="C727" s="2" t="s">
        <v>28</v>
      </c>
      <c r="D727" s="2" t="s">
        <v>2191</v>
      </c>
      <c r="E727" s="3" t="s">
        <v>2192</v>
      </c>
      <c r="F727" s="4" t="s">
        <v>38</v>
      </c>
      <c r="G727" s="4" t="s">
        <v>170</v>
      </c>
      <c r="H727" s="14"/>
      <c r="I727" s="4" t="s">
        <v>164</v>
      </c>
      <c r="J727" s="6"/>
      <c r="K727" s="7"/>
      <c r="L727" s="8" t="str">
        <f t="shared" si="87"/>
        <v>GUADALUPE</v>
      </c>
      <c r="O727" s="10"/>
    </row>
    <row r="728" ht="14.25" customHeight="1">
      <c r="A728" s="1" t="s">
        <v>2193</v>
      </c>
      <c r="B728" s="2" t="s">
        <v>27</v>
      </c>
      <c r="C728" s="2" t="s">
        <v>28</v>
      </c>
      <c r="D728" s="2" t="s">
        <v>2194</v>
      </c>
      <c r="E728" s="3" t="s">
        <v>2195</v>
      </c>
      <c r="F728" s="4" t="s">
        <v>38</v>
      </c>
      <c r="G728" s="4" t="s">
        <v>75</v>
      </c>
      <c r="H728" s="4" t="s">
        <v>2163</v>
      </c>
      <c r="I728" s="4" t="s">
        <v>561</v>
      </c>
      <c r="J728" s="6"/>
      <c r="K728" s="7"/>
      <c r="L728" s="8" t="str">
        <f t="shared" si="87"/>
        <v>GIRON</v>
      </c>
      <c r="O728" s="10"/>
    </row>
    <row r="729" ht="14.25" hidden="1" customHeight="1">
      <c r="A729" s="13" t="s">
        <v>2196</v>
      </c>
      <c r="B729" s="4" t="s">
        <v>27</v>
      </c>
      <c r="C729" s="4" t="s">
        <v>28</v>
      </c>
      <c r="D729" s="4" t="s">
        <v>2197</v>
      </c>
      <c r="E729" s="4">
        <v>3.22292338E9</v>
      </c>
      <c r="F729" s="4" t="s">
        <v>30</v>
      </c>
      <c r="G729" s="4" t="s">
        <v>31</v>
      </c>
      <c r="H729" s="14"/>
      <c r="I729" s="4" t="s">
        <v>32</v>
      </c>
      <c r="J729" s="14"/>
      <c r="K729" s="14"/>
      <c r="L729" s="14"/>
    </row>
    <row r="730" ht="14.25" customHeight="1">
      <c r="A730" s="1" t="s">
        <v>2198</v>
      </c>
      <c r="B730" s="2" t="s">
        <v>27</v>
      </c>
      <c r="C730" s="2" t="s">
        <v>551</v>
      </c>
      <c r="D730" s="2" t="s">
        <v>2199</v>
      </c>
      <c r="E730" s="3" t="s">
        <v>2200</v>
      </c>
      <c r="F730" s="4" t="s">
        <v>38</v>
      </c>
      <c r="G730" s="4" t="s">
        <v>81</v>
      </c>
      <c r="H730" s="14"/>
      <c r="I730" s="4" t="s">
        <v>164</v>
      </c>
      <c r="J730" s="6"/>
      <c r="K730" s="7"/>
      <c r="L730" s="8" t="str">
        <f t="shared" ref="L730:L734" si="88">UPPER(G730)</f>
        <v>FLORIDABLANCA</v>
      </c>
      <c r="O730" s="10"/>
    </row>
    <row r="731" ht="14.25" customHeight="1">
      <c r="A731" s="1" t="s">
        <v>2201</v>
      </c>
      <c r="B731" s="2" t="s">
        <v>27</v>
      </c>
      <c r="C731" s="2" t="s">
        <v>28</v>
      </c>
      <c r="D731" s="2" t="s">
        <v>2202</v>
      </c>
      <c r="E731" s="3" t="s">
        <v>2203</v>
      </c>
      <c r="F731" s="4" t="s">
        <v>38</v>
      </c>
      <c r="G731" s="4" t="s">
        <v>39</v>
      </c>
      <c r="H731" s="14"/>
      <c r="I731" s="4" t="s">
        <v>164</v>
      </c>
      <c r="J731" s="6"/>
      <c r="K731" s="7"/>
      <c r="L731" s="8" t="str">
        <f t="shared" si="88"/>
        <v>BUCARAMANGA</v>
      </c>
      <c r="O731" s="10"/>
    </row>
    <row r="732" ht="14.25" customHeight="1">
      <c r="A732" s="1" t="s">
        <v>2204</v>
      </c>
      <c r="B732" s="2" t="s">
        <v>27</v>
      </c>
      <c r="C732" s="2" t="s">
        <v>28</v>
      </c>
      <c r="D732" s="2" t="s">
        <v>2205</v>
      </c>
      <c r="E732" s="3" t="s">
        <v>2206</v>
      </c>
      <c r="F732" s="4" t="s">
        <v>38</v>
      </c>
      <c r="G732" s="4" t="s">
        <v>39</v>
      </c>
      <c r="H732" s="4" t="s">
        <v>2207</v>
      </c>
      <c r="I732" s="4" t="s">
        <v>846</v>
      </c>
      <c r="J732" s="6"/>
      <c r="K732" s="7"/>
      <c r="L732" s="8" t="str">
        <f t="shared" si="88"/>
        <v>BUCARAMANGA</v>
      </c>
      <c r="O732" s="10"/>
    </row>
    <row r="733" ht="14.25" customHeight="1">
      <c r="A733" s="1" t="s">
        <v>2208</v>
      </c>
      <c r="B733" s="2" t="s">
        <v>27</v>
      </c>
      <c r="C733" s="2" t="s">
        <v>28</v>
      </c>
      <c r="D733" s="2" t="s">
        <v>2209</v>
      </c>
      <c r="E733" s="3" t="s">
        <v>2210</v>
      </c>
      <c r="F733" s="4" t="s">
        <v>38</v>
      </c>
      <c r="G733" s="4" t="s">
        <v>113</v>
      </c>
      <c r="H733" s="14"/>
      <c r="I733" s="4" t="s">
        <v>182</v>
      </c>
      <c r="J733" s="6"/>
      <c r="K733" s="7"/>
      <c r="L733" s="8" t="str">
        <f t="shared" si="88"/>
        <v>BARRANCABERMEJA</v>
      </c>
      <c r="O733" s="10"/>
    </row>
    <row r="734" ht="14.25" customHeight="1">
      <c r="A734" s="1" t="s">
        <v>2211</v>
      </c>
      <c r="B734" s="2" t="s">
        <v>27</v>
      </c>
      <c r="C734" s="2" t="s">
        <v>28</v>
      </c>
      <c r="D734" s="2" t="s">
        <v>2212</v>
      </c>
      <c r="E734" s="3" t="s">
        <v>2213</v>
      </c>
      <c r="F734" s="4" t="s">
        <v>38</v>
      </c>
      <c r="G734" s="4" t="s">
        <v>39</v>
      </c>
      <c r="H734" s="14"/>
      <c r="I734" s="4" t="s">
        <v>76</v>
      </c>
      <c r="J734" s="6"/>
      <c r="K734" s="7"/>
      <c r="L734" s="8" t="str">
        <f t="shared" si="88"/>
        <v>BUCARAMANGA</v>
      </c>
      <c r="O734" s="10"/>
    </row>
    <row r="735" ht="14.25" hidden="1" customHeight="1">
      <c r="A735" s="13" t="s">
        <v>2214</v>
      </c>
      <c r="B735" s="4" t="s">
        <v>27</v>
      </c>
      <c r="C735" s="4" t="s">
        <v>28</v>
      </c>
      <c r="D735" s="4" t="s">
        <v>2215</v>
      </c>
      <c r="E735" s="4">
        <v>3.22292338E9</v>
      </c>
      <c r="F735" s="4" t="s">
        <v>30</v>
      </c>
      <c r="G735" s="4" t="s">
        <v>31</v>
      </c>
      <c r="H735" s="14"/>
      <c r="I735" s="4" t="s">
        <v>32</v>
      </c>
      <c r="J735" s="14"/>
      <c r="K735" s="14"/>
      <c r="L735" s="14"/>
    </row>
    <row r="736" ht="14.25" hidden="1" customHeight="1">
      <c r="A736" s="13" t="s">
        <v>2216</v>
      </c>
      <c r="B736" s="4" t="s">
        <v>27</v>
      </c>
      <c r="C736" s="4" t="s">
        <v>28</v>
      </c>
      <c r="D736" s="4" t="s">
        <v>2217</v>
      </c>
      <c r="E736" s="4">
        <v>3.118713141E9</v>
      </c>
      <c r="F736" s="4" t="s">
        <v>30</v>
      </c>
      <c r="G736" s="4" t="s">
        <v>35</v>
      </c>
      <c r="H736" s="14"/>
      <c r="I736" s="4" t="s">
        <v>32</v>
      </c>
      <c r="J736" s="14"/>
      <c r="K736" s="14"/>
      <c r="L736" s="14"/>
    </row>
    <row r="737" ht="14.25" customHeight="1">
      <c r="A737" s="1" t="s">
        <v>2218</v>
      </c>
      <c r="B737" s="2" t="s">
        <v>27</v>
      </c>
      <c r="C737" s="2" t="s">
        <v>28</v>
      </c>
      <c r="D737" s="2" t="s">
        <v>2219</v>
      </c>
      <c r="E737" s="3" t="s">
        <v>2220</v>
      </c>
      <c r="F737" s="4" t="s">
        <v>38</v>
      </c>
      <c r="G737" s="4" t="s">
        <v>113</v>
      </c>
      <c r="H737" s="4" t="s">
        <v>357</v>
      </c>
      <c r="I737" s="4" t="s">
        <v>540</v>
      </c>
      <c r="J737" s="6"/>
      <c r="K737" s="7"/>
      <c r="L737" s="8" t="str">
        <f t="shared" ref="L737:L738" si="89">UPPER(G737)</f>
        <v>BARRANCABERMEJA</v>
      </c>
      <c r="O737" s="10"/>
    </row>
    <row r="738" ht="14.25" customHeight="1">
      <c r="A738" s="1" t="s">
        <v>2221</v>
      </c>
      <c r="B738" s="2" t="s">
        <v>27</v>
      </c>
      <c r="C738" s="2" t="s">
        <v>28</v>
      </c>
      <c r="D738" s="2" t="s">
        <v>2222</v>
      </c>
      <c r="E738" s="3" t="s">
        <v>2223</v>
      </c>
      <c r="F738" s="4" t="s">
        <v>38</v>
      </c>
      <c r="G738" s="4" t="s">
        <v>170</v>
      </c>
      <c r="H738" s="14"/>
      <c r="I738" s="4" t="s">
        <v>164</v>
      </c>
      <c r="J738" s="6"/>
      <c r="K738" s="7"/>
      <c r="L738" s="8" t="str">
        <f t="shared" si="89"/>
        <v>GUADALUPE</v>
      </c>
      <c r="O738" s="10"/>
    </row>
    <row r="739" ht="14.25" hidden="1" customHeight="1">
      <c r="A739" s="13" t="s">
        <v>2224</v>
      </c>
      <c r="B739" s="4" t="s">
        <v>27</v>
      </c>
      <c r="C739" s="4" t="s">
        <v>28</v>
      </c>
      <c r="D739" s="4" t="s">
        <v>2225</v>
      </c>
      <c r="E739" s="4">
        <v>3.105926292E9</v>
      </c>
      <c r="F739" s="4" t="s">
        <v>30</v>
      </c>
      <c r="G739" s="4" t="s">
        <v>35</v>
      </c>
      <c r="H739" s="14"/>
      <c r="I739" s="4" t="s">
        <v>32</v>
      </c>
      <c r="J739" s="14"/>
      <c r="K739" s="14"/>
      <c r="L739" s="14"/>
    </row>
    <row r="740" ht="14.25" customHeight="1">
      <c r="A740" s="1" t="s">
        <v>2226</v>
      </c>
      <c r="B740" s="2" t="s">
        <v>27</v>
      </c>
      <c r="C740" s="2" t="s">
        <v>28</v>
      </c>
      <c r="D740" s="2" t="s">
        <v>2227</v>
      </c>
      <c r="E740" s="3" t="s">
        <v>2228</v>
      </c>
      <c r="F740" s="4" t="s">
        <v>38</v>
      </c>
      <c r="G740" s="4" t="s">
        <v>113</v>
      </c>
      <c r="H740" s="4" t="s">
        <v>2229</v>
      </c>
      <c r="I740" s="4" t="s">
        <v>540</v>
      </c>
      <c r="J740" s="6"/>
      <c r="K740" s="7"/>
      <c r="L740" s="8" t="str">
        <f>UPPER(G740)</f>
        <v>BARRANCABERMEJA</v>
      </c>
      <c r="O740" s="10"/>
    </row>
    <row r="741" ht="14.25" hidden="1" customHeight="1">
      <c r="A741" s="13" t="s">
        <v>2230</v>
      </c>
      <c r="B741" s="4" t="s">
        <v>27</v>
      </c>
      <c r="C741" s="4" t="s">
        <v>28</v>
      </c>
      <c r="D741" s="4" t="s">
        <v>2231</v>
      </c>
      <c r="E741" s="4">
        <v>3.12591924E9</v>
      </c>
      <c r="F741" s="4" t="s">
        <v>30</v>
      </c>
      <c r="G741" s="4" t="s">
        <v>35</v>
      </c>
      <c r="H741" s="14"/>
      <c r="I741" s="4" t="s">
        <v>32</v>
      </c>
      <c r="J741" s="14"/>
      <c r="K741" s="14"/>
      <c r="L741" s="14"/>
    </row>
    <row r="742" ht="14.25" hidden="1" customHeight="1">
      <c r="A742" s="13" t="s">
        <v>2232</v>
      </c>
      <c r="B742" s="4" t="s">
        <v>27</v>
      </c>
      <c r="C742" s="4" t="s">
        <v>28</v>
      </c>
      <c r="D742" s="4" t="s">
        <v>2233</v>
      </c>
      <c r="E742" s="4">
        <v>3.118713141E9</v>
      </c>
      <c r="F742" s="4" t="s">
        <v>30</v>
      </c>
      <c r="G742" s="4" t="s">
        <v>35</v>
      </c>
      <c r="H742" s="14"/>
      <c r="I742" s="4" t="s">
        <v>32</v>
      </c>
      <c r="J742" s="14"/>
      <c r="K742" s="14"/>
      <c r="L742" s="14"/>
    </row>
    <row r="743" ht="14.25" hidden="1" customHeight="1">
      <c r="A743" s="13" t="s">
        <v>2234</v>
      </c>
      <c r="B743" s="4" t="s">
        <v>27</v>
      </c>
      <c r="C743" s="4" t="s">
        <v>28</v>
      </c>
      <c r="D743" s="4" t="s">
        <v>2235</v>
      </c>
      <c r="E743" s="4">
        <v>3.228791251E9</v>
      </c>
      <c r="F743" s="4" t="s">
        <v>30</v>
      </c>
      <c r="G743" s="4" t="s">
        <v>35</v>
      </c>
      <c r="H743" s="14"/>
      <c r="I743" s="4" t="s">
        <v>32</v>
      </c>
      <c r="J743" s="14"/>
      <c r="K743" s="14"/>
      <c r="L743" s="14"/>
    </row>
    <row r="744" ht="14.25" hidden="1" customHeight="1">
      <c r="A744" s="13" t="s">
        <v>2236</v>
      </c>
      <c r="B744" s="4" t="s">
        <v>27</v>
      </c>
      <c r="C744" s="4" t="s">
        <v>28</v>
      </c>
      <c r="D744" s="4" t="s">
        <v>2237</v>
      </c>
      <c r="E744" s="4">
        <v>3.22731914E9</v>
      </c>
      <c r="F744" s="4" t="s">
        <v>30</v>
      </c>
      <c r="G744" s="4" t="s">
        <v>35</v>
      </c>
      <c r="H744" s="14"/>
      <c r="I744" s="4" t="s">
        <v>32</v>
      </c>
      <c r="J744" s="14"/>
      <c r="K744" s="14"/>
      <c r="L744" s="14"/>
    </row>
    <row r="745" ht="14.25" customHeight="1">
      <c r="A745" s="1" t="s">
        <v>2238</v>
      </c>
      <c r="B745" s="2" t="s">
        <v>27</v>
      </c>
      <c r="C745" s="2" t="s">
        <v>28</v>
      </c>
      <c r="D745" s="2" t="s">
        <v>2239</v>
      </c>
      <c r="E745" s="3" t="s">
        <v>2240</v>
      </c>
      <c r="F745" s="4" t="s">
        <v>69</v>
      </c>
      <c r="G745" s="4" t="s">
        <v>69</v>
      </c>
      <c r="H745" s="4" t="s">
        <v>2241</v>
      </c>
      <c r="I745" s="4" t="s">
        <v>182</v>
      </c>
      <c r="J745" s="6"/>
      <c r="K745" s="7"/>
      <c r="L745" s="8" t="str">
        <f t="shared" ref="L745:L747" si="90">UPPER(G745)</f>
        <v>BOGOTA</v>
      </c>
      <c r="O745" s="10"/>
    </row>
    <row r="746" ht="14.25" customHeight="1">
      <c r="A746" s="1" t="s">
        <v>2242</v>
      </c>
      <c r="B746" s="2" t="s">
        <v>27</v>
      </c>
      <c r="C746" s="2" t="s">
        <v>28</v>
      </c>
      <c r="D746" s="2" t="s">
        <v>2243</v>
      </c>
      <c r="E746" s="3" t="s">
        <v>2244</v>
      </c>
      <c r="F746" s="4" t="s">
        <v>38</v>
      </c>
      <c r="G746" s="4" t="s">
        <v>39</v>
      </c>
      <c r="H746" s="4" t="s">
        <v>40</v>
      </c>
      <c r="I746" s="4" t="s">
        <v>561</v>
      </c>
      <c r="J746" s="6"/>
      <c r="K746" s="7"/>
      <c r="L746" s="8" t="str">
        <f t="shared" si="90"/>
        <v>BUCARAMANGA</v>
      </c>
      <c r="O746" s="10"/>
    </row>
    <row r="747" ht="14.25" customHeight="1">
      <c r="A747" s="1" t="s">
        <v>2245</v>
      </c>
      <c r="B747" s="2" t="s">
        <v>27</v>
      </c>
      <c r="C747" s="2" t="s">
        <v>28</v>
      </c>
      <c r="D747" s="2" t="s">
        <v>2246</v>
      </c>
      <c r="E747" s="3" t="s">
        <v>2247</v>
      </c>
      <c r="F747" s="4" t="s">
        <v>38</v>
      </c>
      <c r="G747" s="4" t="s">
        <v>113</v>
      </c>
      <c r="H747" s="4" t="s">
        <v>357</v>
      </c>
      <c r="I747" s="4" t="s">
        <v>358</v>
      </c>
      <c r="J747" s="6"/>
      <c r="K747" s="7"/>
      <c r="L747" s="8" t="str">
        <f t="shared" si="90"/>
        <v>BARRANCABERMEJA</v>
      </c>
      <c r="O747" s="10"/>
    </row>
    <row r="748" ht="14.25" hidden="1" customHeight="1">
      <c r="A748" s="13" t="s">
        <v>2248</v>
      </c>
      <c r="B748" s="4" t="s">
        <v>27</v>
      </c>
      <c r="C748" s="4" t="s">
        <v>28</v>
      </c>
      <c r="D748" s="4" t="s">
        <v>2249</v>
      </c>
      <c r="E748" s="4">
        <v>3.225958571E9</v>
      </c>
      <c r="F748" s="4" t="s">
        <v>30</v>
      </c>
      <c r="G748" s="4" t="s">
        <v>35</v>
      </c>
      <c r="H748" s="14"/>
      <c r="I748" s="4" t="s">
        <v>32</v>
      </c>
      <c r="J748" s="14"/>
      <c r="K748" s="14"/>
      <c r="L748" s="14"/>
    </row>
    <row r="749" ht="14.25" customHeight="1">
      <c r="A749" s="1" t="s">
        <v>2250</v>
      </c>
      <c r="B749" s="2" t="s">
        <v>27</v>
      </c>
      <c r="C749" s="2" t="s">
        <v>28</v>
      </c>
      <c r="D749" s="2" t="s">
        <v>2251</v>
      </c>
      <c r="E749" s="3" t="s">
        <v>2252</v>
      </c>
      <c r="F749" s="4" t="s">
        <v>38</v>
      </c>
      <c r="G749" s="4" t="s">
        <v>39</v>
      </c>
      <c r="H749" s="4" t="s">
        <v>229</v>
      </c>
      <c r="I749" s="4" t="s">
        <v>76</v>
      </c>
      <c r="J749" s="6"/>
      <c r="K749" s="7"/>
      <c r="L749" s="8" t="str">
        <f t="shared" ref="L749:L755" si="91">UPPER(G749)</f>
        <v>BUCARAMANGA</v>
      </c>
      <c r="O749" s="10"/>
    </row>
    <row r="750" ht="14.25" customHeight="1">
      <c r="A750" s="1" t="s">
        <v>2253</v>
      </c>
      <c r="B750" s="2" t="s">
        <v>27</v>
      </c>
      <c r="C750" s="2" t="s">
        <v>28</v>
      </c>
      <c r="D750" s="2" t="s">
        <v>2254</v>
      </c>
      <c r="E750" s="3" t="s">
        <v>2255</v>
      </c>
      <c r="F750" s="4" t="s">
        <v>38</v>
      </c>
      <c r="G750" s="4" t="s">
        <v>39</v>
      </c>
      <c r="H750" s="4" t="s">
        <v>2256</v>
      </c>
      <c r="I750" s="4" t="s">
        <v>561</v>
      </c>
      <c r="J750" s="6"/>
      <c r="K750" s="7"/>
      <c r="L750" s="8" t="str">
        <f t="shared" si="91"/>
        <v>BUCARAMANGA</v>
      </c>
      <c r="O750" s="10"/>
    </row>
    <row r="751" ht="14.25" customHeight="1">
      <c r="A751" s="1" t="s">
        <v>2257</v>
      </c>
      <c r="B751" s="2" t="s">
        <v>27</v>
      </c>
      <c r="C751" s="2" t="s">
        <v>28</v>
      </c>
      <c r="D751" s="2" t="s">
        <v>2258</v>
      </c>
      <c r="E751" s="3" t="s">
        <v>2259</v>
      </c>
      <c r="F751" s="4" t="s">
        <v>38</v>
      </c>
      <c r="G751" s="4" t="s">
        <v>81</v>
      </c>
      <c r="H751" s="14"/>
      <c r="I751" s="4" t="s">
        <v>164</v>
      </c>
      <c r="J751" s="6"/>
      <c r="K751" s="7"/>
      <c r="L751" s="8" t="str">
        <f t="shared" si="91"/>
        <v>FLORIDABLANCA</v>
      </c>
      <c r="O751" s="10"/>
    </row>
    <row r="752" ht="14.25" customHeight="1">
      <c r="A752" s="1" t="s">
        <v>2260</v>
      </c>
      <c r="B752" s="2" t="s">
        <v>27</v>
      </c>
      <c r="C752" s="2" t="s">
        <v>28</v>
      </c>
      <c r="D752" s="2" t="s">
        <v>2261</v>
      </c>
      <c r="E752" s="3" t="s">
        <v>2262</v>
      </c>
      <c r="F752" s="4" t="s">
        <v>38</v>
      </c>
      <c r="G752" s="4" t="s">
        <v>81</v>
      </c>
      <c r="H752" s="14"/>
      <c r="I752" s="4" t="s">
        <v>164</v>
      </c>
      <c r="J752" s="6"/>
      <c r="K752" s="7"/>
      <c r="L752" s="8" t="str">
        <f t="shared" si="91"/>
        <v>FLORIDABLANCA</v>
      </c>
      <c r="O752" s="10"/>
    </row>
    <row r="753" ht="14.25" customHeight="1">
      <c r="A753" s="1" t="s">
        <v>2263</v>
      </c>
      <c r="B753" s="2" t="s">
        <v>27</v>
      </c>
      <c r="C753" s="2" t="s">
        <v>28</v>
      </c>
      <c r="D753" s="2" t="s">
        <v>2264</v>
      </c>
      <c r="E753" s="3" t="s">
        <v>2265</v>
      </c>
      <c r="F753" s="4" t="s">
        <v>38</v>
      </c>
      <c r="G753" s="4" t="s">
        <v>81</v>
      </c>
      <c r="H753" s="14"/>
      <c r="I753" s="4" t="s">
        <v>164</v>
      </c>
      <c r="J753" s="6"/>
      <c r="K753" s="7"/>
      <c r="L753" s="8" t="str">
        <f t="shared" si="91"/>
        <v>FLORIDABLANCA</v>
      </c>
      <c r="O753" s="10"/>
    </row>
    <row r="754" ht="14.25" customHeight="1">
      <c r="A754" s="1" t="s">
        <v>2266</v>
      </c>
      <c r="B754" s="2" t="s">
        <v>27</v>
      </c>
      <c r="C754" s="2" t="s">
        <v>28</v>
      </c>
      <c r="D754" s="2" t="s">
        <v>2267</v>
      </c>
      <c r="E754" s="3" t="s">
        <v>2268</v>
      </c>
      <c r="F754" s="4" t="s">
        <v>38</v>
      </c>
      <c r="G754" s="4" t="s">
        <v>39</v>
      </c>
      <c r="H754" s="4" t="s">
        <v>2269</v>
      </c>
      <c r="I754" s="4" t="s">
        <v>76</v>
      </c>
      <c r="J754" s="6"/>
      <c r="K754" s="7"/>
      <c r="L754" s="8" t="str">
        <f t="shared" si="91"/>
        <v>BUCARAMANGA</v>
      </c>
      <c r="O754" s="10"/>
    </row>
    <row r="755" ht="14.25" customHeight="1">
      <c r="A755" s="1" t="s">
        <v>2270</v>
      </c>
      <c r="B755" s="2" t="s">
        <v>27</v>
      </c>
      <c r="C755" s="2" t="s">
        <v>28</v>
      </c>
      <c r="D755" s="2" t="s">
        <v>2271</v>
      </c>
      <c r="E755" s="3" t="s">
        <v>2272</v>
      </c>
      <c r="F755" s="4" t="s">
        <v>38</v>
      </c>
      <c r="G755" s="4" t="s">
        <v>39</v>
      </c>
      <c r="H755" s="4" t="s">
        <v>40</v>
      </c>
      <c r="I755" s="4" t="s">
        <v>76</v>
      </c>
      <c r="J755" s="6"/>
      <c r="K755" s="7"/>
      <c r="L755" s="8" t="str">
        <f t="shared" si="91"/>
        <v>BUCARAMANGA</v>
      </c>
      <c r="O755" s="10"/>
    </row>
    <row r="756" ht="14.25" hidden="1" customHeight="1">
      <c r="A756" s="13" t="s">
        <v>2273</v>
      </c>
      <c r="B756" s="4" t="s">
        <v>27</v>
      </c>
      <c r="C756" s="4" t="s">
        <v>28</v>
      </c>
      <c r="D756" s="4" t="s">
        <v>2274</v>
      </c>
      <c r="E756" s="4">
        <v>3.118713141E9</v>
      </c>
      <c r="F756" s="4" t="s">
        <v>30</v>
      </c>
      <c r="G756" s="4" t="s">
        <v>31</v>
      </c>
      <c r="H756" s="14"/>
      <c r="I756" s="4" t="s">
        <v>32</v>
      </c>
      <c r="J756" s="14"/>
      <c r="K756" s="14"/>
      <c r="L756" s="14"/>
    </row>
    <row r="757" ht="14.25" customHeight="1">
      <c r="A757" s="1" t="s">
        <v>2275</v>
      </c>
      <c r="B757" s="2" t="s">
        <v>27</v>
      </c>
      <c r="C757" s="2" t="s">
        <v>28</v>
      </c>
      <c r="D757" s="2" t="s">
        <v>2276</v>
      </c>
      <c r="E757" s="3" t="s">
        <v>2277</v>
      </c>
      <c r="F757" s="4" t="s">
        <v>38</v>
      </c>
      <c r="G757" s="4" t="s">
        <v>81</v>
      </c>
      <c r="H757" s="14"/>
      <c r="I757" s="4" t="s">
        <v>51</v>
      </c>
      <c r="J757" s="6"/>
      <c r="K757" s="7"/>
      <c r="L757" s="8" t="str">
        <f t="shared" ref="L757:L758" si="92">UPPER(G757)</f>
        <v>FLORIDABLANCA</v>
      </c>
      <c r="O757" s="10"/>
    </row>
    <row r="758" ht="14.25" customHeight="1">
      <c r="A758" s="1" t="s">
        <v>2278</v>
      </c>
      <c r="B758" s="2" t="s">
        <v>27</v>
      </c>
      <c r="C758" s="2" t="s">
        <v>28</v>
      </c>
      <c r="D758" s="2" t="s">
        <v>2279</v>
      </c>
      <c r="E758" s="3" t="s">
        <v>153</v>
      </c>
      <c r="F758" s="4" t="s">
        <v>69</v>
      </c>
      <c r="G758" s="4" t="s">
        <v>69</v>
      </c>
      <c r="H758" s="4" t="s">
        <v>133</v>
      </c>
      <c r="I758" s="4" t="s">
        <v>51</v>
      </c>
      <c r="J758" s="6"/>
      <c r="K758" s="7"/>
      <c r="L758" s="8" t="str">
        <f t="shared" si="92"/>
        <v>BOGOTA</v>
      </c>
      <c r="O758" s="10"/>
    </row>
    <row r="759" ht="14.25" hidden="1" customHeight="1">
      <c r="A759" s="13" t="s">
        <v>2280</v>
      </c>
      <c r="B759" s="4" t="s">
        <v>27</v>
      </c>
      <c r="C759" s="4" t="s">
        <v>28</v>
      </c>
      <c r="D759" s="4" t="s">
        <v>2281</v>
      </c>
      <c r="E759" s="4">
        <v>3.118713141E9</v>
      </c>
      <c r="F759" s="4" t="s">
        <v>30</v>
      </c>
      <c r="G759" s="4" t="s">
        <v>35</v>
      </c>
      <c r="H759" s="14"/>
      <c r="I759" s="4" t="s">
        <v>32</v>
      </c>
      <c r="J759" s="14"/>
      <c r="K759" s="14"/>
      <c r="L759" s="14"/>
    </row>
    <row r="760" ht="14.25" customHeight="1">
      <c r="A760" s="1" t="s">
        <v>2282</v>
      </c>
      <c r="B760" s="2" t="s">
        <v>27</v>
      </c>
      <c r="C760" s="2" t="s">
        <v>28</v>
      </c>
      <c r="D760" s="2" t="s">
        <v>2283</v>
      </c>
      <c r="E760" s="3" t="s">
        <v>2284</v>
      </c>
      <c r="F760" s="4" t="s">
        <v>38</v>
      </c>
      <c r="G760" s="4" t="s">
        <v>39</v>
      </c>
      <c r="H760" s="14"/>
      <c r="I760" s="4" t="s">
        <v>164</v>
      </c>
      <c r="J760" s="6"/>
      <c r="K760" s="7"/>
      <c r="L760" s="8" t="str">
        <f t="shared" ref="L760:L769" si="93">UPPER(G760)</f>
        <v>BUCARAMANGA</v>
      </c>
      <c r="O760" s="10"/>
    </row>
    <row r="761" ht="14.25" customHeight="1">
      <c r="A761" s="1" t="s">
        <v>2285</v>
      </c>
      <c r="B761" s="2" t="s">
        <v>27</v>
      </c>
      <c r="C761" s="2" t="s">
        <v>28</v>
      </c>
      <c r="D761" s="2" t="s">
        <v>2286</v>
      </c>
      <c r="E761" s="3" t="s">
        <v>2287</v>
      </c>
      <c r="F761" s="4" t="s">
        <v>38</v>
      </c>
      <c r="G761" s="4" t="s">
        <v>81</v>
      </c>
      <c r="H761" s="14"/>
      <c r="I761" s="4" t="s">
        <v>561</v>
      </c>
      <c r="J761" s="6"/>
      <c r="K761" s="7"/>
      <c r="L761" s="8" t="str">
        <f t="shared" si="93"/>
        <v>FLORIDABLANCA</v>
      </c>
      <c r="O761" s="10"/>
    </row>
    <row r="762" ht="14.25" customHeight="1">
      <c r="A762" s="1" t="s">
        <v>2288</v>
      </c>
      <c r="B762" s="2" t="s">
        <v>27</v>
      </c>
      <c r="C762" s="2" t="s">
        <v>28</v>
      </c>
      <c r="D762" s="2" t="s">
        <v>2286</v>
      </c>
      <c r="E762" s="3" t="s">
        <v>2287</v>
      </c>
      <c r="F762" s="4" t="s">
        <v>38</v>
      </c>
      <c r="G762" s="4" t="s">
        <v>81</v>
      </c>
      <c r="H762" s="14"/>
      <c r="I762" s="4" t="s">
        <v>561</v>
      </c>
      <c r="J762" s="6"/>
      <c r="K762" s="7"/>
      <c r="L762" s="8" t="str">
        <f t="shared" si="93"/>
        <v>FLORIDABLANCA</v>
      </c>
      <c r="O762" s="10"/>
    </row>
    <row r="763" ht="14.25" customHeight="1">
      <c r="A763" s="1" t="s">
        <v>2289</v>
      </c>
      <c r="B763" s="2" t="s">
        <v>27</v>
      </c>
      <c r="C763" s="2" t="s">
        <v>28</v>
      </c>
      <c r="D763" s="2" t="s">
        <v>2290</v>
      </c>
      <c r="E763" s="3" t="s">
        <v>777</v>
      </c>
      <c r="F763" s="4" t="s">
        <v>69</v>
      </c>
      <c r="G763" s="4" t="s">
        <v>69</v>
      </c>
      <c r="H763" s="14"/>
      <c r="I763" s="4" t="s">
        <v>51</v>
      </c>
      <c r="J763" s="6"/>
      <c r="K763" s="7"/>
      <c r="L763" s="8" t="str">
        <f t="shared" si="93"/>
        <v>BOGOTA</v>
      </c>
      <c r="O763" s="10"/>
    </row>
    <row r="764" ht="14.25" customHeight="1">
      <c r="A764" s="1" t="s">
        <v>2291</v>
      </c>
      <c r="B764" s="2" t="s">
        <v>27</v>
      </c>
      <c r="C764" s="2" t="s">
        <v>28</v>
      </c>
      <c r="D764" s="2" t="s">
        <v>2292</v>
      </c>
      <c r="E764" s="3" t="s">
        <v>2293</v>
      </c>
      <c r="F764" s="4" t="s">
        <v>69</v>
      </c>
      <c r="G764" s="4" t="s">
        <v>69</v>
      </c>
      <c r="H764" s="14"/>
      <c r="I764" s="4" t="s">
        <v>51</v>
      </c>
      <c r="J764" s="6"/>
      <c r="K764" s="7"/>
      <c r="L764" s="8" t="str">
        <f t="shared" si="93"/>
        <v>BOGOTA</v>
      </c>
      <c r="O764" s="10"/>
    </row>
    <row r="765" ht="14.25" customHeight="1">
      <c r="A765" s="1" t="s">
        <v>2294</v>
      </c>
      <c r="B765" s="2" t="s">
        <v>27</v>
      </c>
      <c r="C765" s="2" t="s">
        <v>28</v>
      </c>
      <c r="D765" s="2" t="s">
        <v>2295</v>
      </c>
      <c r="E765" s="3" t="s">
        <v>1671</v>
      </c>
      <c r="F765" s="4" t="s">
        <v>38</v>
      </c>
      <c r="G765" s="4" t="s">
        <v>81</v>
      </c>
      <c r="H765" s="4" t="s">
        <v>308</v>
      </c>
      <c r="I765" s="4" t="s">
        <v>76</v>
      </c>
      <c r="J765" s="6"/>
      <c r="K765" s="7"/>
      <c r="L765" s="8" t="str">
        <f t="shared" si="93"/>
        <v>FLORIDABLANCA</v>
      </c>
      <c r="O765" s="10"/>
    </row>
    <row r="766" ht="14.25" customHeight="1">
      <c r="A766" s="1" t="s">
        <v>2296</v>
      </c>
      <c r="B766" s="2" t="s">
        <v>27</v>
      </c>
      <c r="C766" s="2" t="s">
        <v>28</v>
      </c>
      <c r="D766" s="2" t="s">
        <v>2297</v>
      </c>
      <c r="E766" s="3" t="s">
        <v>2298</v>
      </c>
      <c r="F766" s="4" t="s">
        <v>38</v>
      </c>
      <c r="G766" s="4" t="s">
        <v>81</v>
      </c>
      <c r="H766" s="14"/>
      <c r="I766" s="4" t="s">
        <v>51</v>
      </c>
      <c r="J766" s="6"/>
      <c r="K766" s="7"/>
      <c r="L766" s="8" t="str">
        <f t="shared" si="93"/>
        <v>FLORIDABLANCA</v>
      </c>
      <c r="O766" s="10"/>
    </row>
    <row r="767" ht="14.25" customHeight="1">
      <c r="A767" s="1" t="s">
        <v>2299</v>
      </c>
      <c r="B767" s="2" t="s">
        <v>27</v>
      </c>
      <c r="C767" s="2" t="s">
        <v>28</v>
      </c>
      <c r="D767" s="2" t="s">
        <v>2300</v>
      </c>
      <c r="E767" s="3" t="s">
        <v>2301</v>
      </c>
      <c r="F767" s="4" t="s">
        <v>38</v>
      </c>
      <c r="G767" s="4" t="s">
        <v>81</v>
      </c>
      <c r="H767" s="4" t="s">
        <v>2102</v>
      </c>
      <c r="I767" s="4" t="s">
        <v>561</v>
      </c>
      <c r="J767" s="6"/>
      <c r="K767" s="7"/>
      <c r="L767" s="8" t="str">
        <f t="shared" si="93"/>
        <v>FLORIDABLANCA</v>
      </c>
      <c r="O767" s="10"/>
    </row>
    <row r="768" ht="14.25" customHeight="1">
      <c r="A768" s="1" t="s">
        <v>2302</v>
      </c>
      <c r="B768" s="2" t="s">
        <v>27</v>
      </c>
      <c r="C768" s="2" t="s">
        <v>28</v>
      </c>
      <c r="D768" s="2" t="s">
        <v>2303</v>
      </c>
      <c r="E768" s="3" t="s">
        <v>2304</v>
      </c>
      <c r="F768" s="4" t="s">
        <v>38</v>
      </c>
      <c r="G768" s="4" t="s">
        <v>39</v>
      </c>
      <c r="H768" s="14"/>
      <c r="I768" s="4" t="s">
        <v>76</v>
      </c>
      <c r="J768" s="6"/>
      <c r="K768" s="7"/>
      <c r="L768" s="8" t="str">
        <f t="shared" si="93"/>
        <v>BUCARAMANGA</v>
      </c>
      <c r="O768" s="10"/>
    </row>
    <row r="769" ht="14.25" customHeight="1">
      <c r="A769" s="1" t="s">
        <v>2305</v>
      </c>
      <c r="B769" s="2" t="s">
        <v>27</v>
      </c>
      <c r="C769" s="2" t="s">
        <v>28</v>
      </c>
      <c r="D769" s="2" t="s">
        <v>2306</v>
      </c>
      <c r="E769" s="3" t="s">
        <v>2307</v>
      </c>
      <c r="F769" s="4" t="s">
        <v>38</v>
      </c>
      <c r="G769" s="4" t="s">
        <v>39</v>
      </c>
      <c r="H769" s="14"/>
      <c r="I769" s="4" t="s">
        <v>76</v>
      </c>
      <c r="J769" s="6"/>
      <c r="K769" s="7"/>
      <c r="L769" s="8" t="str">
        <f t="shared" si="93"/>
        <v>BUCARAMANGA</v>
      </c>
      <c r="O769" s="10"/>
    </row>
    <row r="770" ht="14.25" hidden="1" customHeight="1">
      <c r="A770" s="13" t="s">
        <v>2308</v>
      </c>
      <c r="B770" s="4" t="s">
        <v>27</v>
      </c>
      <c r="C770" s="4" t="s">
        <v>28</v>
      </c>
      <c r="D770" s="4" t="s">
        <v>2309</v>
      </c>
      <c r="E770" s="4">
        <v>3.124295466E9</v>
      </c>
      <c r="F770" s="4" t="s">
        <v>30</v>
      </c>
      <c r="G770" s="4" t="s">
        <v>35</v>
      </c>
      <c r="H770" s="14"/>
      <c r="I770" s="4" t="s">
        <v>32</v>
      </c>
      <c r="J770" s="14"/>
      <c r="K770" s="14"/>
      <c r="L770" s="14"/>
    </row>
    <row r="771" ht="14.25" customHeight="1">
      <c r="A771" s="1" t="s">
        <v>2310</v>
      </c>
      <c r="B771" s="2" t="s">
        <v>27</v>
      </c>
      <c r="C771" s="2" t="s">
        <v>28</v>
      </c>
      <c r="D771" s="2" t="s">
        <v>2311</v>
      </c>
      <c r="E771" s="3" t="s">
        <v>854</v>
      </c>
      <c r="F771" s="4" t="s">
        <v>38</v>
      </c>
      <c r="G771" s="4" t="s">
        <v>75</v>
      </c>
      <c r="H771" s="14"/>
      <c r="I771" s="4" t="s">
        <v>846</v>
      </c>
      <c r="J771" s="6"/>
      <c r="K771" s="7"/>
      <c r="L771" s="8" t="str">
        <f>UPPER(G771)</f>
        <v>GIRON</v>
      </c>
      <c r="O771" s="10"/>
    </row>
    <row r="772" ht="14.25" hidden="1" customHeight="1">
      <c r="A772" s="13" t="s">
        <v>2312</v>
      </c>
      <c r="B772" s="4" t="s">
        <v>27</v>
      </c>
      <c r="C772" s="4" t="s">
        <v>28</v>
      </c>
      <c r="D772" s="4" t="s">
        <v>2313</v>
      </c>
      <c r="E772" s="4">
        <v>3.22292338E9</v>
      </c>
      <c r="F772" s="4" t="s">
        <v>30</v>
      </c>
      <c r="G772" s="4" t="s">
        <v>31</v>
      </c>
      <c r="H772" s="14"/>
      <c r="I772" s="4" t="s">
        <v>32</v>
      </c>
      <c r="J772" s="14"/>
      <c r="K772" s="14"/>
      <c r="L772" s="14"/>
    </row>
    <row r="773" ht="14.25" customHeight="1">
      <c r="A773" s="1" t="s">
        <v>2314</v>
      </c>
      <c r="B773" s="2" t="s">
        <v>27</v>
      </c>
      <c r="C773" s="2" t="s">
        <v>28</v>
      </c>
      <c r="D773" s="2" t="s">
        <v>2315</v>
      </c>
      <c r="E773" s="3" t="s">
        <v>2316</v>
      </c>
      <c r="F773" s="4" t="s">
        <v>2317</v>
      </c>
      <c r="G773" s="4" t="s">
        <v>2318</v>
      </c>
      <c r="H773" s="14"/>
      <c r="I773" s="4" t="s">
        <v>164</v>
      </c>
      <c r="J773" s="6"/>
      <c r="K773" s="7"/>
      <c r="L773" s="8" t="str">
        <f t="shared" ref="L773:L779" si="94">UPPER(G773)</f>
        <v>PUERTO CARREÑO</v>
      </c>
      <c r="O773" s="10"/>
    </row>
    <row r="774" ht="14.25" customHeight="1">
      <c r="A774" s="1" t="s">
        <v>2319</v>
      </c>
      <c r="B774" s="2" t="s">
        <v>27</v>
      </c>
      <c r="C774" s="2" t="s">
        <v>28</v>
      </c>
      <c r="D774" s="2" t="s">
        <v>2320</v>
      </c>
      <c r="E774" s="3" t="s">
        <v>2321</v>
      </c>
      <c r="F774" s="4" t="s">
        <v>38</v>
      </c>
      <c r="G774" s="4" t="s">
        <v>75</v>
      </c>
      <c r="H774" s="4" t="s">
        <v>2322</v>
      </c>
      <c r="I774" s="4" t="s">
        <v>561</v>
      </c>
      <c r="J774" s="6"/>
      <c r="K774" s="7"/>
      <c r="L774" s="8" t="str">
        <f t="shared" si="94"/>
        <v>GIRON</v>
      </c>
      <c r="O774" s="10"/>
    </row>
    <row r="775" ht="14.25" customHeight="1">
      <c r="A775" s="1" t="s">
        <v>2323</v>
      </c>
      <c r="B775" s="2" t="s">
        <v>27</v>
      </c>
      <c r="C775" s="2" t="s">
        <v>28</v>
      </c>
      <c r="D775" s="2" t="s">
        <v>2324</v>
      </c>
      <c r="E775" s="3" t="s">
        <v>2325</v>
      </c>
      <c r="F775" s="4" t="s">
        <v>38</v>
      </c>
      <c r="G775" s="4" t="s">
        <v>39</v>
      </c>
      <c r="H775" s="4" t="s">
        <v>2326</v>
      </c>
      <c r="I775" s="4" t="s">
        <v>76</v>
      </c>
      <c r="J775" s="6"/>
      <c r="K775" s="7"/>
      <c r="L775" s="8" t="str">
        <f t="shared" si="94"/>
        <v>BUCARAMANGA</v>
      </c>
      <c r="O775" s="10"/>
    </row>
    <row r="776" ht="14.25" customHeight="1">
      <c r="A776" s="1" t="s">
        <v>2327</v>
      </c>
      <c r="B776" s="2" t="s">
        <v>27</v>
      </c>
      <c r="C776" s="2" t="s">
        <v>28</v>
      </c>
      <c r="D776" s="2" t="s">
        <v>2328</v>
      </c>
      <c r="E776" s="3" t="s">
        <v>2329</v>
      </c>
      <c r="F776" s="4" t="s">
        <v>38</v>
      </c>
      <c r="G776" s="4" t="s">
        <v>39</v>
      </c>
      <c r="H776" s="4" t="s">
        <v>58</v>
      </c>
      <c r="I776" s="4" t="s">
        <v>561</v>
      </c>
      <c r="J776" s="6"/>
      <c r="K776" s="7"/>
      <c r="L776" s="8" t="str">
        <f t="shared" si="94"/>
        <v>BUCARAMANGA</v>
      </c>
      <c r="O776" s="10"/>
    </row>
    <row r="777" ht="14.25" customHeight="1">
      <c r="A777" s="1" t="s">
        <v>2330</v>
      </c>
      <c r="B777" s="2" t="s">
        <v>27</v>
      </c>
      <c r="C777" s="2" t="s">
        <v>28</v>
      </c>
      <c r="D777" s="2" t="s">
        <v>2331</v>
      </c>
      <c r="E777" s="3" t="s">
        <v>2332</v>
      </c>
      <c r="F777" s="4" t="s">
        <v>38</v>
      </c>
      <c r="G777" s="4" t="s">
        <v>81</v>
      </c>
      <c r="H777" s="4" t="s">
        <v>1055</v>
      </c>
      <c r="I777" s="4" t="s">
        <v>846</v>
      </c>
      <c r="J777" s="6"/>
      <c r="K777" s="7"/>
      <c r="L777" s="8" t="str">
        <f t="shared" si="94"/>
        <v>FLORIDABLANCA</v>
      </c>
      <c r="O777" s="10"/>
    </row>
    <row r="778" ht="14.25" customHeight="1">
      <c r="A778" s="1" t="s">
        <v>2333</v>
      </c>
      <c r="B778" s="2" t="s">
        <v>27</v>
      </c>
      <c r="C778" s="2" t="s">
        <v>28</v>
      </c>
      <c r="D778" s="2" t="s">
        <v>2334</v>
      </c>
      <c r="E778" s="3" t="s">
        <v>2335</v>
      </c>
      <c r="F778" s="4" t="s">
        <v>38</v>
      </c>
      <c r="G778" s="4" t="s">
        <v>39</v>
      </c>
      <c r="H778" s="4" t="s">
        <v>40</v>
      </c>
      <c r="I778" s="4" t="s">
        <v>561</v>
      </c>
      <c r="J778" s="6"/>
      <c r="K778" s="7"/>
      <c r="L778" s="8" t="str">
        <f t="shared" si="94"/>
        <v>BUCARAMANGA</v>
      </c>
      <c r="O778" s="10"/>
    </row>
    <row r="779" ht="14.25" customHeight="1">
      <c r="A779" s="1" t="s">
        <v>2336</v>
      </c>
      <c r="B779" s="2" t="s">
        <v>27</v>
      </c>
      <c r="C779" s="2" t="s">
        <v>28</v>
      </c>
      <c r="D779" s="2" t="s">
        <v>2337</v>
      </c>
      <c r="E779" s="3" t="s">
        <v>2338</v>
      </c>
      <c r="F779" s="4" t="s">
        <v>38</v>
      </c>
      <c r="G779" s="4" t="s">
        <v>113</v>
      </c>
      <c r="H779" s="4" t="s">
        <v>2339</v>
      </c>
      <c r="I779" s="4" t="s">
        <v>540</v>
      </c>
      <c r="J779" s="6"/>
      <c r="K779" s="7"/>
      <c r="L779" s="8" t="str">
        <f t="shared" si="94"/>
        <v>BARRANCABERMEJA</v>
      </c>
      <c r="O779" s="10"/>
    </row>
    <row r="780" ht="14.25" hidden="1" customHeight="1">
      <c r="A780" s="13" t="s">
        <v>2340</v>
      </c>
      <c r="B780" s="4" t="s">
        <v>27</v>
      </c>
      <c r="C780" s="4" t="s">
        <v>28</v>
      </c>
      <c r="D780" s="4" t="s">
        <v>2341</v>
      </c>
      <c r="E780" s="4">
        <v>3.118713141E9</v>
      </c>
      <c r="F780" s="4" t="s">
        <v>30</v>
      </c>
      <c r="G780" s="4" t="s">
        <v>31</v>
      </c>
      <c r="H780" s="14"/>
      <c r="I780" s="4" t="s">
        <v>32</v>
      </c>
      <c r="J780" s="14"/>
      <c r="K780" s="14"/>
      <c r="L780" s="14"/>
    </row>
    <row r="781" ht="14.25" hidden="1" customHeight="1">
      <c r="A781" s="13" t="s">
        <v>2342</v>
      </c>
      <c r="B781" s="4" t="s">
        <v>27</v>
      </c>
      <c r="C781" s="4" t="s">
        <v>28</v>
      </c>
      <c r="D781" s="4" t="s">
        <v>2343</v>
      </c>
      <c r="E781" s="4">
        <v>3.219661358E9</v>
      </c>
      <c r="F781" s="4" t="s">
        <v>30</v>
      </c>
      <c r="G781" s="4" t="s">
        <v>35</v>
      </c>
      <c r="H781" s="14"/>
      <c r="I781" s="4" t="s">
        <v>32</v>
      </c>
      <c r="J781" s="14"/>
      <c r="K781" s="14"/>
      <c r="L781" s="14"/>
    </row>
    <row r="782" ht="14.25" customHeight="1">
      <c r="A782" s="1" t="s">
        <v>2344</v>
      </c>
      <c r="B782" s="2" t="s">
        <v>27</v>
      </c>
      <c r="C782" s="2" t="s">
        <v>28</v>
      </c>
      <c r="D782" s="2" t="s">
        <v>2345</v>
      </c>
      <c r="E782" s="3" t="s">
        <v>2346</v>
      </c>
      <c r="F782" s="4" t="s">
        <v>38</v>
      </c>
      <c r="G782" s="4" t="s">
        <v>39</v>
      </c>
      <c r="H782" s="14"/>
      <c r="I782" s="4" t="s">
        <v>76</v>
      </c>
      <c r="J782" s="6"/>
      <c r="K782" s="7"/>
      <c r="L782" s="8" t="str">
        <f>UPPER(G782)</f>
        <v>BUCARAMANGA</v>
      </c>
      <c r="O782" s="10"/>
    </row>
    <row r="783" ht="14.25" hidden="1" customHeight="1">
      <c r="A783" s="13" t="s">
        <v>2347</v>
      </c>
      <c r="B783" s="4" t="s">
        <v>27</v>
      </c>
      <c r="C783" s="4" t="s">
        <v>28</v>
      </c>
      <c r="D783" s="4" t="s">
        <v>2348</v>
      </c>
      <c r="E783" s="4">
        <v>3.124295466E9</v>
      </c>
      <c r="F783" s="4" t="s">
        <v>30</v>
      </c>
      <c r="G783" s="4" t="s">
        <v>35</v>
      </c>
      <c r="H783" s="14"/>
      <c r="I783" s="4" t="s">
        <v>32</v>
      </c>
      <c r="J783" s="14"/>
      <c r="K783" s="14"/>
      <c r="L783" s="14"/>
    </row>
    <row r="784" ht="14.25" customHeight="1">
      <c r="A784" s="1" t="s">
        <v>2349</v>
      </c>
      <c r="B784" s="2" t="s">
        <v>27</v>
      </c>
      <c r="C784" s="2" t="s">
        <v>28</v>
      </c>
      <c r="D784" s="2" t="s">
        <v>2350</v>
      </c>
      <c r="E784" s="3" t="s">
        <v>2351</v>
      </c>
      <c r="F784" s="4" t="s">
        <v>38</v>
      </c>
      <c r="G784" s="4" t="s">
        <v>113</v>
      </c>
      <c r="H784" s="14"/>
      <c r="I784" s="4" t="s">
        <v>76</v>
      </c>
      <c r="J784" s="6"/>
      <c r="K784" s="7"/>
      <c r="L784" s="8" t="str">
        <f t="shared" ref="L784:L787" si="95">UPPER(G784)</f>
        <v>BARRANCABERMEJA</v>
      </c>
      <c r="O784" s="10"/>
    </row>
    <row r="785" ht="14.25" customHeight="1">
      <c r="A785" s="1" t="s">
        <v>2352</v>
      </c>
      <c r="B785" s="2" t="s">
        <v>27</v>
      </c>
      <c r="C785" s="2" t="s">
        <v>28</v>
      </c>
      <c r="D785" s="2" t="s">
        <v>2353</v>
      </c>
      <c r="E785" s="3" t="s">
        <v>2354</v>
      </c>
      <c r="F785" s="4" t="s">
        <v>655</v>
      </c>
      <c r="G785" s="4" t="s">
        <v>2355</v>
      </c>
      <c r="H785" s="14"/>
      <c r="I785" s="4" t="s">
        <v>164</v>
      </c>
      <c r="J785" s="6"/>
      <c r="K785" s="7"/>
      <c r="L785" s="8" t="str">
        <f t="shared" si="95"/>
        <v>PAMPLONA</v>
      </c>
      <c r="O785" s="10"/>
    </row>
    <row r="786" ht="14.25" customHeight="1">
      <c r="A786" s="1" t="s">
        <v>2356</v>
      </c>
      <c r="B786" s="2" t="s">
        <v>27</v>
      </c>
      <c r="C786" s="2" t="s">
        <v>28</v>
      </c>
      <c r="D786" s="2" t="s">
        <v>2357</v>
      </c>
      <c r="E786" s="3" t="s">
        <v>2358</v>
      </c>
      <c r="F786" s="4" t="s">
        <v>38</v>
      </c>
      <c r="G786" s="4" t="s">
        <v>81</v>
      </c>
      <c r="H786" s="14"/>
      <c r="I786" s="4" t="s">
        <v>561</v>
      </c>
      <c r="J786" s="6"/>
      <c r="K786" s="7"/>
      <c r="L786" s="8" t="str">
        <f t="shared" si="95"/>
        <v>FLORIDABLANCA</v>
      </c>
      <c r="O786" s="10"/>
    </row>
    <row r="787" ht="14.25" customHeight="1">
      <c r="A787" s="1" t="s">
        <v>2359</v>
      </c>
      <c r="B787" s="2" t="s">
        <v>27</v>
      </c>
      <c r="C787" s="2" t="s">
        <v>28</v>
      </c>
      <c r="D787" s="2" t="s">
        <v>2360</v>
      </c>
      <c r="E787" s="3" t="s">
        <v>2361</v>
      </c>
      <c r="F787" s="4" t="s">
        <v>647</v>
      </c>
      <c r="G787" s="4" t="s">
        <v>648</v>
      </c>
      <c r="H787" s="14"/>
      <c r="I787" s="4" t="s">
        <v>561</v>
      </c>
      <c r="J787" s="6"/>
      <c r="K787" s="7"/>
      <c r="L787" s="8" t="str">
        <f t="shared" si="95"/>
        <v>SOGAMOSO</v>
      </c>
      <c r="O787" s="10"/>
    </row>
    <row r="788" ht="14.25" hidden="1" customHeight="1">
      <c r="A788" s="13" t="s">
        <v>2362</v>
      </c>
      <c r="B788" s="4" t="s">
        <v>27</v>
      </c>
      <c r="C788" s="4" t="s">
        <v>28</v>
      </c>
      <c r="D788" s="4" t="s">
        <v>2363</v>
      </c>
      <c r="E788" s="4">
        <v>3.22292338E9</v>
      </c>
      <c r="F788" s="4" t="s">
        <v>30</v>
      </c>
      <c r="G788" s="4" t="s">
        <v>31</v>
      </c>
      <c r="H788" s="14"/>
      <c r="I788" s="4" t="s">
        <v>32</v>
      </c>
      <c r="J788" s="14"/>
      <c r="K788" s="14"/>
      <c r="L788" s="14"/>
    </row>
    <row r="789" ht="14.25" hidden="1" customHeight="1">
      <c r="A789" s="13" t="s">
        <v>2364</v>
      </c>
      <c r="B789" s="4" t="s">
        <v>27</v>
      </c>
      <c r="C789" s="4" t="s">
        <v>28</v>
      </c>
      <c r="D789" s="4" t="s">
        <v>2365</v>
      </c>
      <c r="E789" s="4">
        <v>3.222918835E9</v>
      </c>
      <c r="F789" s="4" t="s">
        <v>30</v>
      </c>
      <c r="G789" s="4" t="s">
        <v>35</v>
      </c>
      <c r="H789" s="14"/>
      <c r="I789" s="4" t="s">
        <v>32</v>
      </c>
      <c r="J789" s="14"/>
      <c r="K789" s="14"/>
      <c r="L789" s="14"/>
    </row>
    <row r="790" ht="14.25" customHeight="1">
      <c r="A790" s="1" t="s">
        <v>2366</v>
      </c>
      <c r="B790" s="2" t="s">
        <v>27</v>
      </c>
      <c r="C790" s="2" t="s">
        <v>28</v>
      </c>
      <c r="D790" s="2" t="s">
        <v>2367</v>
      </c>
      <c r="E790" s="3" t="s">
        <v>2368</v>
      </c>
      <c r="F790" s="4" t="s">
        <v>69</v>
      </c>
      <c r="G790" s="4" t="s">
        <v>69</v>
      </c>
      <c r="H790" s="14"/>
      <c r="I790" s="4" t="s">
        <v>182</v>
      </c>
      <c r="J790" s="6"/>
      <c r="K790" s="7"/>
      <c r="L790" s="8" t="str">
        <f t="shared" ref="L790:L792" si="96">UPPER(G790)</f>
        <v>BOGOTA</v>
      </c>
      <c r="O790" s="10"/>
    </row>
    <row r="791" ht="14.25" customHeight="1">
      <c r="A791" s="1" t="s">
        <v>2369</v>
      </c>
      <c r="B791" s="2" t="s">
        <v>27</v>
      </c>
      <c r="C791" s="2" t="s">
        <v>28</v>
      </c>
      <c r="D791" s="2" t="s">
        <v>2370</v>
      </c>
      <c r="E791" s="3" t="s">
        <v>2371</v>
      </c>
      <c r="F791" s="4" t="s">
        <v>38</v>
      </c>
      <c r="G791" s="4" t="s">
        <v>113</v>
      </c>
      <c r="H791" s="14"/>
      <c r="I791" s="4" t="s">
        <v>358</v>
      </c>
      <c r="J791" s="6"/>
      <c r="K791" s="7"/>
      <c r="L791" s="8" t="str">
        <f t="shared" si="96"/>
        <v>BARRANCABERMEJA</v>
      </c>
      <c r="O791" s="10"/>
    </row>
    <row r="792" ht="14.25" customHeight="1">
      <c r="A792" s="1" t="s">
        <v>2372</v>
      </c>
      <c r="B792" s="2" t="s">
        <v>27</v>
      </c>
      <c r="C792" s="2" t="s">
        <v>28</v>
      </c>
      <c r="D792" s="2" t="s">
        <v>2373</v>
      </c>
      <c r="E792" s="3" t="s">
        <v>2374</v>
      </c>
      <c r="F792" s="4" t="s">
        <v>69</v>
      </c>
      <c r="G792" s="4" t="s">
        <v>69</v>
      </c>
      <c r="H792" s="14"/>
      <c r="I792" s="4" t="s">
        <v>51</v>
      </c>
      <c r="J792" s="6"/>
      <c r="K792" s="7"/>
      <c r="L792" s="8" t="str">
        <f t="shared" si="96"/>
        <v>BOGOTA</v>
      </c>
      <c r="O792" s="10"/>
    </row>
    <row r="793" ht="14.25" hidden="1" customHeight="1">
      <c r="A793" s="13" t="s">
        <v>2375</v>
      </c>
      <c r="B793" s="4" t="s">
        <v>27</v>
      </c>
      <c r="C793" s="4" t="s">
        <v>28</v>
      </c>
      <c r="D793" s="4" t="s">
        <v>2376</v>
      </c>
      <c r="E793" s="4">
        <v>3.222316412E9</v>
      </c>
      <c r="F793" s="4" t="s">
        <v>30</v>
      </c>
      <c r="G793" s="4" t="s">
        <v>35</v>
      </c>
      <c r="H793" s="14"/>
      <c r="I793" s="4" t="s">
        <v>32</v>
      </c>
      <c r="J793" s="14"/>
      <c r="K793" s="14"/>
      <c r="L793" s="14"/>
    </row>
    <row r="794" ht="14.25" customHeight="1">
      <c r="A794" s="1" t="s">
        <v>2377</v>
      </c>
      <c r="B794" s="2" t="s">
        <v>27</v>
      </c>
      <c r="C794" s="2" t="s">
        <v>28</v>
      </c>
      <c r="D794" s="2" t="s">
        <v>2378</v>
      </c>
      <c r="E794" s="3" t="s">
        <v>2379</v>
      </c>
      <c r="F794" s="4" t="s">
        <v>38</v>
      </c>
      <c r="G794" s="4" t="s">
        <v>39</v>
      </c>
      <c r="H794" s="4" t="s">
        <v>40</v>
      </c>
      <c r="I794" s="4" t="s">
        <v>76</v>
      </c>
      <c r="J794" s="6"/>
      <c r="K794" s="7"/>
      <c r="L794" s="8" t="str">
        <f t="shared" ref="L794:L795" si="97">UPPER(G794)</f>
        <v>BUCARAMANGA</v>
      </c>
      <c r="O794" s="10"/>
    </row>
    <row r="795" ht="14.25" customHeight="1">
      <c r="A795" s="1" t="s">
        <v>2380</v>
      </c>
      <c r="B795" s="2" t="s">
        <v>27</v>
      </c>
      <c r="C795" s="2" t="s">
        <v>28</v>
      </c>
      <c r="D795" s="2" t="s">
        <v>2381</v>
      </c>
      <c r="E795" s="3" t="s">
        <v>2382</v>
      </c>
      <c r="F795" s="4" t="s">
        <v>38</v>
      </c>
      <c r="G795" s="4" t="s">
        <v>113</v>
      </c>
      <c r="H795" s="14"/>
      <c r="I795" s="4" t="s">
        <v>1373</v>
      </c>
      <c r="J795" s="6"/>
      <c r="K795" s="7"/>
      <c r="L795" s="8" t="str">
        <f t="shared" si="97"/>
        <v>BARRANCABERMEJA</v>
      </c>
      <c r="O795" s="10"/>
    </row>
    <row r="796" ht="14.25" hidden="1" customHeight="1">
      <c r="A796" s="13" t="s">
        <v>2383</v>
      </c>
      <c r="B796" s="4" t="s">
        <v>27</v>
      </c>
      <c r="C796" s="4" t="s">
        <v>28</v>
      </c>
      <c r="D796" s="4" t="s">
        <v>2384</v>
      </c>
      <c r="E796" s="4">
        <v>3.118713141E9</v>
      </c>
      <c r="F796" s="4" t="s">
        <v>30</v>
      </c>
      <c r="G796" s="4" t="s">
        <v>35</v>
      </c>
      <c r="H796" s="14"/>
      <c r="I796" s="4" t="s">
        <v>32</v>
      </c>
      <c r="J796" s="14"/>
      <c r="K796" s="14"/>
      <c r="L796" s="14"/>
    </row>
    <row r="797" ht="14.25" customHeight="1">
      <c r="A797" s="1" t="s">
        <v>2385</v>
      </c>
      <c r="B797" s="2" t="s">
        <v>27</v>
      </c>
      <c r="C797" s="2" t="s">
        <v>28</v>
      </c>
      <c r="D797" s="2" t="s">
        <v>2386</v>
      </c>
      <c r="E797" s="3" t="s">
        <v>2387</v>
      </c>
      <c r="F797" s="4" t="s">
        <v>38</v>
      </c>
      <c r="G797" s="4" t="s">
        <v>39</v>
      </c>
      <c r="H797" s="14"/>
      <c r="I797" s="4" t="s">
        <v>76</v>
      </c>
      <c r="J797" s="6"/>
      <c r="K797" s="7"/>
      <c r="L797" s="8" t="str">
        <f t="shared" ref="L797:L798" si="98">UPPER(G797)</f>
        <v>BUCARAMANGA</v>
      </c>
      <c r="O797" s="10"/>
    </row>
    <row r="798" ht="14.25" customHeight="1">
      <c r="A798" s="1" t="s">
        <v>2388</v>
      </c>
      <c r="B798" s="2" t="s">
        <v>27</v>
      </c>
      <c r="C798" s="2" t="s">
        <v>28</v>
      </c>
      <c r="D798" s="2" t="s">
        <v>2389</v>
      </c>
      <c r="E798" s="3" t="s">
        <v>2390</v>
      </c>
      <c r="F798" s="4" t="s">
        <v>38</v>
      </c>
      <c r="G798" s="4" t="s">
        <v>39</v>
      </c>
      <c r="H798" s="4" t="s">
        <v>40</v>
      </c>
      <c r="I798" s="4" t="s">
        <v>561</v>
      </c>
      <c r="J798" s="6"/>
      <c r="K798" s="7"/>
      <c r="L798" s="8" t="str">
        <f t="shared" si="98"/>
        <v>BUCARAMANGA</v>
      </c>
      <c r="O798" s="10"/>
    </row>
    <row r="799" ht="14.25" hidden="1" customHeight="1">
      <c r="A799" s="13" t="s">
        <v>2391</v>
      </c>
      <c r="B799" s="4" t="s">
        <v>27</v>
      </c>
      <c r="C799" s="4" t="s">
        <v>28</v>
      </c>
      <c r="D799" s="4" t="s">
        <v>2392</v>
      </c>
      <c r="E799" s="4">
        <v>3.228791251E9</v>
      </c>
      <c r="F799" s="4" t="s">
        <v>30</v>
      </c>
      <c r="G799" s="4" t="s">
        <v>35</v>
      </c>
      <c r="H799" s="14"/>
      <c r="I799" s="4" t="s">
        <v>32</v>
      </c>
      <c r="J799" s="14"/>
      <c r="K799" s="14"/>
      <c r="L799" s="14"/>
    </row>
    <row r="800" ht="14.25" hidden="1" customHeight="1">
      <c r="A800" s="13" t="s">
        <v>2393</v>
      </c>
      <c r="B800" s="4" t="s">
        <v>27</v>
      </c>
      <c r="C800" s="4" t="s">
        <v>28</v>
      </c>
      <c r="D800" s="4" t="s">
        <v>2394</v>
      </c>
      <c r="E800" s="4">
        <v>3.142505641E9</v>
      </c>
      <c r="F800" s="4" t="s">
        <v>30</v>
      </c>
      <c r="G800" s="4" t="s">
        <v>35</v>
      </c>
      <c r="H800" s="14"/>
      <c r="I800" s="4" t="s">
        <v>32</v>
      </c>
      <c r="J800" s="14"/>
      <c r="K800" s="14"/>
      <c r="L800" s="14"/>
    </row>
    <row r="801" ht="14.25" customHeight="1">
      <c r="A801" s="1" t="s">
        <v>2395</v>
      </c>
      <c r="B801" s="2" t="s">
        <v>27</v>
      </c>
      <c r="C801" s="2" t="s">
        <v>28</v>
      </c>
      <c r="D801" s="2" t="s">
        <v>2396</v>
      </c>
      <c r="E801" s="3" t="s">
        <v>2397</v>
      </c>
      <c r="F801" s="4" t="s">
        <v>1863</v>
      </c>
      <c r="G801" s="4" t="s">
        <v>1356</v>
      </c>
      <c r="H801" s="14"/>
      <c r="I801" s="4" t="s">
        <v>51</v>
      </c>
      <c r="J801" s="6"/>
      <c r="K801" s="7"/>
      <c r="L801" s="8" t="str">
        <f t="shared" ref="L801:L802" si="99">UPPER(G801)</f>
        <v>CALI</v>
      </c>
      <c r="O801" s="10"/>
    </row>
    <row r="802" ht="14.25" customHeight="1">
      <c r="A802" s="1" t="s">
        <v>2398</v>
      </c>
      <c r="B802" s="2" t="s">
        <v>27</v>
      </c>
      <c r="C802" s="2" t="s">
        <v>28</v>
      </c>
      <c r="D802" s="2" t="s">
        <v>2399</v>
      </c>
      <c r="E802" s="3" t="s">
        <v>2400</v>
      </c>
      <c r="F802" s="4" t="s">
        <v>38</v>
      </c>
      <c r="G802" s="4" t="s">
        <v>39</v>
      </c>
      <c r="H802" s="4" t="s">
        <v>40</v>
      </c>
      <c r="I802" s="4" t="s">
        <v>561</v>
      </c>
      <c r="J802" s="6"/>
      <c r="K802" s="7"/>
      <c r="L802" s="8" t="str">
        <f t="shared" si="99"/>
        <v>BUCARAMANGA</v>
      </c>
      <c r="O802" s="10"/>
    </row>
    <row r="803" ht="14.25" hidden="1" customHeight="1">
      <c r="A803" s="13" t="s">
        <v>2401</v>
      </c>
      <c r="B803" s="4" t="s">
        <v>27</v>
      </c>
      <c r="C803" s="4" t="s">
        <v>28</v>
      </c>
      <c r="D803" s="4" t="s">
        <v>2402</v>
      </c>
      <c r="E803" s="4">
        <v>3.22292338E9</v>
      </c>
      <c r="F803" s="4" t="s">
        <v>30</v>
      </c>
      <c r="G803" s="4" t="s">
        <v>31</v>
      </c>
      <c r="H803" s="14"/>
      <c r="I803" s="4" t="s">
        <v>32</v>
      </c>
      <c r="J803" s="14"/>
      <c r="K803" s="14"/>
      <c r="L803" s="14"/>
    </row>
    <row r="804" ht="14.25" customHeight="1">
      <c r="A804" s="1" t="s">
        <v>2403</v>
      </c>
      <c r="B804" s="2" t="s">
        <v>27</v>
      </c>
      <c r="C804" s="2" t="s">
        <v>28</v>
      </c>
      <c r="D804" s="2" t="s">
        <v>2404</v>
      </c>
      <c r="E804" s="3" t="s">
        <v>2405</v>
      </c>
      <c r="F804" s="4" t="s">
        <v>38</v>
      </c>
      <c r="G804" s="4" t="s">
        <v>113</v>
      </c>
      <c r="H804" s="4" t="s">
        <v>357</v>
      </c>
      <c r="I804" s="4" t="s">
        <v>419</v>
      </c>
      <c r="J804" s="6"/>
      <c r="K804" s="7"/>
      <c r="L804" s="8" t="str">
        <f>UPPER(G804)</f>
        <v>BARRANCABERMEJA</v>
      </c>
      <c r="O804" s="10"/>
    </row>
    <row r="805" ht="14.25" hidden="1" customHeight="1">
      <c r="A805" s="13" t="s">
        <v>2406</v>
      </c>
      <c r="B805" s="4" t="s">
        <v>27</v>
      </c>
      <c r="C805" s="4" t="s">
        <v>28</v>
      </c>
      <c r="D805" s="4" t="s">
        <v>2407</v>
      </c>
      <c r="E805" s="4">
        <v>3.102211527E9</v>
      </c>
      <c r="F805" s="4" t="s">
        <v>30</v>
      </c>
      <c r="G805" s="4" t="s">
        <v>35</v>
      </c>
      <c r="H805" s="14"/>
      <c r="I805" s="4" t="s">
        <v>32</v>
      </c>
      <c r="J805" s="14"/>
      <c r="K805" s="14"/>
      <c r="L805" s="14"/>
    </row>
    <row r="806" ht="14.25" customHeight="1">
      <c r="A806" s="1" t="s">
        <v>2408</v>
      </c>
      <c r="B806" s="2" t="s">
        <v>27</v>
      </c>
      <c r="C806" s="2" t="s">
        <v>66</v>
      </c>
      <c r="D806" s="2" t="s">
        <v>2409</v>
      </c>
      <c r="E806" s="3" t="s">
        <v>2410</v>
      </c>
      <c r="F806" s="4" t="s">
        <v>38</v>
      </c>
      <c r="G806" s="4" t="s">
        <v>39</v>
      </c>
      <c r="H806" s="14"/>
      <c r="I806" s="4" t="s">
        <v>182</v>
      </c>
      <c r="J806" s="6"/>
      <c r="K806" s="7"/>
      <c r="L806" s="8" t="str">
        <f t="shared" ref="L806:L812" si="100">UPPER(G806)</f>
        <v>BUCARAMANGA</v>
      </c>
      <c r="O806" s="10"/>
    </row>
    <row r="807" ht="14.25" customHeight="1">
      <c r="A807" s="1" t="s">
        <v>2411</v>
      </c>
      <c r="B807" s="2" t="s">
        <v>27</v>
      </c>
      <c r="C807" s="2" t="s">
        <v>28</v>
      </c>
      <c r="D807" s="2" t="s">
        <v>2412</v>
      </c>
      <c r="E807" s="3" t="s">
        <v>2413</v>
      </c>
      <c r="F807" s="4" t="s">
        <v>38</v>
      </c>
      <c r="G807" s="4" t="s">
        <v>81</v>
      </c>
      <c r="H807" s="14"/>
      <c r="I807" s="4" t="s">
        <v>561</v>
      </c>
      <c r="J807" s="6"/>
      <c r="K807" s="7"/>
      <c r="L807" s="8" t="str">
        <f t="shared" si="100"/>
        <v>FLORIDABLANCA</v>
      </c>
      <c r="O807" s="10"/>
    </row>
    <row r="808" ht="14.25" customHeight="1">
      <c r="A808" s="1" t="s">
        <v>2414</v>
      </c>
      <c r="B808" s="2" t="s">
        <v>27</v>
      </c>
      <c r="C808" s="2" t="s">
        <v>28</v>
      </c>
      <c r="D808" s="2" t="s">
        <v>2415</v>
      </c>
      <c r="E808" s="3" t="s">
        <v>2416</v>
      </c>
      <c r="F808" s="4" t="s">
        <v>38</v>
      </c>
      <c r="G808" s="4" t="s">
        <v>39</v>
      </c>
      <c r="H808" s="14"/>
      <c r="I808" s="4" t="s">
        <v>540</v>
      </c>
      <c r="J808" s="6"/>
      <c r="K808" s="7"/>
      <c r="L808" s="8" t="str">
        <f t="shared" si="100"/>
        <v>BUCARAMANGA</v>
      </c>
      <c r="O808" s="10"/>
    </row>
    <row r="809" ht="14.25" customHeight="1">
      <c r="A809" s="1" t="s">
        <v>2417</v>
      </c>
      <c r="B809" s="2" t="s">
        <v>27</v>
      </c>
      <c r="C809" s="2" t="s">
        <v>28</v>
      </c>
      <c r="D809" s="2" t="s">
        <v>2418</v>
      </c>
      <c r="E809" s="3" t="s">
        <v>2419</v>
      </c>
      <c r="F809" s="4" t="s">
        <v>69</v>
      </c>
      <c r="G809" s="4" t="s">
        <v>69</v>
      </c>
      <c r="H809" s="4" t="s">
        <v>133</v>
      </c>
      <c r="I809" s="4" t="s">
        <v>51</v>
      </c>
      <c r="J809" s="6"/>
      <c r="K809" s="7"/>
      <c r="L809" s="8" t="str">
        <f t="shared" si="100"/>
        <v>BOGOTA</v>
      </c>
      <c r="O809" s="10"/>
    </row>
    <row r="810" ht="14.25" customHeight="1">
      <c r="A810" s="1" t="s">
        <v>2420</v>
      </c>
      <c r="B810" s="2" t="s">
        <v>27</v>
      </c>
      <c r="C810" s="2" t="s">
        <v>28</v>
      </c>
      <c r="D810" s="2" t="s">
        <v>2421</v>
      </c>
      <c r="E810" s="3" t="s">
        <v>2422</v>
      </c>
      <c r="F810" s="4" t="s">
        <v>38</v>
      </c>
      <c r="G810" s="4" t="s">
        <v>39</v>
      </c>
      <c r="H810" s="4" t="s">
        <v>40</v>
      </c>
      <c r="I810" s="4" t="s">
        <v>561</v>
      </c>
      <c r="J810" s="6"/>
      <c r="K810" s="7"/>
      <c r="L810" s="8" t="str">
        <f t="shared" si="100"/>
        <v>BUCARAMANGA</v>
      </c>
      <c r="O810" s="10"/>
    </row>
    <row r="811" ht="14.25" customHeight="1">
      <c r="A811" s="1" t="s">
        <v>2423</v>
      </c>
      <c r="B811" s="2" t="s">
        <v>27</v>
      </c>
      <c r="C811" s="2" t="s">
        <v>28</v>
      </c>
      <c r="D811" s="2" t="s">
        <v>2424</v>
      </c>
      <c r="E811" s="3" t="s">
        <v>2425</v>
      </c>
      <c r="F811" s="4" t="s">
        <v>38</v>
      </c>
      <c r="G811" s="4" t="s">
        <v>39</v>
      </c>
      <c r="H811" s="14"/>
      <c r="I811" s="4" t="s">
        <v>561</v>
      </c>
      <c r="J811" s="6"/>
      <c r="K811" s="7"/>
      <c r="L811" s="8" t="str">
        <f t="shared" si="100"/>
        <v>BUCARAMANGA</v>
      </c>
      <c r="O811" s="10"/>
    </row>
    <row r="812" ht="14.25" customHeight="1">
      <c r="A812" s="1" t="s">
        <v>2426</v>
      </c>
      <c r="B812" s="2" t="s">
        <v>27</v>
      </c>
      <c r="C812" s="2" t="s">
        <v>28</v>
      </c>
      <c r="D812" s="2" t="s">
        <v>2427</v>
      </c>
      <c r="E812" s="3" t="s">
        <v>2428</v>
      </c>
      <c r="F812" s="4" t="s">
        <v>38</v>
      </c>
      <c r="G812" s="4" t="s">
        <v>113</v>
      </c>
      <c r="H812" s="4" t="s">
        <v>965</v>
      </c>
      <c r="I812" s="4" t="s">
        <v>1373</v>
      </c>
      <c r="J812" s="6"/>
      <c r="K812" s="7"/>
      <c r="L812" s="8" t="str">
        <f t="shared" si="100"/>
        <v>BARRANCABERMEJA</v>
      </c>
      <c r="O812" s="10"/>
    </row>
    <row r="813" ht="14.25" hidden="1" customHeight="1">
      <c r="A813" s="13" t="s">
        <v>2429</v>
      </c>
      <c r="B813" s="4" t="s">
        <v>27</v>
      </c>
      <c r="C813" s="4" t="s">
        <v>28</v>
      </c>
      <c r="D813" s="4" t="s">
        <v>2430</v>
      </c>
      <c r="E813" s="4">
        <v>3.22292338E9</v>
      </c>
      <c r="F813" s="4" t="s">
        <v>30</v>
      </c>
      <c r="G813" s="4" t="s">
        <v>31</v>
      </c>
      <c r="H813" s="14"/>
      <c r="I813" s="4" t="s">
        <v>32</v>
      </c>
      <c r="J813" s="14"/>
      <c r="K813" s="14"/>
      <c r="L813" s="14"/>
    </row>
    <row r="814" ht="14.25" customHeight="1">
      <c r="A814" s="1" t="s">
        <v>2431</v>
      </c>
      <c r="B814" s="2" t="s">
        <v>27</v>
      </c>
      <c r="C814" s="2" t="s">
        <v>28</v>
      </c>
      <c r="D814" s="2" t="s">
        <v>2432</v>
      </c>
      <c r="E814" s="3" t="s">
        <v>2433</v>
      </c>
      <c r="F814" s="4" t="s">
        <v>69</v>
      </c>
      <c r="G814" s="4" t="s">
        <v>69</v>
      </c>
      <c r="H814" s="14"/>
      <c r="I814" s="4" t="s">
        <v>51</v>
      </c>
      <c r="J814" s="6"/>
      <c r="K814" s="7"/>
      <c r="L814" s="8" t="str">
        <f t="shared" ref="L814:L823" si="101">UPPER(G814)</f>
        <v>BOGOTA</v>
      </c>
      <c r="O814" s="10"/>
    </row>
    <row r="815" ht="14.25" customHeight="1">
      <c r="A815" s="1" t="s">
        <v>2434</v>
      </c>
      <c r="B815" s="2" t="s">
        <v>65</v>
      </c>
      <c r="C815" s="2" t="s">
        <v>28</v>
      </c>
      <c r="D815" s="2" t="s">
        <v>2435</v>
      </c>
      <c r="E815" s="3" t="s">
        <v>2436</v>
      </c>
      <c r="F815" s="4" t="s">
        <v>69</v>
      </c>
      <c r="G815" s="4" t="s">
        <v>69</v>
      </c>
      <c r="H815" s="14"/>
      <c r="I815" s="4" t="s">
        <v>540</v>
      </c>
      <c r="J815" s="6"/>
      <c r="K815" s="7"/>
      <c r="L815" s="8" t="str">
        <f t="shared" si="101"/>
        <v>BOGOTA</v>
      </c>
      <c r="O815" s="10"/>
    </row>
    <row r="816" ht="14.25" customHeight="1">
      <c r="A816" s="1" t="s">
        <v>2437</v>
      </c>
      <c r="B816" s="2" t="s">
        <v>27</v>
      </c>
      <c r="C816" s="2" t="s">
        <v>28</v>
      </c>
      <c r="D816" s="2" t="s">
        <v>2438</v>
      </c>
      <c r="E816" s="3" t="s">
        <v>2439</v>
      </c>
      <c r="F816" s="4" t="s">
        <v>38</v>
      </c>
      <c r="G816" s="4" t="s">
        <v>39</v>
      </c>
      <c r="H816" s="14"/>
      <c r="I816" s="4" t="s">
        <v>76</v>
      </c>
      <c r="J816" s="6"/>
      <c r="K816" s="7"/>
      <c r="L816" s="8" t="str">
        <f t="shared" si="101"/>
        <v>BUCARAMANGA</v>
      </c>
      <c r="O816" s="10"/>
    </row>
    <row r="817" ht="14.25" customHeight="1">
      <c r="A817" s="1" t="s">
        <v>2440</v>
      </c>
      <c r="B817" s="2" t="s">
        <v>27</v>
      </c>
      <c r="C817" s="2" t="s">
        <v>28</v>
      </c>
      <c r="D817" s="2" t="s">
        <v>2441</v>
      </c>
      <c r="E817" s="3" t="s">
        <v>2442</v>
      </c>
      <c r="F817" s="4" t="s">
        <v>38</v>
      </c>
      <c r="G817" s="4" t="s">
        <v>81</v>
      </c>
      <c r="H817" s="4" t="s">
        <v>308</v>
      </c>
      <c r="I817" s="4" t="s">
        <v>561</v>
      </c>
      <c r="J817" s="6"/>
      <c r="K817" s="7"/>
      <c r="L817" s="8" t="str">
        <f t="shared" si="101"/>
        <v>FLORIDABLANCA</v>
      </c>
      <c r="O817" s="10"/>
    </row>
    <row r="818" ht="14.25" customHeight="1">
      <c r="A818" s="1" t="s">
        <v>2443</v>
      </c>
      <c r="B818" s="2" t="s">
        <v>27</v>
      </c>
      <c r="C818" s="2" t="s">
        <v>28</v>
      </c>
      <c r="D818" s="2" t="s">
        <v>2444</v>
      </c>
      <c r="E818" s="3" t="s">
        <v>2445</v>
      </c>
      <c r="F818" s="4" t="s">
        <v>38</v>
      </c>
      <c r="G818" s="4" t="s">
        <v>39</v>
      </c>
      <c r="H818" s="14"/>
      <c r="I818" s="4" t="s">
        <v>51</v>
      </c>
      <c r="J818" s="6"/>
      <c r="K818" s="7"/>
      <c r="L818" s="8" t="str">
        <f t="shared" si="101"/>
        <v>BUCARAMANGA</v>
      </c>
      <c r="O818" s="10"/>
    </row>
    <row r="819" ht="14.25" customHeight="1">
      <c r="A819" s="1" t="s">
        <v>2446</v>
      </c>
      <c r="B819" s="2" t="s">
        <v>27</v>
      </c>
      <c r="C819" s="2" t="s">
        <v>28</v>
      </c>
      <c r="D819" s="2" t="s">
        <v>2447</v>
      </c>
      <c r="E819" s="3" t="s">
        <v>2448</v>
      </c>
      <c r="F819" s="4" t="s">
        <v>38</v>
      </c>
      <c r="G819" s="4" t="s">
        <v>39</v>
      </c>
      <c r="H819" s="14"/>
      <c r="I819" s="4" t="s">
        <v>76</v>
      </c>
      <c r="J819" s="6"/>
      <c r="K819" s="7"/>
      <c r="L819" s="8" t="str">
        <f t="shared" si="101"/>
        <v>BUCARAMANGA</v>
      </c>
      <c r="O819" s="10"/>
    </row>
    <row r="820" ht="14.25" customHeight="1">
      <c r="A820" s="1" t="s">
        <v>2449</v>
      </c>
      <c r="B820" s="2" t="s">
        <v>27</v>
      </c>
      <c r="C820" s="2" t="s">
        <v>28</v>
      </c>
      <c r="D820" s="2" t="s">
        <v>2450</v>
      </c>
      <c r="E820" s="3" t="s">
        <v>2451</v>
      </c>
      <c r="F820" s="4" t="s">
        <v>38</v>
      </c>
      <c r="G820" s="4" t="s">
        <v>113</v>
      </c>
      <c r="H820" s="14"/>
      <c r="I820" s="4" t="s">
        <v>419</v>
      </c>
      <c r="J820" s="6"/>
      <c r="K820" s="7"/>
      <c r="L820" s="8" t="str">
        <f t="shared" si="101"/>
        <v>BARRANCABERMEJA</v>
      </c>
      <c r="O820" s="10"/>
    </row>
    <row r="821" ht="14.25" customHeight="1">
      <c r="A821" s="1" t="s">
        <v>2452</v>
      </c>
      <c r="B821" s="2" t="s">
        <v>27</v>
      </c>
      <c r="C821" s="2" t="s">
        <v>28</v>
      </c>
      <c r="D821" s="2" t="s">
        <v>2453</v>
      </c>
      <c r="E821" s="3" t="s">
        <v>2454</v>
      </c>
      <c r="F821" s="4" t="s">
        <v>38</v>
      </c>
      <c r="G821" s="4" t="s">
        <v>39</v>
      </c>
      <c r="H821" s="4" t="s">
        <v>118</v>
      </c>
      <c r="I821" s="4" t="s">
        <v>561</v>
      </c>
      <c r="J821" s="6"/>
      <c r="K821" s="7"/>
      <c r="L821" s="8" t="str">
        <f t="shared" si="101"/>
        <v>BUCARAMANGA</v>
      </c>
      <c r="O821" s="10"/>
    </row>
    <row r="822" ht="14.25" customHeight="1">
      <c r="A822" s="1" t="s">
        <v>2455</v>
      </c>
      <c r="B822" s="2" t="s">
        <v>27</v>
      </c>
      <c r="C822" s="2" t="s">
        <v>28</v>
      </c>
      <c r="D822" s="2" t="s">
        <v>2456</v>
      </c>
      <c r="E822" s="3" t="s">
        <v>2457</v>
      </c>
      <c r="F822" s="4" t="s">
        <v>38</v>
      </c>
      <c r="G822" s="4" t="s">
        <v>39</v>
      </c>
      <c r="H822" s="14"/>
      <c r="I822" s="4" t="s">
        <v>561</v>
      </c>
      <c r="J822" s="6"/>
      <c r="K822" s="7"/>
      <c r="L822" s="8" t="str">
        <f t="shared" si="101"/>
        <v>BUCARAMANGA</v>
      </c>
      <c r="O822" s="10"/>
    </row>
    <row r="823" ht="14.25" customHeight="1">
      <c r="A823" s="1" t="s">
        <v>2458</v>
      </c>
      <c r="B823" s="2" t="s">
        <v>27</v>
      </c>
      <c r="C823" s="2" t="s">
        <v>28</v>
      </c>
      <c r="D823" s="2" t="s">
        <v>2459</v>
      </c>
      <c r="E823" s="3" t="s">
        <v>2460</v>
      </c>
      <c r="F823" s="4" t="s">
        <v>38</v>
      </c>
      <c r="G823" s="4" t="s">
        <v>39</v>
      </c>
      <c r="H823" s="4" t="s">
        <v>40</v>
      </c>
      <c r="I823" s="4" t="s">
        <v>76</v>
      </c>
      <c r="J823" s="6"/>
      <c r="K823" s="7"/>
      <c r="L823" s="8" t="str">
        <f t="shared" si="101"/>
        <v>BUCARAMANGA</v>
      </c>
      <c r="O823" s="10"/>
    </row>
    <row r="824" ht="14.25" hidden="1" customHeight="1">
      <c r="A824" s="13" t="s">
        <v>2461</v>
      </c>
      <c r="B824" s="4" t="s">
        <v>27</v>
      </c>
      <c r="C824" s="4" t="s">
        <v>28</v>
      </c>
      <c r="D824" s="4" t="s">
        <v>2462</v>
      </c>
      <c r="E824" s="4">
        <v>3.118713141E9</v>
      </c>
      <c r="F824" s="4" t="s">
        <v>30</v>
      </c>
      <c r="G824" s="4" t="s">
        <v>35</v>
      </c>
      <c r="H824" s="14"/>
      <c r="I824" s="4" t="s">
        <v>32</v>
      </c>
      <c r="J824" s="14"/>
      <c r="K824" s="14"/>
      <c r="L824" s="14"/>
    </row>
    <row r="825" ht="14.25" customHeight="1">
      <c r="A825" s="1" t="s">
        <v>2463</v>
      </c>
      <c r="B825" s="2" t="s">
        <v>27</v>
      </c>
      <c r="C825" s="2" t="s">
        <v>28</v>
      </c>
      <c r="D825" s="2" t="s">
        <v>2464</v>
      </c>
      <c r="E825" s="3" t="s">
        <v>2465</v>
      </c>
      <c r="F825" s="4" t="s">
        <v>38</v>
      </c>
      <c r="G825" s="4" t="s">
        <v>113</v>
      </c>
      <c r="H825" s="14"/>
      <c r="I825" s="4" t="s">
        <v>358</v>
      </c>
      <c r="J825" s="6"/>
      <c r="K825" s="7"/>
      <c r="L825" s="8" t="str">
        <f t="shared" ref="L825:L837" si="102">UPPER(G825)</f>
        <v>BARRANCABERMEJA</v>
      </c>
      <c r="O825" s="10"/>
    </row>
    <row r="826" ht="14.25" customHeight="1">
      <c r="A826" s="1" t="s">
        <v>2466</v>
      </c>
      <c r="B826" s="2" t="s">
        <v>27</v>
      </c>
      <c r="C826" s="2" t="s">
        <v>28</v>
      </c>
      <c r="D826" s="2" t="s">
        <v>2467</v>
      </c>
      <c r="E826" s="3" t="s">
        <v>2468</v>
      </c>
      <c r="F826" s="4" t="s">
        <v>38</v>
      </c>
      <c r="G826" s="4" t="s">
        <v>39</v>
      </c>
      <c r="H826" s="4" t="s">
        <v>40</v>
      </c>
      <c r="I826" s="4" t="s">
        <v>561</v>
      </c>
      <c r="J826" s="6"/>
      <c r="K826" s="7"/>
      <c r="L826" s="8" t="str">
        <f t="shared" si="102"/>
        <v>BUCARAMANGA</v>
      </c>
      <c r="O826" s="10"/>
    </row>
    <row r="827" ht="14.25" customHeight="1">
      <c r="A827" s="1" t="s">
        <v>2469</v>
      </c>
      <c r="B827" s="2" t="s">
        <v>27</v>
      </c>
      <c r="C827" s="2" t="s">
        <v>28</v>
      </c>
      <c r="D827" s="2" t="s">
        <v>2470</v>
      </c>
      <c r="E827" s="3" t="s">
        <v>2471</v>
      </c>
      <c r="F827" s="4" t="s">
        <v>38</v>
      </c>
      <c r="G827" s="4" t="s">
        <v>81</v>
      </c>
      <c r="H827" s="14"/>
      <c r="I827" s="4" t="s">
        <v>51</v>
      </c>
      <c r="J827" s="6"/>
      <c r="K827" s="7"/>
      <c r="L827" s="8" t="str">
        <f t="shared" si="102"/>
        <v>FLORIDABLANCA</v>
      </c>
      <c r="O827" s="10"/>
    </row>
    <row r="828" ht="14.25" customHeight="1">
      <c r="A828" s="1" t="s">
        <v>2472</v>
      </c>
      <c r="B828" s="2" t="s">
        <v>27</v>
      </c>
      <c r="C828" s="2" t="s">
        <v>28</v>
      </c>
      <c r="D828" s="2" t="s">
        <v>2473</v>
      </c>
      <c r="E828" s="3" t="s">
        <v>2474</v>
      </c>
      <c r="F828" s="4" t="s">
        <v>69</v>
      </c>
      <c r="G828" s="4" t="s">
        <v>69</v>
      </c>
      <c r="H828" s="14"/>
      <c r="I828" s="4" t="s">
        <v>182</v>
      </c>
      <c r="J828" s="6"/>
      <c r="K828" s="7"/>
      <c r="L828" s="8" t="str">
        <f t="shared" si="102"/>
        <v>BOGOTA</v>
      </c>
      <c r="O828" s="10"/>
    </row>
    <row r="829" ht="14.25" customHeight="1">
      <c r="A829" s="1" t="s">
        <v>2475</v>
      </c>
      <c r="B829" s="2" t="s">
        <v>27</v>
      </c>
      <c r="C829" s="2" t="s">
        <v>28</v>
      </c>
      <c r="D829" s="2" t="s">
        <v>2476</v>
      </c>
      <c r="E829" s="3" t="s">
        <v>2477</v>
      </c>
      <c r="F829" s="4" t="s">
        <v>38</v>
      </c>
      <c r="G829" s="4" t="s">
        <v>81</v>
      </c>
      <c r="H829" s="4" t="s">
        <v>308</v>
      </c>
      <c r="I829" s="4" t="s">
        <v>561</v>
      </c>
      <c r="J829" s="6"/>
      <c r="K829" s="7"/>
      <c r="L829" s="8" t="str">
        <f t="shared" si="102"/>
        <v>FLORIDABLANCA</v>
      </c>
      <c r="O829" s="10"/>
    </row>
    <row r="830" ht="14.25" customHeight="1">
      <c r="A830" s="1" t="s">
        <v>2478</v>
      </c>
      <c r="B830" s="2" t="s">
        <v>27</v>
      </c>
      <c r="C830" s="2" t="s">
        <v>28</v>
      </c>
      <c r="D830" s="2" t="s">
        <v>2479</v>
      </c>
      <c r="E830" s="3" t="s">
        <v>2480</v>
      </c>
      <c r="F830" s="4" t="s">
        <v>69</v>
      </c>
      <c r="G830" s="4" t="s">
        <v>69</v>
      </c>
      <c r="H830" s="4" t="s">
        <v>133</v>
      </c>
      <c r="I830" s="4" t="s">
        <v>51</v>
      </c>
      <c r="J830" s="6"/>
      <c r="K830" s="7"/>
      <c r="L830" s="8" t="str">
        <f t="shared" si="102"/>
        <v>BOGOTA</v>
      </c>
      <c r="O830" s="10"/>
    </row>
    <row r="831" ht="14.25" customHeight="1">
      <c r="A831" s="1" t="s">
        <v>2481</v>
      </c>
      <c r="B831" s="2" t="s">
        <v>27</v>
      </c>
      <c r="C831" s="2" t="s">
        <v>28</v>
      </c>
      <c r="D831" s="2" t="s">
        <v>2482</v>
      </c>
      <c r="E831" s="3" t="s">
        <v>2483</v>
      </c>
      <c r="F831" s="4" t="s">
        <v>38</v>
      </c>
      <c r="G831" s="4" t="s">
        <v>113</v>
      </c>
      <c r="H831" s="4" t="s">
        <v>357</v>
      </c>
      <c r="I831" s="4" t="s">
        <v>358</v>
      </c>
      <c r="J831" s="6"/>
      <c r="K831" s="7"/>
      <c r="L831" s="8" t="str">
        <f t="shared" si="102"/>
        <v>BARRANCABERMEJA</v>
      </c>
      <c r="O831" s="10"/>
    </row>
    <row r="832" ht="14.25" customHeight="1">
      <c r="A832" s="1" t="s">
        <v>2484</v>
      </c>
      <c r="B832" s="2" t="s">
        <v>27</v>
      </c>
      <c r="C832" s="2" t="s">
        <v>28</v>
      </c>
      <c r="D832" s="2" t="s">
        <v>2485</v>
      </c>
      <c r="E832" s="3" t="s">
        <v>2486</v>
      </c>
      <c r="F832" s="4" t="s">
        <v>38</v>
      </c>
      <c r="G832" s="4" t="s">
        <v>39</v>
      </c>
      <c r="H832" s="14"/>
      <c r="I832" s="4" t="s">
        <v>540</v>
      </c>
      <c r="J832" s="6"/>
      <c r="K832" s="7"/>
      <c r="L832" s="8" t="str">
        <f t="shared" si="102"/>
        <v>BUCARAMANGA</v>
      </c>
      <c r="O832" s="10"/>
    </row>
    <row r="833" ht="14.25" customHeight="1">
      <c r="A833" s="1" t="s">
        <v>2487</v>
      </c>
      <c r="B833" s="2" t="s">
        <v>27</v>
      </c>
      <c r="C833" s="2" t="s">
        <v>28</v>
      </c>
      <c r="D833" s="2" t="s">
        <v>2488</v>
      </c>
      <c r="E833" s="3" t="s">
        <v>2489</v>
      </c>
      <c r="F833" s="4" t="s">
        <v>69</v>
      </c>
      <c r="G833" s="4" t="s">
        <v>69</v>
      </c>
      <c r="H833" s="14"/>
      <c r="I833" s="4" t="s">
        <v>51</v>
      </c>
      <c r="J833" s="6"/>
      <c r="K833" s="7"/>
      <c r="L833" s="8" t="str">
        <f t="shared" si="102"/>
        <v>BOGOTA</v>
      </c>
      <c r="O833" s="10"/>
    </row>
    <row r="834" ht="14.25" customHeight="1">
      <c r="A834" s="1" t="s">
        <v>2490</v>
      </c>
      <c r="B834" s="2" t="s">
        <v>27</v>
      </c>
      <c r="C834" s="2" t="s">
        <v>28</v>
      </c>
      <c r="D834" s="2" t="s">
        <v>2491</v>
      </c>
      <c r="E834" s="3" t="s">
        <v>2492</v>
      </c>
      <c r="F834" s="4" t="s">
        <v>38</v>
      </c>
      <c r="G834" s="4" t="s">
        <v>39</v>
      </c>
      <c r="H834" s="4" t="s">
        <v>40</v>
      </c>
      <c r="I834" s="4" t="s">
        <v>561</v>
      </c>
      <c r="J834" s="6"/>
      <c r="K834" s="7"/>
      <c r="L834" s="8" t="str">
        <f t="shared" si="102"/>
        <v>BUCARAMANGA</v>
      </c>
      <c r="O834" s="10"/>
    </row>
    <row r="835" ht="14.25" customHeight="1">
      <c r="A835" s="1" t="s">
        <v>2493</v>
      </c>
      <c r="B835" s="2" t="s">
        <v>27</v>
      </c>
      <c r="C835" s="2" t="s">
        <v>28</v>
      </c>
      <c r="D835" s="2" t="s">
        <v>2494</v>
      </c>
      <c r="E835" s="3" t="s">
        <v>2495</v>
      </c>
      <c r="F835" s="4" t="s">
        <v>69</v>
      </c>
      <c r="G835" s="4" t="s">
        <v>69</v>
      </c>
      <c r="H835" s="4" t="s">
        <v>133</v>
      </c>
      <c r="I835" s="4" t="s">
        <v>51</v>
      </c>
      <c r="J835" s="6"/>
      <c r="K835" s="7"/>
      <c r="L835" s="8" t="str">
        <f t="shared" si="102"/>
        <v>BOGOTA</v>
      </c>
      <c r="O835" s="10"/>
    </row>
    <row r="836" ht="14.25" customHeight="1">
      <c r="A836" s="1" t="s">
        <v>2496</v>
      </c>
      <c r="B836" s="2" t="s">
        <v>27</v>
      </c>
      <c r="C836" s="2" t="s">
        <v>28</v>
      </c>
      <c r="D836" s="2" t="s">
        <v>2497</v>
      </c>
      <c r="E836" s="3" t="s">
        <v>2498</v>
      </c>
      <c r="F836" s="4" t="s">
        <v>38</v>
      </c>
      <c r="G836" s="4" t="s">
        <v>113</v>
      </c>
      <c r="H836" s="14"/>
      <c r="I836" s="4" t="s">
        <v>358</v>
      </c>
      <c r="J836" s="6"/>
      <c r="K836" s="7"/>
      <c r="L836" s="8" t="str">
        <f t="shared" si="102"/>
        <v>BARRANCABERMEJA</v>
      </c>
      <c r="O836" s="10"/>
    </row>
    <row r="837" ht="14.25" customHeight="1">
      <c r="A837" s="1" t="s">
        <v>2499</v>
      </c>
      <c r="B837" s="2" t="s">
        <v>27</v>
      </c>
      <c r="C837" s="2" t="s">
        <v>28</v>
      </c>
      <c r="D837" s="2" t="s">
        <v>2500</v>
      </c>
      <c r="E837" s="3" t="s">
        <v>2501</v>
      </c>
      <c r="F837" s="4" t="s">
        <v>69</v>
      </c>
      <c r="G837" s="4" t="s">
        <v>69</v>
      </c>
      <c r="H837" s="14"/>
      <c r="I837" s="4" t="s">
        <v>51</v>
      </c>
      <c r="J837" s="6"/>
      <c r="K837" s="7"/>
      <c r="L837" s="8" t="str">
        <f t="shared" si="102"/>
        <v>BOGOTA</v>
      </c>
      <c r="O837" s="10"/>
    </row>
    <row r="838" ht="14.25" hidden="1" customHeight="1">
      <c r="A838" s="13" t="s">
        <v>2502</v>
      </c>
      <c r="B838" s="4" t="s">
        <v>27</v>
      </c>
      <c r="C838" s="4" t="s">
        <v>28</v>
      </c>
      <c r="D838" s="4" t="s">
        <v>2503</v>
      </c>
      <c r="E838" s="4">
        <v>3.124295466E9</v>
      </c>
      <c r="F838" s="4" t="s">
        <v>30</v>
      </c>
      <c r="G838" s="4" t="s">
        <v>35</v>
      </c>
      <c r="H838" s="14"/>
      <c r="I838" s="4" t="s">
        <v>32</v>
      </c>
      <c r="J838" s="14"/>
      <c r="K838" s="14"/>
      <c r="L838" s="14"/>
    </row>
    <row r="839" ht="14.25" hidden="1" customHeight="1">
      <c r="A839" s="13" t="s">
        <v>2504</v>
      </c>
      <c r="B839" s="4" t="s">
        <v>27</v>
      </c>
      <c r="C839" s="4" t="s">
        <v>28</v>
      </c>
      <c r="D839" s="4" t="s">
        <v>2505</v>
      </c>
      <c r="E839" s="4">
        <v>3.14256706E9</v>
      </c>
      <c r="F839" s="4" t="s">
        <v>30</v>
      </c>
      <c r="G839" s="4" t="s">
        <v>35</v>
      </c>
      <c r="H839" s="14"/>
      <c r="I839" s="4" t="s">
        <v>32</v>
      </c>
      <c r="J839" s="14"/>
      <c r="K839" s="14"/>
      <c r="L839" s="14"/>
    </row>
    <row r="840" ht="14.25" hidden="1" customHeight="1">
      <c r="A840" s="13" t="s">
        <v>2506</v>
      </c>
      <c r="B840" s="4" t="s">
        <v>27</v>
      </c>
      <c r="C840" s="4" t="s">
        <v>28</v>
      </c>
      <c r="D840" s="4" t="s">
        <v>2507</v>
      </c>
      <c r="E840" s="4">
        <v>3.22292338E9</v>
      </c>
      <c r="F840" s="4" t="s">
        <v>30</v>
      </c>
      <c r="G840" s="4" t="s">
        <v>31</v>
      </c>
      <c r="H840" s="14"/>
      <c r="I840" s="4" t="s">
        <v>32</v>
      </c>
      <c r="J840" s="14"/>
      <c r="K840" s="14"/>
      <c r="L840" s="14"/>
    </row>
    <row r="841" ht="14.25" hidden="1" customHeight="1">
      <c r="A841" s="13" t="s">
        <v>2508</v>
      </c>
      <c r="B841" s="4" t="s">
        <v>27</v>
      </c>
      <c r="C841" s="4" t="s">
        <v>28</v>
      </c>
      <c r="D841" s="4" t="s">
        <v>2507</v>
      </c>
      <c r="E841" s="4">
        <v>3.229457091E9</v>
      </c>
      <c r="F841" s="4" t="s">
        <v>30</v>
      </c>
      <c r="G841" s="4" t="s">
        <v>31</v>
      </c>
      <c r="H841" s="14"/>
      <c r="I841" s="4" t="s">
        <v>32</v>
      </c>
      <c r="J841" s="14"/>
      <c r="K841" s="14"/>
      <c r="L841" s="14"/>
    </row>
    <row r="842" ht="14.25" customHeight="1">
      <c r="A842" s="1" t="s">
        <v>2509</v>
      </c>
      <c r="B842" s="2" t="s">
        <v>27</v>
      </c>
      <c r="C842" s="2" t="s">
        <v>28</v>
      </c>
      <c r="D842" s="2" t="s">
        <v>2510</v>
      </c>
      <c r="E842" s="3" t="s">
        <v>2511</v>
      </c>
      <c r="F842" s="4" t="s">
        <v>38</v>
      </c>
      <c r="G842" s="4" t="s">
        <v>39</v>
      </c>
      <c r="H842" s="14"/>
      <c r="I842" s="4" t="s">
        <v>76</v>
      </c>
      <c r="J842" s="6"/>
      <c r="K842" s="7"/>
      <c r="L842" s="8" t="str">
        <f t="shared" ref="L842:L847" si="103">UPPER(G842)</f>
        <v>BUCARAMANGA</v>
      </c>
      <c r="O842" s="10"/>
    </row>
    <row r="843" ht="14.25" customHeight="1">
      <c r="A843" s="1" t="s">
        <v>2512</v>
      </c>
      <c r="B843" s="2" t="s">
        <v>27</v>
      </c>
      <c r="C843" s="2" t="s">
        <v>551</v>
      </c>
      <c r="D843" s="2" t="s">
        <v>2513</v>
      </c>
      <c r="E843" s="3" t="s">
        <v>2514</v>
      </c>
      <c r="F843" s="4" t="s">
        <v>38</v>
      </c>
      <c r="G843" s="4" t="s">
        <v>39</v>
      </c>
      <c r="H843" s="14"/>
      <c r="I843" s="4" t="s">
        <v>164</v>
      </c>
      <c r="J843" s="6"/>
      <c r="K843" s="7"/>
      <c r="L843" s="8" t="str">
        <f t="shared" si="103"/>
        <v>BUCARAMANGA</v>
      </c>
      <c r="O843" s="10"/>
    </row>
    <row r="844" ht="14.25" customHeight="1">
      <c r="A844" s="1" t="s">
        <v>2515</v>
      </c>
      <c r="B844" s="2" t="s">
        <v>27</v>
      </c>
      <c r="C844" s="2" t="s">
        <v>66</v>
      </c>
      <c r="D844" s="2" t="s">
        <v>2516</v>
      </c>
      <c r="E844" s="3" t="s">
        <v>2517</v>
      </c>
      <c r="F844" s="4" t="s">
        <v>38</v>
      </c>
      <c r="G844" s="4" t="s">
        <v>39</v>
      </c>
      <c r="H844" s="4" t="s">
        <v>830</v>
      </c>
      <c r="I844" s="4" t="s">
        <v>540</v>
      </c>
      <c r="J844" s="6"/>
      <c r="K844" s="7"/>
      <c r="L844" s="8" t="str">
        <f t="shared" si="103"/>
        <v>BUCARAMANGA</v>
      </c>
      <c r="O844" s="10"/>
    </row>
    <row r="845" ht="14.25" customHeight="1">
      <c r="A845" s="1" t="s">
        <v>2518</v>
      </c>
      <c r="B845" s="2" t="s">
        <v>27</v>
      </c>
      <c r="C845" s="2" t="s">
        <v>28</v>
      </c>
      <c r="D845" s="2" t="s">
        <v>2519</v>
      </c>
      <c r="E845" s="3" t="s">
        <v>2520</v>
      </c>
      <c r="F845" s="4" t="s">
        <v>38</v>
      </c>
      <c r="G845" s="4" t="s">
        <v>159</v>
      </c>
      <c r="H845" s="14"/>
      <c r="I845" s="4" t="s">
        <v>164</v>
      </c>
      <c r="J845" s="6"/>
      <c r="K845" s="7"/>
      <c r="L845" s="8" t="str">
        <f t="shared" si="103"/>
        <v>PIEDECUESTA</v>
      </c>
      <c r="O845" s="10"/>
    </row>
    <row r="846" ht="14.25" customHeight="1">
      <c r="A846" s="1" t="s">
        <v>2521</v>
      </c>
      <c r="B846" s="2" t="s">
        <v>27</v>
      </c>
      <c r="C846" s="2" t="s">
        <v>28</v>
      </c>
      <c r="D846" s="2" t="s">
        <v>2522</v>
      </c>
      <c r="E846" s="3" t="s">
        <v>2523</v>
      </c>
      <c r="F846" s="4" t="s">
        <v>38</v>
      </c>
      <c r="G846" s="4" t="s">
        <v>113</v>
      </c>
      <c r="H846" s="4" t="s">
        <v>357</v>
      </c>
      <c r="I846" s="4" t="s">
        <v>1373</v>
      </c>
      <c r="J846" s="6"/>
      <c r="K846" s="7"/>
      <c r="L846" s="8" t="str">
        <f t="shared" si="103"/>
        <v>BARRANCABERMEJA</v>
      </c>
      <c r="O846" s="10"/>
    </row>
    <row r="847" ht="14.25" customHeight="1">
      <c r="A847" s="1" t="s">
        <v>2524</v>
      </c>
      <c r="B847" s="2" t="s">
        <v>27</v>
      </c>
      <c r="C847" s="2" t="s">
        <v>28</v>
      </c>
      <c r="D847" s="2" t="s">
        <v>2525</v>
      </c>
      <c r="E847" s="3" t="s">
        <v>423</v>
      </c>
      <c r="F847" s="4" t="s">
        <v>424</v>
      </c>
      <c r="G847" s="4" t="s">
        <v>425</v>
      </c>
      <c r="H847" s="14"/>
      <c r="I847" s="4" t="s">
        <v>32</v>
      </c>
      <c r="J847" s="6"/>
      <c r="K847" s="7"/>
      <c r="L847" s="8" t="str">
        <f t="shared" si="103"/>
        <v>MONTERIA</v>
      </c>
      <c r="O847" s="10"/>
    </row>
    <row r="848" ht="14.25" hidden="1" customHeight="1">
      <c r="A848" s="13" t="s">
        <v>2526</v>
      </c>
      <c r="B848" s="4" t="s">
        <v>27</v>
      </c>
      <c r="C848" s="4" t="s">
        <v>28</v>
      </c>
      <c r="D848" s="4" t="s">
        <v>2527</v>
      </c>
      <c r="E848" s="4">
        <v>3.22292338E9</v>
      </c>
      <c r="F848" s="4" t="s">
        <v>30</v>
      </c>
      <c r="G848" s="4" t="s">
        <v>31</v>
      </c>
      <c r="H848" s="14"/>
      <c r="I848" s="4" t="s">
        <v>32</v>
      </c>
      <c r="J848" s="14"/>
      <c r="K848" s="14"/>
      <c r="L848" s="14"/>
    </row>
    <row r="849" ht="14.25" customHeight="1">
      <c r="A849" s="1" t="s">
        <v>2528</v>
      </c>
      <c r="B849" s="2" t="s">
        <v>27</v>
      </c>
      <c r="C849" s="2" t="s">
        <v>28</v>
      </c>
      <c r="D849" s="2" t="s">
        <v>2529</v>
      </c>
      <c r="E849" s="3" t="s">
        <v>2530</v>
      </c>
      <c r="F849" s="4" t="s">
        <v>38</v>
      </c>
      <c r="G849" s="4" t="s">
        <v>39</v>
      </c>
      <c r="H849" s="4" t="s">
        <v>40</v>
      </c>
      <c r="I849" s="4" t="s">
        <v>76</v>
      </c>
      <c r="J849" s="6"/>
      <c r="K849" s="7"/>
      <c r="L849" s="8" t="str">
        <f t="shared" ref="L849:L851" si="104">UPPER(G849)</f>
        <v>BUCARAMANGA</v>
      </c>
      <c r="O849" s="10"/>
    </row>
    <row r="850" ht="14.25" customHeight="1">
      <c r="A850" s="1" t="s">
        <v>2531</v>
      </c>
      <c r="B850" s="2" t="s">
        <v>27</v>
      </c>
      <c r="C850" s="2" t="s">
        <v>28</v>
      </c>
      <c r="D850" s="2" t="s">
        <v>2532</v>
      </c>
      <c r="E850" s="3" t="s">
        <v>2533</v>
      </c>
      <c r="F850" s="4" t="s">
        <v>38</v>
      </c>
      <c r="G850" s="4" t="s">
        <v>39</v>
      </c>
      <c r="H850" s="14"/>
      <c r="I850" s="4" t="s">
        <v>76</v>
      </c>
      <c r="J850" s="6"/>
      <c r="K850" s="7"/>
      <c r="L850" s="8" t="str">
        <f t="shared" si="104"/>
        <v>BUCARAMANGA</v>
      </c>
      <c r="O850" s="10"/>
    </row>
    <row r="851" ht="14.25" customHeight="1">
      <c r="A851" s="1" t="s">
        <v>2534</v>
      </c>
      <c r="B851" s="2" t="s">
        <v>27</v>
      </c>
      <c r="C851" s="2" t="s">
        <v>28</v>
      </c>
      <c r="D851" s="2" t="s">
        <v>2535</v>
      </c>
      <c r="E851" s="3" t="s">
        <v>2536</v>
      </c>
      <c r="F851" s="4" t="s">
        <v>38</v>
      </c>
      <c r="G851" s="4" t="s">
        <v>39</v>
      </c>
      <c r="H851" s="4" t="s">
        <v>58</v>
      </c>
      <c r="I851" s="4" t="s">
        <v>561</v>
      </c>
      <c r="J851" s="6"/>
      <c r="K851" s="7"/>
      <c r="L851" s="8" t="str">
        <f t="shared" si="104"/>
        <v>BUCARAMANGA</v>
      </c>
      <c r="O851" s="10"/>
    </row>
    <row r="852" ht="14.25" hidden="1" customHeight="1">
      <c r="A852" s="13" t="s">
        <v>2537</v>
      </c>
      <c r="B852" s="4" t="s">
        <v>27</v>
      </c>
      <c r="C852" s="4" t="s">
        <v>28</v>
      </c>
      <c r="D852" s="4" t="s">
        <v>2538</v>
      </c>
      <c r="E852" s="4">
        <v>3.125007711E9</v>
      </c>
      <c r="F852" s="4" t="s">
        <v>30</v>
      </c>
      <c r="G852" s="4" t="s">
        <v>31</v>
      </c>
      <c r="H852" s="14"/>
      <c r="I852" s="4" t="s">
        <v>32</v>
      </c>
      <c r="J852" s="14"/>
      <c r="K852" s="14"/>
      <c r="L852" s="14"/>
    </row>
    <row r="853" ht="14.25" customHeight="1">
      <c r="A853" s="1" t="s">
        <v>2539</v>
      </c>
      <c r="B853" s="2" t="s">
        <v>27</v>
      </c>
      <c r="C853" s="2" t="s">
        <v>28</v>
      </c>
      <c r="D853" s="2" t="s">
        <v>2540</v>
      </c>
      <c r="E853" s="3" t="s">
        <v>2541</v>
      </c>
      <c r="F853" s="4" t="s">
        <v>38</v>
      </c>
      <c r="G853" s="4" t="s">
        <v>81</v>
      </c>
      <c r="H853" s="14"/>
      <c r="I853" s="4" t="s">
        <v>164</v>
      </c>
      <c r="J853" s="6"/>
      <c r="K853" s="7"/>
      <c r="L853" s="8" t="str">
        <f>UPPER(G853)</f>
        <v>FLORIDABLANCA</v>
      </c>
      <c r="O853" s="10"/>
    </row>
    <row r="854" ht="14.25" hidden="1" customHeight="1">
      <c r="A854" s="13" t="s">
        <v>2542</v>
      </c>
      <c r="B854" s="4" t="s">
        <v>27</v>
      </c>
      <c r="C854" s="4" t="s">
        <v>28</v>
      </c>
      <c r="D854" s="4" t="s">
        <v>2543</v>
      </c>
      <c r="E854" s="4">
        <v>3.213287911E9</v>
      </c>
      <c r="F854" s="4" t="s">
        <v>30</v>
      </c>
      <c r="G854" s="4" t="s">
        <v>35</v>
      </c>
      <c r="H854" s="14"/>
      <c r="I854" s="4" t="s">
        <v>32</v>
      </c>
      <c r="J854" s="14"/>
      <c r="K854" s="14"/>
      <c r="L854" s="14"/>
    </row>
    <row r="855" ht="14.25" hidden="1" customHeight="1">
      <c r="A855" s="13" t="s">
        <v>2544</v>
      </c>
      <c r="B855" s="4" t="s">
        <v>27</v>
      </c>
      <c r="C855" s="4" t="s">
        <v>28</v>
      </c>
      <c r="D855" s="4" t="s">
        <v>2545</v>
      </c>
      <c r="E855" s="4">
        <v>3.118713141E9</v>
      </c>
      <c r="F855" s="4" t="s">
        <v>30</v>
      </c>
      <c r="G855" s="4" t="s">
        <v>35</v>
      </c>
      <c r="H855" s="14"/>
      <c r="I855" s="4" t="s">
        <v>32</v>
      </c>
      <c r="J855" s="14"/>
      <c r="K855" s="14"/>
      <c r="L855" s="14"/>
    </row>
    <row r="856" ht="14.25" customHeight="1">
      <c r="A856" s="1" t="s">
        <v>2546</v>
      </c>
      <c r="B856" s="2" t="s">
        <v>27</v>
      </c>
      <c r="C856" s="2" t="s">
        <v>28</v>
      </c>
      <c r="D856" s="2" t="s">
        <v>2547</v>
      </c>
      <c r="E856" s="3" t="s">
        <v>2548</v>
      </c>
      <c r="F856" s="4" t="s">
        <v>38</v>
      </c>
      <c r="G856" s="4" t="s">
        <v>39</v>
      </c>
      <c r="H856" s="4" t="s">
        <v>40</v>
      </c>
      <c r="I856" s="4" t="s">
        <v>561</v>
      </c>
      <c r="J856" s="6"/>
      <c r="K856" s="7"/>
      <c r="L856" s="8" t="str">
        <f t="shared" ref="L856:L858" si="105">UPPER(G856)</f>
        <v>BUCARAMANGA</v>
      </c>
      <c r="O856" s="10"/>
    </row>
    <row r="857" ht="14.25" customHeight="1">
      <c r="A857" s="1" t="s">
        <v>2549</v>
      </c>
      <c r="B857" s="2" t="s">
        <v>27</v>
      </c>
      <c r="C857" s="2" t="s">
        <v>28</v>
      </c>
      <c r="D857" s="2" t="s">
        <v>2550</v>
      </c>
      <c r="E857" s="3" t="s">
        <v>2551</v>
      </c>
      <c r="F857" s="4" t="s">
        <v>38</v>
      </c>
      <c r="G857" s="4" t="s">
        <v>113</v>
      </c>
      <c r="H857" s="4" t="s">
        <v>2552</v>
      </c>
      <c r="I857" s="4" t="s">
        <v>358</v>
      </c>
      <c r="J857" s="6" t="s">
        <v>2553</v>
      </c>
      <c r="K857" s="7">
        <v>10.0</v>
      </c>
      <c r="L857" s="8" t="str">
        <f t="shared" si="105"/>
        <v>BARRANCABERMEJA</v>
      </c>
      <c r="O857" s="10"/>
    </row>
    <row r="858" ht="14.25" customHeight="1">
      <c r="A858" s="1" t="s">
        <v>2554</v>
      </c>
      <c r="B858" s="2" t="s">
        <v>27</v>
      </c>
      <c r="C858" s="2" t="s">
        <v>28</v>
      </c>
      <c r="D858" s="2" t="s">
        <v>2555</v>
      </c>
      <c r="E858" s="3" t="s">
        <v>2556</v>
      </c>
      <c r="F858" s="4" t="s">
        <v>38</v>
      </c>
      <c r="G858" s="4" t="s">
        <v>39</v>
      </c>
      <c r="H858" s="4" t="s">
        <v>2557</v>
      </c>
      <c r="I858" s="4" t="s">
        <v>561</v>
      </c>
      <c r="J858" s="6"/>
      <c r="K858" s="7"/>
      <c r="L858" s="8" t="str">
        <f t="shared" si="105"/>
        <v>BUCARAMANGA</v>
      </c>
      <c r="O858" s="10"/>
    </row>
    <row r="859" ht="14.25" hidden="1" customHeight="1">
      <c r="A859" s="13" t="s">
        <v>2558</v>
      </c>
      <c r="B859" s="4" t="s">
        <v>27</v>
      </c>
      <c r="C859" s="4" t="s">
        <v>28</v>
      </c>
      <c r="D859" s="4" t="s">
        <v>2559</v>
      </c>
      <c r="E859" s="4">
        <v>3.113867755E9</v>
      </c>
      <c r="F859" s="4" t="s">
        <v>30</v>
      </c>
      <c r="G859" s="4" t="s">
        <v>35</v>
      </c>
      <c r="H859" s="14"/>
      <c r="I859" s="4" t="s">
        <v>32</v>
      </c>
      <c r="J859" s="14"/>
      <c r="K859" s="14"/>
      <c r="L859" s="14"/>
    </row>
    <row r="860" ht="14.25" customHeight="1">
      <c r="A860" s="1" t="s">
        <v>2560</v>
      </c>
      <c r="B860" s="2" t="s">
        <v>27</v>
      </c>
      <c r="C860" s="2" t="s">
        <v>28</v>
      </c>
      <c r="D860" s="2" t="s">
        <v>2561</v>
      </c>
      <c r="E860" s="3" t="s">
        <v>2562</v>
      </c>
      <c r="F860" s="4" t="s">
        <v>38</v>
      </c>
      <c r="G860" s="4" t="s">
        <v>170</v>
      </c>
      <c r="H860" s="14"/>
      <c r="I860" s="4" t="s">
        <v>164</v>
      </c>
      <c r="J860" s="6"/>
      <c r="K860" s="7"/>
      <c r="L860" s="8" t="str">
        <f t="shared" ref="L860:L861" si="106">UPPER(G860)</f>
        <v>GUADALUPE</v>
      </c>
      <c r="O860" s="10"/>
    </row>
    <row r="861" ht="14.25" customHeight="1">
      <c r="A861" s="1" t="s">
        <v>2563</v>
      </c>
      <c r="B861" s="2" t="s">
        <v>27</v>
      </c>
      <c r="C861" s="2" t="s">
        <v>28</v>
      </c>
      <c r="D861" s="2" t="s">
        <v>2564</v>
      </c>
      <c r="E861" s="3" t="s">
        <v>2565</v>
      </c>
      <c r="F861" s="4" t="s">
        <v>69</v>
      </c>
      <c r="G861" s="4" t="s">
        <v>69</v>
      </c>
      <c r="H861" s="14"/>
      <c r="I861" s="4" t="s">
        <v>51</v>
      </c>
      <c r="J861" s="6"/>
      <c r="K861" s="7"/>
      <c r="L861" s="8" t="str">
        <f t="shared" si="106"/>
        <v>BOGOTA</v>
      </c>
      <c r="O861" s="10"/>
    </row>
    <row r="862" ht="14.25" hidden="1" customHeight="1">
      <c r="A862" s="13" t="s">
        <v>2566</v>
      </c>
      <c r="B862" s="4" t="s">
        <v>27</v>
      </c>
      <c r="C862" s="4" t="s">
        <v>28</v>
      </c>
      <c r="D862" s="4" t="s">
        <v>2567</v>
      </c>
      <c r="E862" s="4">
        <v>3.166026011E9</v>
      </c>
      <c r="F862" s="4" t="s">
        <v>30</v>
      </c>
      <c r="G862" s="4" t="s">
        <v>35</v>
      </c>
      <c r="H862" s="14"/>
      <c r="I862" s="4" t="s">
        <v>32</v>
      </c>
      <c r="J862" s="14"/>
      <c r="K862" s="14"/>
      <c r="L862" s="14"/>
    </row>
    <row r="863" ht="14.25" customHeight="1">
      <c r="A863" s="1" t="s">
        <v>2568</v>
      </c>
      <c r="B863" s="2" t="s">
        <v>27</v>
      </c>
      <c r="C863" s="2" t="s">
        <v>28</v>
      </c>
      <c r="D863" s="2" t="s">
        <v>2569</v>
      </c>
      <c r="E863" s="3" t="s">
        <v>2570</v>
      </c>
      <c r="F863" s="4" t="s">
        <v>38</v>
      </c>
      <c r="G863" s="4" t="s">
        <v>39</v>
      </c>
      <c r="H863" s="14"/>
      <c r="I863" s="4" t="s">
        <v>358</v>
      </c>
      <c r="J863" s="6"/>
      <c r="K863" s="7"/>
      <c r="L863" s="8" t="str">
        <f t="shared" ref="L863:L865" si="107">UPPER(G863)</f>
        <v>BUCARAMANGA</v>
      </c>
      <c r="O863" s="10"/>
    </row>
    <row r="864" ht="14.25" customHeight="1">
      <c r="A864" s="1" t="s">
        <v>2571</v>
      </c>
      <c r="B864" s="2" t="s">
        <v>27</v>
      </c>
      <c r="C864" s="2" t="s">
        <v>66</v>
      </c>
      <c r="D864" s="2" t="s">
        <v>2572</v>
      </c>
      <c r="E864" s="3" t="s">
        <v>2573</v>
      </c>
      <c r="F864" s="4" t="s">
        <v>38</v>
      </c>
      <c r="G864" s="4" t="s">
        <v>113</v>
      </c>
      <c r="H864" s="4" t="s">
        <v>357</v>
      </c>
      <c r="I864" s="4" t="s">
        <v>358</v>
      </c>
      <c r="J864" s="6" t="s">
        <v>1435</v>
      </c>
      <c r="K864" s="7">
        <v>8.0</v>
      </c>
      <c r="L864" s="8" t="str">
        <f t="shared" si="107"/>
        <v>BARRANCABERMEJA</v>
      </c>
      <c r="O864" s="10"/>
    </row>
    <row r="865" ht="14.25" customHeight="1">
      <c r="A865" s="1" t="s">
        <v>2574</v>
      </c>
      <c r="B865" s="2" t="s">
        <v>27</v>
      </c>
      <c r="C865" s="2" t="s">
        <v>28</v>
      </c>
      <c r="D865" s="2" t="s">
        <v>2575</v>
      </c>
      <c r="E865" s="3" t="s">
        <v>2576</v>
      </c>
      <c r="F865" s="4" t="s">
        <v>38</v>
      </c>
      <c r="G865" s="4" t="s">
        <v>170</v>
      </c>
      <c r="H865" s="30"/>
      <c r="I865" s="4" t="s">
        <v>164</v>
      </c>
      <c r="J865" s="6"/>
      <c r="K865" s="7"/>
      <c r="L865" s="8" t="str">
        <f t="shared" si="107"/>
        <v>GUADALUPE</v>
      </c>
      <c r="O865" s="10"/>
    </row>
    <row r="866" ht="14.25" hidden="1" customHeight="1">
      <c r="A866" s="13" t="s">
        <v>2577</v>
      </c>
      <c r="B866" s="4" t="s">
        <v>27</v>
      </c>
      <c r="C866" s="4" t="s">
        <v>28</v>
      </c>
      <c r="D866" s="4" t="s">
        <v>2578</v>
      </c>
      <c r="E866" s="4">
        <v>3.222316412E9</v>
      </c>
      <c r="F866" s="4" t="s">
        <v>30</v>
      </c>
      <c r="G866" s="4" t="s">
        <v>35</v>
      </c>
      <c r="H866" s="14"/>
      <c r="I866" s="4" t="s">
        <v>32</v>
      </c>
      <c r="J866" s="14"/>
      <c r="K866" s="14"/>
      <c r="L866" s="14"/>
    </row>
    <row r="867" ht="14.25" customHeight="1">
      <c r="A867" s="1" t="s">
        <v>2579</v>
      </c>
      <c r="B867" s="2" t="s">
        <v>27</v>
      </c>
      <c r="C867" s="2" t="s">
        <v>28</v>
      </c>
      <c r="D867" s="2" t="s">
        <v>2580</v>
      </c>
      <c r="E867" s="3" t="s">
        <v>2581</v>
      </c>
      <c r="F867" s="4" t="s">
        <v>38</v>
      </c>
      <c r="G867" s="4" t="s">
        <v>39</v>
      </c>
      <c r="H867" s="14"/>
      <c r="I867" s="4" t="s">
        <v>76</v>
      </c>
      <c r="J867" s="6"/>
      <c r="K867" s="7"/>
      <c r="L867" s="8" t="str">
        <f>UPPER(G867)</f>
        <v>BUCARAMANGA</v>
      </c>
      <c r="O867" s="10"/>
    </row>
    <row r="868" ht="14.25" hidden="1" customHeight="1">
      <c r="A868" s="13" t="s">
        <v>2582</v>
      </c>
      <c r="B868" s="4" t="s">
        <v>27</v>
      </c>
      <c r="C868" s="4" t="s">
        <v>28</v>
      </c>
      <c r="D868" s="4" t="s">
        <v>2580</v>
      </c>
      <c r="E868" s="4">
        <v>3.113867755E9</v>
      </c>
      <c r="F868" s="4" t="s">
        <v>30</v>
      </c>
      <c r="G868" s="4" t="s">
        <v>35</v>
      </c>
      <c r="H868" s="14"/>
      <c r="I868" s="4" t="s">
        <v>32</v>
      </c>
      <c r="J868" s="14"/>
      <c r="K868" s="14"/>
      <c r="L868" s="14"/>
    </row>
    <row r="869" ht="14.25" hidden="1" customHeight="1">
      <c r="A869" s="13" t="s">
        <v>2583</v>
      </c>
      <c r="B869" s="4" t="s">
        <v>27</v>
      </c>
      <c r="C869" s="4" t="s">
        <v>28</v>
      </c>
      <c r="D869" s="4" t="s">
        <v>2584</v>
      </c>
      <c r="E869" s="4">
        <v>3.225419363E9</v>
      </c>
      <c r="F869" s="4" t="s">
        <v>30</v>
      </c>
      <c r="G869" s="4" t="s">
        <v>35</v>
      </c>
      <c r="H869" s="14"/>
      <c r="I869" s="4" t="s">
        <v>32</v>
      </c>
      <c r="J869" s="14"/>
      <c r="K869" s="14"/>
      <c r="L869" s="14"/>
    </row>
    <row r="870" ht="14.25" hidden="1" customHeight="1">
      <c r="A870" s="13" t="s">
        <v>2585</v>
      </c>
      <c r="B870" s="4" t="s">
        <v>27</v>
      </c>
      <c r="C870" s="4" t="s">
        <v>28</v>
      </c>
      <c r="D870" s="4" t="s">
        <v>2586</v>
      </c>
      <c r="E870" s="4">
        <v>3.22292338E9</v>
      </c>
      <c r="F870" s="4" t="s">
        <v>30</v>
      </c>
      <c r="G870" s="4" t="s">
        <v>31</v>
      </c>
      <c r="H870" s="14"/>
      <c r="I870" s="4" t="s">
        <v>32</v>
      </c>
      <c r="J870" s="14"/>
      <c r="K870" s="14"/>
      <c r="L870" s="14"/>
    </row>
    <row r="871" ht="14.25" customHeight="1">
      <c r="A871" s="1" t="s">
        <v>2587</v>
      </c>
      <c r="B871" s="2" t="s">
        <v>27</v>
      </c>
      <c r="C871" s="2" t="s">
        <v>28</v>
      </c>
      <c r="D871" s="2" t="s">
        <v>2588</v>
      </c>
      <c r="E871" s="3" t="s">
        <v>2589</v>
      </c>
      <c r="F871" s="4" t="s">
        <v>38</v>
      </c>
      <c r="G871" s="4" t="s">
        <v>39</v>
      </c>
      <c r="H871" s="14"/>
      <c r="I871" s="4" t="s">
        <v>76</v>
      </c>
      <c r="J871" s="6"/>
      <c r="K871" s="7"/>
      <c r="L871" s="8" t="str">
        <f>UPPER(G871)</f>
        <v>BUCARAMANGA</v>
      </c>
      <c r="O871" s="10"/>
    </row>
    <row r="872" ht="14.25" hidden="1" customHeight="1">
      <c r="A872" s="13" t="s">
        <v>2590</v>
      </c>
      <c r="B872" s="4" t="s">
        <v>27</v>
      </c>
      <c r="C872" s="4" t="s">
        <v>28</v>
      </c>
      <c r="D872" s="4" t="s">
        <v>2591</v>
      </c>
      <c r="E872" s="4">
        <v>3.126882431E9</v>
      </c>
      <c r="F872" s="4" t="s">
        <v>30</v>
      </c>
      <c r="G872" s="4" t="s">
        <v>35</v>
      </c>
      <c r="H872" s="14"/>
      <c r="I872" s="4" t="s">
        <v>32</v>
      </c>
      <c r="J872" s="14"/>
      <c r="K872" s="14"/>
      <c r="L872" s="14"/>
    </row>
    <row r="873" ht="14.25" hidden="1" customHeight="1">
      <c r="A873" s="13" t="s">
        <v>2592</v>
      </c>
      <c r="B873" s="4" t="s">
        <v>27</v>
      </c>
      <c r="C873" s="4" t="s">
        <v>28</v>
      </c>
      <c r="D873" s="4" t="s">
        <v>2591</v>
      </c>
      <c r="E873" s="4">
        <v>3.23450271E9</v>
      </c>
      <c r="F873" s="4" t="s">
        <v>30</v>
      </c>
      <c r="G873" s="4" t="s">
        <v>35</v>
      </c>
      <c r="H873" s="14"/>
      <c r="I873" s="4" t="s">
        <v>32</v>
      </c>
      <c r="J873" s="14"/>
      <c r="K873" s="14"/>
      <c r="L873" s="14"/>
    </row>
    <row r="874" ht="14.25" customHeight="1">
      <c r="A874" s="1" t="s">
        <v>2593</v>
      </c>
      <c r="B874" s="2" t="s">
        <v>27</v>
      </c>
      <c r="C874" s="2" t="s">
        <v>28</v>
      </c>
      <c r="D874" s="2" t="s">
        <v>2594</v>
      </c>
      <c r="E874" s="3" t="s">
        <v>2595</v>
      </c>
      <c r="F874" s="4" t="s">
        <v>38</v>
      </c>
      <c r="G874" s="4" t="s">
        <v>113</v>
      </c>
      <c r="H874" s="4" t="s">
        <v>1904</v>
      </c>
      <c r="I874" s="4" t="s">
        <v>540</v>
      </c>
      <c r="J874" s="6"/>
      <c r="K874" s="7"/>
      <c r="L874" s="8" t="str">
        <f t="shared" ref="L874:L876" si="108">UPPER(G874)</f>
        <v>BARRANCABERMEJA</v>
      </c>
      <c r="O874" s="10"/>
    </row>
    <row r="875" ht="14.25" customHeight="1">
      <c r="A875" s="1" t="s">
        <v>2596</v>
      </c>
      <c r="B875" s="2" t="s">
        <v>27</v>
      </c>
      <c r="C875" s="2" t="s">
        <v>28</v>
      </c>
      <c r="D875" s="2" t="s">
        <v>2597</v>
      </c>
      <c r="E875" s="3" t="s">
        <v>2598</v>
      </c>
      <c r="F875" s="4" t="s">
        <v>38</v>
      </c>
      <c r="G875" s="4" t="s">
        <v>39</v>
      </c>
      <c r="H875" s="4" t="s">
        <v>58</v>
      </c>
      <c r="I875" s="4" t="s">
        <v>561</v>
      </c>
      <c r="J875" s="6"/>
      <c r="K875" s="7"/>
      <c r="L875" s="8" t="str">
        <f t="shared" si="108"/>
        <v>BUCARAMANGA</v>
      </c>
      <c r="O875" s="10"/>
    </row>
    <row r="876" ht="14.25" customHeight="1">
      <c r="A876" s="1" t="s">
        <v>2599</v>
      </c>
      <c r="B876" s="2" t="s">
        <v>27</v>
      </c>
      <c r="C876" s="2" t="s">
        <v>28</v>
      </c>
      <c r="D876" s="2" t="s">
        <v>2600</v>
      </c>
      <c r="E876" s="3" t="s">
        <v>2601</v>
      </c>
      <c r="F876" s="4" t="s">
        <v>38</v>
      </c>
      <c r="G876" s="4" t="s">
        <v>81</v>
      </c>
      <c r="H876" s="4" t="s">
        <v>489</v>
      </c>
      <c r="I876" s="4" t="s">
        <v>561</v>
      </c>
      <c r="J876" s="6"/>
      <c r="K876" s="7"/>
      <c r="L876" s="8" t="str">
        <f t="shared" si="108"/>
        <v>FLORIDABLANCA</v>
      </c>
      <c r="O876" s="10"/>
    </row>
    <row r="877" ht="14.25" hidden="1" customHeight="1">
      <c r="A877" s="13" t="s">
        <v>2602</v>
      </c>
      <c r="B877" s="4" t="s">
        <v>27</v>
      </c>
      <c r="C877" s="4" t="s">
        <v>28</v>
      </c>
      <c r="D877" s="4" t="s">
        <v>2603</v>
      </c>
      <c r="E877" s="4">
        <v>3.118713141E9</v>
      </c>
      <c r="F877" s="4" t="s">
        <v>30</v>
      </c>
      <c r="G877" s="4" t="s">
        <v>35</v>
      </c>
      <c r="H877" s="14"/>
      <c r="I877" s="4" t="s">
        <v>32</v>
      </c>
      <c r="J877" s="14"/>
      <c r="K877" s="14"/>
      <c r="L877" s="14"/>
    </row>
    <row r="878" ht="14.25" hidden="1" customHeight="1">
      <c r="A878" s="13" t="s">
        <v>2604</v>
      </c>
      <c r="B878" s="4" t="s">
        <v>27</v>
      </c>
      <c r="C878" s="4" t="s">
        <v>28</v>
      </c>
      <c r="D878" s="4" t="s">
        <v>2605</v>
      </c>
      <c r="E878" s="4">
        <v>3.118713141E9</v>
      </c>
      <c r="F878" s="4" t="s">
        <v>30</v>
      </c>
      <c r="G878" s="4" t="s">
        <v>35</v>
      </c>
      <c r="H878" s="14"/>
      <c r="I878" s="4" t="s">
        <v>32</v>
      </c>
      <c r="J878" s="14"/>
      <c r="K878" s="14"/>
      <c r="L878" s="14"/>
    </row>
    <row r="879" ht="14.25" customHeight="1">
      <c r="A879" s="1" t="s">
        <v>2606</v>
      </c>
      <c r="B879" s="2" t="s">
        <v>65</v>
      </c>
      <c r="C879" s="2" t="s">
        <v>66</v>
      </c>
      <c r="D879" s="2" t="s">
        <v>2607</v>
      </c>
      <c r="E879" s="3" t="s">
        <v>2608</v>
      </c>
      <c r="F879" s="4" t="s">
        <v>38</v>
      </c>
      <c r="G879" s="4" t="s">
        <v>39</v>
      </c>
      <c r="H879" s="14"/>
      <c r="I879" s="4" t="s">
        <v>540</v>
      </c>
      <c r="J879" s="6"/>
      <c r="K879" s="7"/>
      <c r="L879" s="8" t="str">
        <f>UPPER(G879)</f>
        <v>BUCARAMANGA</v>
      </c>
      <c r="O879" s="10"/>
    </row>
    <row r="880" ht="14.25" hidden="1" customHeight="1">
      <c r="A880" s="13" t="s">
        <v>2609</v>
      </c>
      <c r="B880" s="4" t="s">
        <v>27</v>
      </c>
      <c r="C880" s="4" t="s">
        <v>28</v>
      </c>
      <c r="D880" s="4" t="s">
        <v>2610</v>
      </c>
      <c r="E880" s="4">
        <v>3.102211527E9</v>
      </c>
      <c r="F880" s="4" t="s">
        <v>30</v>
      </c>
      <c r="G880" s="4" t="s">
        <v>35</v>
      </c>
      <c r="H880" s="14"/>
      <c r="I880" s="4" t="s">
        <v>32</v>
      </c>
      <c r="J880" s="14"/>
      <c r="K880" s="14"/>
      <c r="L880" s="14"/>
    </row>
    <row r="881" ht="14.25" customHeight="1">
      <c r="A881" s="1" t="s">
        <v>2611</v>
      </c>
      <c r="B881" s="2" t="s">
        <v>27</v>
      </c>
      <c r="C881" s="2" t="s">
        <v>28</v>
      </c>
      <c r="D881" s="2" t="s">
        <v>2612</v>
      </c>
      <c r="E881" s="3" t="s">
        <v>2613</v>
      </c>
      <c r="F881" s="4" t="s">
        <v>38</v>
      </c>
      <c r="G881" s="4" t="s">
        <v>39</v>
      </c>
      <c r="H881" s="4" t="s">
        <v>40</v>
      </c>
      <c r="I881" s="4" t="s">
        <v>561</v>
      </c>
      <c r="J881" s="6"/>
      <c r="K881" s="7"/>
      <c r="L881" s="8" t="str">
        <f>UPPER(G881)</f>
        <v>BUCARAMANGA</v>
      </c>
      <c r="O881" s="10"/>
    </row>
    <row r="882" ht="14.25" hidden="1" customHeight="1">
      <c r="A882" s="13" t="s">
        <v>2614</v>
      </c>
      <c r="B882" s="4" t="s">
        <v>27</v>
      </c>
      <c r="C882" s="4" t="s">
        <v>28</v>
      </c>
      <c r="D882" s="4" t="s">
        <v>2615</v>
      </c>
      <c r="E882" s="4">
        <v>3.1153432E9</v>
      </c>
      <c r="F882" s="4" t="s">
        <v>30</v>
      </c>
      <c r="G882" s="4" t="s">
        <v>35</v>
      </c>
      <c r="H882" s="14"/>
      <c r="I882" s="4" t="s">
        <v>32</v>
      </c>
      <c r="J882" s="14"/>
      <c r="K882" s="14"/>
      <c r="L882" s="14"/>
    </row>
    <row r="883" ht="14.25" customHeight="1">
      <c r="A883" s="1" t="s">
        <v>2616</v>
      </c>
      <c r="B883" s="2" t="s">
        <v>27</v>
      </c>
      <c r="C883" s="2" t="s">
        <v>28</v>
      </c>
      <c r="D883" s="2" t="s">
        <v>2617</v>
      </c>
      <c r="E883" s="3" t="s">
        <v>2618</v>
      </c>
      <c r="F883" s="4" t="s">
        <v>38</v>
      </c>
      <c r="G883" s="4" t="s">
        <v>39</v>
      </c>
      <c r="H883" s="4" t="s">
        <v>40</v>
      </c>
      <c r="I883" s="4" t="s">
        <v>561</v>
      </c>
      <c r="J883" s="6"/>
      <c r="K883" s="7"/>
      <c r="L883" s="8" t="str">
        <f>UPPER(G883)</f>
        <v>BUCARAMANGA</v>
      </c>
      <c r="O883" s="10"/>
    </row>
    <row r="884" ht="14.25" hidden="1" customHeight="1">
      <c r="A884" s="13" t="s">
        <v>2619</v>
      </c>
      <c r="B884" s="4" t="s">
        <v>27</v>
      </c>
      <c r="C884" s="4" t="s">
        <v>28</v>
      </c>
      <c r="D884" s="4" t="s">
        <v>2620</v>
      </c>
      <c r="E884" s="4">
        <v>3.14294672E9</v>
      </c>
      <c r="F884" s="4" t="s">
        <v>30</v>
      </c>
      <c r="G884" s="4" t="s">
        <v>35</v>
      </c>
      <c r="H884" s="14"/>
      <c r="I884" s="4" t="s">
        <v>32</v>
      </c>
      <c r="J884" s="14"/>
      <c r="K884" s="14"/>
      <c r="L884" s="14"/>
    </row>
    <row r="885" ht="14.25" customHeight="1">
      <c r="A885" s="1" t="s">
        <v>2621</v>
      </c>
      <c r="B885" s="2" t="s">
        <v>27</v>
      </c>
      <c r="C885" s="2" t="s">
        <v>28</v>
      </c>
      <c r="D885" s="2" t="s">
        <v>2622</v>
      </c>
      <c r="E885" s="3" t="s">
        <v>2623</v>
      </c>
      <c r="F885" s="4" t="s">
        <v>69</v>
      </c>
      <c r="G885" s="4" t="s">
        <v>69</v>
      </c>
      <c r="H885" s="14"/>
      <c r="I885" s="4" t="s">
        <v>51</v>
      </c>
      <c r="J885" s="6"/>
      <c r="K885" s="7"/>
      <c r="L885" s="8" t="str">
        <f>UPPER(G885)</f>
        <v>BOGOTA</v>
      </c>
      <c r="O885" s="10"/>
    </row>
    <row r="886" ht="14.25" hidden="1" customHeight="1">
      <c r="A886" s="13" t="s">
        <v>2624</v>
      </c>
      <c r="B886" s="4" t="s">
        <v>27</v>
      </c>
      <c r="C886" s="4" t="s">
        <v>28</v>
      </c>
      <c r="D886" s="4" t="s">
        <v>2625</v>
      </c>
      <c r="E886" s="4">
        <v>3.125440939E9</v>
      </c>
      <c r="F886" s="4" t="s">
        <v>30</v>
      </c>
      <c r="G886" s="4" t="s">
        <v>35</v>
      </c>
      <c r="H886" s="14"/>
      <c r="I886" s="4" t="s">
        <v>32</v>
      </c>
      <c r="J886" s="14"/>
      <c r="K886" s="14"/>
      <c r="L886" s="14"/>
    </row>
    <row r="887" ht="14.25" customHeight="1">
      <c r="A887" s="1" t="s">
        <v>2626</v>
      </c>
      <c r="B887" s="2" t="s">
        <v>27</v>
      </c>
      <c r="C887" s="2" t="s">
        <v>28</v>
      </c>
      <c r="D887" s="2" t="s">
        <v>2627</v>
      </c>
      <c r="E887" s="3" t="s">
        <v>2628</v>
      </c>
      <c r="F887" s="4" t="s">
        <v>38</v>
      </c>
      <c r="G887" s="4" t="s">
        <v>170</v>
      </c>
      <c r="H887" s="14"/>
      <c r="I887" s="4" t="s">
        <v>164</v>
      </c>
      <c r="J887" s="6"/>
      <c r="K887" s="7"/>
      <c r="L887" s="8" t="str">
        <f t="shared" ref="L887:L888" si="109">UPPER(G887)</f>
        <v>GUADALUPE</v>
      </c>
      <c r="O887" s="10"/>
    </row>
    <row r="888" ht="14.25" customHeight="1">
      <c r="A888" s="1" t="s">
        <v>2629</v>
      </c>
      <c r="B888" s="2" t="s">
        <v>27</v>
      </c>
      <c r="C888" s="2" t="s">
        <v>28</v>
      </c>
      <c r="D888" s="2" t="s">
        <v>2630</v>
      </c>
      <c r="E888" s="3" t="s">
        <v>2631</v>
      </c>
      <c r="F888" s="4" t="s">
        <v>38</v>
      </c>
      <c r="G888" s="4" t="s">
        <v>39</v>
      </c>
      <c r="H888" s="14"/>
      <c r="I888" s="4" t="s">
        <v>164</v>
      </c>
      <c r="J888" s="6"/>
      <c r="K888" s="7"/>
      <c r="L888" s="8" t="str">
        <f t="shared" si="109"/>
        <v>BUCARAMANGA</v>
      </c>
      <c r="O888" s="10"/>
    </row>
    <row r="889" ht="14.25" hidden="1" customHeight="1">
      <c r="A889" s="13" t="s">
        <v>2632</v>
      </c>
      <c r="B889" s="4" t="s">
        <v>27</v>
      </c>
      <c r="C889" s="4" t="s">
        <v>28</v>
      </c>
      <c r="D889" s="4" t="s">
        <v>2633</v>
      </c>
      <c r="E889" s="4">
        <v>3.104858589E9</v>
      </c>
      <c r="F889" s="4" t="s">
        <v>30</v>
      </c>
      <c r="G889" s="4" t="s">
        <v>31</v>
      </c>
      <c r="H889" s="14"/>
      <c r="I889" s="4" t="s">
        <v>32</v>
      </c>
      <c r="J889" s="14"/>
      <c r="K889" s="14"/>
      <c r="L889" s="14"/>
    </row>
    <row r="890" ht="14.25" customHeight="1">
      <c r="A890" s="1" t="s">
        <v>2634</v>
      </c>
      <c r="B890" s="2" t="s">
        <v>65</v>
      </c>
      <c r="C890" s="2" t="s">
        <v>28</v>
      </c>
      <c r="D890" s="2" t="s">
        <v>2635</v>
      </c>
      <c r="E890" s="3" t="s">
        <v>2636</v>
      </c>
      <c r="F890" s="4" t="s">
        <v>38</v>
      </c>
      <c r="G890" s="4" t="s">
        <v>39</v>
      </c>
      <c r="H890" s="14"/>
      <c r="I890" s="4" t="s">
        <v>540</v>
      </c>
      <c r="J890" s="6"/>
      <c r="K890" s="7"/>
      <c r="L890" s="8" t="str">
        <f t="shared" ref="L890:L895" si="110">UPPER(G890)</f>
        <v>BUCARAMANGA</v>
      </c>
      <c r="O890" s="10"/>
    </row>
    <row r="891" ht="14.25" customHeight="1">
      <c r="A891" s="1" t="s">
        <v>2637</v>
      </c>
      <c r="B891" s="2" t="s">
        <v>27</v>
      </c>
      <c r="C891" s="2" t="s">
        <v>28</v>
      </c>
      <c r="D891" s="2" t="s">
        <v>2638</v>
      </c>
      <c r="E891" s="3" t="s">
        <v>2639</v>
      </c>
      <c r="F891" s="4" t="s">
        <v>105</v>
      </c>
      <c r="G891" s="4" t="s">
        <v>225</v>
      </c>
      <c r="H891" s="14"/>
      <c r="I891" s="4" t="s">
        <v>51</v>
      </c>
      <c r="J891" s="6"/>
      <c r="K891" s="7"/>
      <c r="L891" s="8" t="str">
        <f t="shared" si="110"/>
        <v>MEDELLIN</v>
      </c>
      <c r="O891" s="10"/>
    </row>
    <row r="892" ht="14.25" customHeight="1">
      <c r="A892" s="1" t="s">
        <v>2640</v>
      </c>
      <c r="B892" s="2" t="s">
        <v>27</v>
      </c>
      <c r="C892" s="2" t="s">
        <v>28</v>
      </c>
      <c r="D892" s="2" t="s">
        <v>2641</v>
      </c>
      <c r="E892" s="3" t="s">
        <v>2642</v>
      </c>
      <c r="F892" s="4" t="s">
        <v>105</v>
      </c>
      <c r="G892" s="4" t="s">
        <v>225</v>
      </c>
      <c r="H892" s="14"/>
      <c r="I892" s="4" t="s">
        <v>51</v>
      </c>
      <c r="J892" s="6"/>
      <c r="K892" s="7"/>
      <c r="L892" s="8" t="str">
        <f t="shared" si="110"/>
        <v>MEDELLIN</v>
      </c>
      <c r="O892" s="10"/>
    </row>
    <row r="893" ht="14.25" customHeight="1">
      <c r="A893" s="1" t="s">
        <v>2643</v>
      </c>
      <c r="B893" s="2" t="s">
        <v>27</v>
      </c>
      <c r="C893" s="2" t="s">
        <v>28</v>
      </c>
      <c r="D893" s="2" t="s">
        <v>2644</v>
      </c>
      <c r="E893" s="3" t="s">
        <v>2645</v>
      </c>
      <c r="F893" s="4" t="s">
        <v>38</v>
      </c>
      <c r="G893" s="4" t="s">
        <v>81</v>
      </c>
      <c r="H893" s="14"/>
      <c r="I893" s="4" t="s">
        <v>51</v>
      </c>
      <c r="J893" s="6"/>
      <c r="K893" s="7"/>
      <c r="L893" s="8" t="str">
        <f t="shared" si="110"/>
        <v>FLORIDABLANCA</v>
      </c>
      <c r="O893" s="10"/>
    </row>
    <row r="894" ht="14.25" customHeight="1">
      <c r="A894" s="1" t="s">
        <v>2646</v>
      </c>
      <c r="B894" s="2" t="s">
        <v>27</v>
      </c>
      <c r="C894" s="2" t="s">
        <v>28</v>
      </c>
      <c r="D894" s="2" t="s">
        <v>2647</v>
      </c>
      <c r="E894" s="3" t="s">
        <v>2648</v>
      </c>
      <c r="F894" s="4" t="s">
        <v>38</v>
      </c>
      <c r="G894" s="4" t="s">
        <v>39</v>
      </c>
      <c r="H894" s="14"/>
      <c r="I894" s="4" t="s">
        <v>561</v>
      </c>
      <c r="J894" s="6" t="s">
        <v>1912</v>
      </c>
      <c r="K894" s="7"/>
      <c r="L894" s="8" t="str">
        <f t="shared" si="110"/>
        <v>BUCARAMANGA</v>
      </c>
      <c r="O894" s="10"/>
    </row>
    <row r="895" ht="14.25" customHeight="1">
      <c r="A895" s="1" t="s">
        <v>2649</v>
      </c>
      <c r="B895" s="2" t="s">
        <v>27</v>
      </c>
      <c r="C895" s="2" t="s">
        <v>28</v>
      </c>
      <c r="D895" s="2" t="s">
        <v>2650</v>
      </c>
      <c r="E895" s="3" t="s">
        <v>2651</v>
      </c>
      <c r="F895" s="4" t="s">
        <v>38</v>
      </c>
      <c r="G895" s="4" t="s">
        <v>75</v>
      </c>
      <c r="H895" s="14"/>
      <c r="I895" s="4" t="s">
        <v>76</v>
      </c>
      <c r="J895" s="6"/>
      <c r="K895" s="7"/>
      <c r="L895" s="8" t="str">
        <f t="shared" si="110"/>
        <v>GIRON</v>
      </c>
      <c r="O895" s="10"/>
    </row>
    <row r="896" ht="14.25" hidden="1" customHeight="1">
      <c r="A896" s="13" t="s">
        <v>2652</v>
      </c>
      <c r="B896" s="4" t="s">
        <v>27</v>
      </c>
      <c r="C896" s="4" t="s">
        <v>28</v>
      </c>
      <c r="D896" s="4" t="s">
        <v>2653</v>
      </c>
      <c r="E896" s="4">
        <v>3.126882431E9</v>
      </c>
      <c r="F896" s="4" t="s">
        <v>30</v>
      </c>
      <c r="G896" s="4" t="s">
        <v>35</v>
      </c>
      <c r="H896" s="14"/>
      <c r="I896" s="4" t="s">
        <v>32</v>
      </c>
      <c r="J896" s="14"/>
      <c r="K896" s="14"/>
      <c r="L896" s="14"/>
    </row>
    <row r="897" ht="14.25" hidden="1" customHeight="1">
      <c r="A897" s="13" t="s">
        <v>2654</v>
      </c>
      <c r="B897" s="4" t="s">
        <v>27</v>
      </c>
      <c r="C897" s="4" t="s">
        <v>28</v>
      </c>
      <c r="D897" s="4" t="s">
        <v>2653</v>
      </c>
      <c r="E897" s="4">
        <v>3.23450271E9</v>
      </c>
      <c r="F897" s="4" t="s">
        <v>30</v>
      </c>
      <c r="G897" s="4" t="s">
        <v>35</v>
      </c>
      <c r="H897" s="14"/>
      <c r="I897" s="4" t="s">
        <v>32</v>
      </c>
      <c r="J897" s="14"/>
      <c r="K897" s="14"/>
      <c r="L897" s="14"/>
    </row>
    <row r="898" ht="14.25" customHeight="1">
      <c r="A898" s="1" t="s">
        <v>2655</v>
      </c>
      <c r="B898" s="2" t="s">
        <v>27</v>
      </c>
      <c r="C898" s="2" t="s">
        <v>28</v>
      </c>
      <c r="D898" s="2" t="s">
        <v>2656</v>
      </c>
      <c r="E898" s="3" t="s">
        <v>2657</v>
      </c>
      <c r="F898" s="4" t="s">
        <v>69</v>
      </c>
      <c r="G898" s="4" t="s">
        <v>69</v>
      </c>
      <c r="H898" s="14"/>
      <c r="I898" s="4" t="s">
        <v>51</v>
      </c>
      <c r="J898" s="6"/>
      <c r="K898" s="7"/>
      <c r="L898" s="8" t="str">
        <f t="shared" ref="L898:L903" si="111">UPPER(G898)</f>
        <v>BOGOTA</v>
      </c>
      <c r="O898" s="10"/>
    </row>
    <row r="899" ht="14.25" customHeight="1">
      <c r="A899" s="1" t="s">
        <v>2658</v>
      </c>
      <c r="B899" s="2" t="s">
        <v>27</v>
      </c>
      <c r="C899" s="2" t="s">
        <v>28</v>
      </c>
      <c r="D899" s="2" t="s">
        <v>2659</v>
      </c>
      <c r="E899" s="3" t="s">
        <v>2166</v>
      </c>
      <c r="F899" s="4" t="s">
        <v>69</v>
      </c>
      <c r="G899" s="4" t="s">
        <v>69</v>
      </c>
      <c r="H899" s="14"/>
      <c r="I899" s="4" t="s">
        <v>51</v>
      </c>
      <c r="J899" s="6"/>
      <c r="K899" s="7"/>
      <c r="L899" s="8" t="str">
        <f t="shared" si="111"/>
        <v>BOGOTA</v>
      </c>
      <c r="O899" s="10"/>
    </row>
    <row r="900" ht="14.25" customHeight="1">
      <c r="A900" s="1" t="s">
        <v>2660</v>
      </c>
      <c r="B900" s="2" t="s">
        <v>27</v>
      </c>
      <c r="C900" s="2" t="s">
        <v>28</v>
      </c>
      <c r="D900" s="2" t="s">
        <v>2661</v>
      </c>
      <c r="E900" s="3" t="s">
        <v>2662</v>
      </c>
      <c r="F900" s="4" t="s">
        <v>69</v>
      </c>
      <c r="G900" s="4" t="s">
        <v>69</v>
      </c>
      <c r="H900" s="14"/>
      <c r="I900" s="4" t="s">
        <v>51</v>
      </c>
      <c r="J900" s="6"/>
      <c r="K900" s="7"/>
      <c r="L900" s="8" t="str">
        <f t="shared" si="111"/>
        <v>BOGOTA</v>
      </c>
      <c r="O900" s="10"/>
    </row>
    <row r="901" ht="14.25" customHeight="1">
      <c r="A901" s="1" t="s">
        <v>2663</v>
      </c>
      <c r="B901" s="2" t="s">
        <v>27</v>
      </c>
      <c r="C901" s="2" t="s">
        <v>28</v>
      </c>
      <c r="D901" s="2" t="s">
        <v>2664</v>
      </c>
      <c r="E901" s="3" t="s">
        <v>2665</v>
      </c>
      <c r="F901" s="4" t="s">
        <v>38</v>
      </c>
      <c r="G901" s="4" t="s">
        <v>39</v>
      </c>
      <c r="H901" s="14"/>
      <c r="I901" s="4" t="s">
        <v>76</v>
      </c>
      <c r="J901" s="6"/>
      <c r="K901" s="7"/>
      <c r="L901" s="8" t="str">
        <f t="shared" si="111"/>
        <v>BUCARAMANGA</v>
      </c>
      <c r="O901" s="10"/>
    </row>
    <row r="902" ht="14.25" customHeight="1">
      <c r="A902" s="1" t="s">
        <v>2666</v>
      </c>
      <c r="B902" s="2" t="s">
        <v>27</v>
      </c>
      <c r="C902" s="2" t="s">
        <v>28</v>
      </c>
      <c r="D902" s="2" t="s">
        <v>2667</v>
      </c>
      <c r="E902" s="3" t="s">
        <v>2668</v>
      </c>
      <c r="F902" s="4" t="s">
        <v>38</v>
      </c>
      <c r="G902" s="4" t="s">
        <v>39</v>
      </c>
      <c r="H902" s="14"/>
      <c r="I902" s="4" t="s">
        <v>51</v>
      </c>
      <c r="J902" s="6"/>
      <c r="K902" s="7"/>
      <c r="L902" s="8" t="str">
        <f t="shared" si="111"/>
        <v>BUCARAMANGA</v>
      </c>
      <c r="O902" s="10"/>
    </row>
    <row r="903" ht="14.25" customHeight="1">
      <c r="A903" s="1" t="s">
        <v>2669</v>
      </c>
      <c r="B903" s="2" t="s">
        <v>27</v>
      </c>
      <c r="C903" s="2" t="s">
        <v>28</v>
      </c>
      <c r="D903" s="2" t="s">
        <v>2670</v>
      </c>
      <c r="E903" s="3" t="s">
        <v>2671</v>
      </c>
      <c r="F903" s="4" t="s">
        <v>38</v>
      </c>
      <c r="G903" s="4" t="s">
        <v>113</v>
      </c>
      <c r="H903" s="4" t="s">
        <v>965</v>
      </c>
      <c r="I903" s="4" t="s">
        <v>1373</v>
      </c>
      <c r="J903" s="6"/>
      <c r="K903" s="7"/>
      <c r="L903" s="8" t="str">
        <f t="shared" si="111"/>
        <v>BARRANCABERMEJA</v>
      </c>
      <c r="O903" s="10"/>
    </row>
    <row r="904" ht="14.25" hidden="1" customHeight="1">
      <c r="A904" s="13" t="s">
        <v>2672</v>
      </c>
      <c r="B904" s="4" t="s">
        <v>27</v>
      </c>
      <c r="C904" s="4" t="s">
        <v>28</v>
      </c>
      <c r="D904" s="4" t="s">
        <v>2673</v>
      </c>
      <c r="E904" s="4">
        <v>3.118713141E9</v>
      </c>
      <c r="F904" s="4" t="s">
        <v>30</v>
      </c>
      <c r="G904" s="4" t="s">
        <v>31</v>
      </c>
      <c r="H904" s="14"/>
      <c r="I904" s="4" t="s">
        <v>32</v>
      </c>
      <c r="J904" s="14"/>
      <c r="K904" s="14"/>
      <c r="L904" s="14"/>
    </row>
    <row r="905" ht="14.25" customHeight="1">
      <c r="A905" s="1" t="s">
        <v>2674</v>
      </c>
      <c r="B905" s="2" t="s">
        <v>27</v>
      </c>
      <c r="C905" s="2" t="s">
        <v>28</v>
      </c>
      <c r="D905" s="2" t="s">
        <v>2675</v>
      </c>
      <c r="E905" s="3" t="s">
        <v>2676</v>
      </c>
      <c r="F905" s="4" t="s">
        <v>38</v>
      </c>
      <c r="G905" s="4" t="s">
        <v>81</v>
      </c>
      <c r="H905" s="14"/>
      <c r="I905" s="4" t="s">
        <v>51</v>
      </c>
      <c r="J905" s="6"/>
      <c r="K905" s="7"/>
      <c r="L905" s="8" t="str">
        <f t="shared" ref="L905:L912" si="112">UPPER(G905)</f>
        <v>FLORIDABLANCA</v>
      </c>
      <c r="O905" s="10"/>
    </row>
    <row r="906" ht="14.25" customHeight="1">
      <c r="A906" s="1" t="s">
        <v>2677</v>
      </c>
      <c r="B906" s="2" t="s">
        <v>27</v>
      </c>
      <c r="C906" s="2" t="s">
        <v>28</v>
      </c>
      <c r="D906" s="2" t="s">
        <v>2678</v>
      </c>
      <c r="E906" s="3" t="s">
        <v>2679</v>
      </c>
      <c r="F906" s="4" t="s">
        <v>38</v>
      </c>
      <c r="G906" s="4" t="s">
        <v>39</v>
      </c>
      <c r="H906" s="4" t="s">
        <v>320</v>
      </c>
      <c r="I906" s="4" t="s">
        <v>846</v>
      </c>
      <c r="J906" s="6"/>
      <c r="K906" s="7"/>
      <c r="L906" s="8" t="str">
        <f t="shared" si="112"/>
        <v>BUCARAMANGA</v>
      </c>
      <c r="O906" s="10"/>
    </row>
    <row r="907" ht="14.25" customHeight="1">
      <c r="A907" s="1" t="s">
        <v>2680</v>
      </c>
      <c r="B907" s="2" t="s">
        <v>27</v>
      </c>
      <c r="C907" s="2" t="s">
        <v>66</v>
      </c>
      <c r="D907" s="2" t="s">
        <v>2681</v>
      </c>
      <c r="E907" s="3" t="s">
        <v>2682</v>
      </c>
      <c r="F907" s="4" t="s">
        <v>38</v>
      </c>
      <c r="G907" s="4" t="s">
        <v>113</v>
      </c>
      <c r="H907" s="4" t="s">
        <v>357</v>
      </c>
      <c r="I907" s="4" t="s">
        <v>1373</v>
      </c>
      <c r="J907" s="6"/>
      <c r="K907" s="7"/>
      <c r="L907" s="8" t="str">
        <f t="shared" si="112"/>
        <v>BARRANCABERMEJA</v>
      </c>
      <c r="O907" s="10"/>
    </row>
    <row r="908" ht="14.25" customHeight="1">
      <c r="A908" s="1" t="s">
        <v>2683</v>
      </c>
      <c r="B908" s="2" t="s">
        <v>27</v>
      </c>
      <c r="C908" s="2" t="s">
        <v>28</v>
      </c>
      <c r="D908" s="2" t="s">
        <v>2684</v>
      </c>
      <c r="E908" s="3" t="s">
        <v>2685</v>
      </c>
      <c r="F908" s="4" t="s">
        <v>69</v>
      </c>
      <c r="G908" s="4" t="s">
        <v>69</v>
      </c>
      <c r="H908" s="4" t="s">
        <v>181</v>
      </c>
      <c r="I908" s="4" t="s">
        <v>182</v>
      </c>
      <c r="J908" s="6"/>
      <c r="K908" s="7"/>
      <c r="L908" s="8" t="str">
        <f t="shared" si="112"/>
        <v>BOGOTA</v>
      </c>
      <c r="O908" s="10"/>
    </row>
    <row r="909" ht="14.25" customHeight="1">
      <c r="A909" s="1" t="s">
        <v>2686</v>
      </c>
      <c r="B909" s="2" t="s">
        <v>27</v>
      </c>
      <c r="C909" s="2" t="s">
        <v>28</v>
      </c>
      <c r="D909" s="2" t="s">
        <v>2687</v>
      </c>
      <c r="E909" s="3" t="s">
        <v>2688</v>
      </c>
      <c r="F909" s="4" t="s">
        <v>69</v>
      </c>
      <c r="G909" s="4" t="s">
        <v>69</v>
      </c>
      <c r="H909" s="14"/>
      <c r="I909" s="4" t="s">
        <v>182</v>
      </c>
      <c r="J909" s="6"/>
      <c r="K909" s="7"/>
      <c r="L909" s="8" t="str">
        <f t="shared" si="112"/>
        <v>BOGOTA</v>
      </c>
      <c r="O909" s="10"/>
    </row>
    <row r="910" ht="14.25" customHeight="1">
      <c r="A910" s="1" t="s">
        <v>2689</v>
      </c>
      <c r="B910" s="2" t="s">
        <v>27</v>
      </c>
      <c r="C910" s="2" t="s">
        <v>28</v>
      </c>
      <c r="D910" s="2" t="s">
        <v>2690</v>
      </c>
      <c r="E910" s="3" t="s">
        <v>2691</v>
      </c>
      <c r="F910" s="4" t="s">
        <v>38</v>
      </c>
      <c r="G910" s="4" t="s">
        <v>113</v>
      </c>
      <c r="H910" s="14"/>
      <c r="I910" s="4" t="s">
        <v>1373</v>
      </c>
      <c r="J910" s="6" t="s">
        <v>1912</v>
      </c>
      <c r="K910" s="7"/>
      <c r="L910" s="8" t="str">
        <f t="shared" si="112"/>
        <v>BARRANCABERMEJA</v>
      </c>
      <c r="O910" s="10"/>
    </row>
    <row r="911" ht="14.25" customHeight="1">
      <c r="A911" s="1" t="s">
        <v>2692</v>
      </c>
      <c r="B911" s="2" t="s">
        <v>27</v>
      </c>
      <c r="C911" s="2" t="s">
        <v>28</v>
      </c>
      <c r="D911" s="2" t="s">
        <v>2693</v>
      </c>
      <c r="E911" s="3" t="s">
        <v>2694</v>
      </c>
      <c r="F911" s="4" t="s">
        <v>38</v>
      </c>
      <c r="G911" s="4" t="s">
        <v>81</v>
      </c>
      <c r="H911" s="14"/>
      <c r="I911" s="4" t="s">
        <v>51</v>
      </c>
      <c r="J911" s="6"/>
      <c r="K911" s="7"/>
      <c r="L911" s="8" t="str">
        <f t="shared" si="112"/>
        <v>FLORIDABLANCA</v>
      </c>
      <c r="O911" s="10"/>
    </row>
    <row r="912" ht="14.25" customHeight="1">
      <c r="A912" s="1" t="s">
        <v>2695</v>
      </c>
      <c r="B912" s="2" t="s">
        <v>27</v>
      </c>
      <c r="C912" s="2" t="s">
        <v>28</v>
      </c>
      <c r="D912" s="2" t="s">
        <v>2696</v>
      </c>
      <c r="E912" s="3" t="s">
        <v>2697</v>
      </c>
      <c r="F912" s="4" t="s">
        <v>38</v>
      </c>
      <c r="G912" s="4" t="s">
        <v>39</v>
      </c>
      <c r="H912" s="14"/>
      <c r="I912" s="4" t="s">
        <v>76</v>
      </c>
      <c r="J912" s="6"/>
      <c r="K912" s="7"/>
      <c r="L912" s="8" t="str">
        <f t="shared" si="112"/>
        <v>BUCARAMANGA</v>
      </c>
      <c r="O912" s="10"/>
    </row>
    <row r="913" ht="14.25" hidden="1" customHeight="1">
      <c r="A913" s="13" t="s">
        <v>2698</v>
      </c>
      <c r="B913" s="4" t="s">
        <v>27</v>
      </c>
      <c r="C913" s="4" t="s">
        <v>28</v>
      </c>
      <c r="D913" s="4" t="s">
        <v>2699</v>
      </c>
      <c r="E913" s="4">
        <v>3.22292338E9</v>
      </c>
      <c r="F913" s="4" t="s">
        <v>30</v>
      </c>
      <c r="G913" s="4" t="s">
        <v>31</v>
      </c>
      <c r="H913" s="14"/>
      <c r="I913" s="4" t="s">
        <v>32</v>
      </c>
      <c r="J913" s="14"/>
      <c r="K913" s="14"/>
      <c r="L913" s="14"/>
    </row>
    <row r="914" ht="14.25" customHeight="1">
      <c r="A914" s="1" t="s">
        <v>2700</v>
      </c>
      <c r="B914" s="2" t="s">
        <v>27</v>
      </c>
      <c r="C914" s="2" t="s">
        <v>28</v>
      </c>
      <c r="D914" s="2" t="s">
        <v>2701</v>
      </c>
      <c r="E914" s="3" t="s">
        <v>2702</v>
      </c>
      <c r="F914" s="4" t="s">
        <v>455</v>
      </c>
      <c r="G914" s="4" t="s">
        <v>2703</v>
      </c>
      <c r="H914" s="14"/>
      <c r="I914" s="4" t="s">
        <v>561</v>
      </c>
      <c r="J914" s="6"/>
      <c r="K914" s="7"/>
      <c r="L914" s="8" t="str">
        <f>UPPER(G914)</f>
        <v>AGUACHICA</v>
      </c>
      <c r="O914" s="10"/>
    </row>
    <row r="915" ht="14.25" hidden="1" customHeight="1">
      <c r="A915" s="13" t="s">
        <v>2704</v>
      </c>
      <c r="B915" s="4" t="s">
        <v>27</v>
      </c>
      <c r="C915" s="4" t="s">
        <v>28</v>
      </c>
      <c r="D915" s="4" t="s">
        <v>2705</v>
      </c>
      <c r="E915" s="4">
        <v>3.229457091E9</v>
      </c>
      <c r="F915" s="4" t="s">
        <v>30</v>
      </c>
      <c r="G915" s="4" t="s">
        <v>31</v>
      </c>
      <c r="H915" s="14"/>
      <c r="I915" s="4" t="s">
        <v>32</v>
      </c>
      <c r="J915" s="14"/>
      <c r="K915" s="14"/>
      <c r="L915" s="14"/>
    </row>
    <row r="916" ht="14.25" hidden="1" customHeight="1">
      <c r="A916" s="13" t="s">
        <v>2706</v>
      </c>
      <c r="B916" s="4" t="s">
        <v>27</v>
      </c>
      <c r="C916" s="4" t="s">
        <v>28</v>
      </c>
      <c r="D916" s="4" t="s">
        <v>2707</v>
      </c>
      <c r="E916" s="4">
        <v>3.123694363E9</v>
      </c>
      <c r="F916" s="4" t="s">
        <v>30</v>
      </c>
      <c r="G916" s="4" t="s">
        <v>35</v>
      </c>
      <c r="H916" s="14"/>
      <c r="I916" s="4" t="s">
        <v>32</v>
      </c>
      <c r="J916" s="14"/>
      <c r="K916" s="14"/>
      <c r="L916" s="14"/>
    </row>
    <row r="917" ht="14.25" customHeight="1">
      <c r="A917" s="1" t="s">
        <v>2708</v>
      </c>
      <c r="B917" s="2" t="s">
        <v>27</v>
      </c>
      <c r="C917" s="2" t="s">
        <v>28</v>
      </c>
      <c r="D917" s="2" t="s">
        <v>2709</v>
      </c>
      <c r="E917" s="3" t="s">
        <v>2710</v>
      </c>
      <c r="F917" s="4" t="s">
        <v>105</v>
      </c>
      <c r="G917" s="4" t="s">
        <v>2711</v>
      </c>
      <c r="H917" s="4" t="s">
        <v>2712</v>
      </c>
      <c r="I917" s="4" t="s">
        <v>32</v>
      </c>
      <c r="J917" s="6"/>
      <c r="K917" s="7"/>
      <c r="L917" s="8" t="str">
        <f t="shared" ref="L917:L919" si="113">UPPER(G917)</f>
        <v>ENVIGADO</v>
      </c>
      <c r="O917" s="10"/>
    </row>
    <row r="918" ht="14.25" customHeight="1">
      <c r="A918" s="1" t="s">
        <v>2713</v>
      </c>
      <c r="B918" s="2" t="s">
        <v>27</v>
      </c>
      <c r="C918" s="2" t="s">
        <v>28</v>
      </c>
      <c r="D918" s="2" t="s">
        <v>2714</v>
      </c>
      <c r="E918" s="3" t="s">
        <v>2715</v>
      </c>
      <c r="F918" s="4" t="s">
        <v>38</v>
      </c>
      <c r="G918" s="4" t="s">
        <v>39</v>
      </c>
      <c r="H918" s="14"/>
      <c r="I918" s="4" t="s">
        <v>561</v>
      </c>
      <c r="J918" s="6"/>
      <c r="K918" s="7"/>
      <c r="L918" s="8" t="str">
        <f t="shared" si="113"/>
        <v>BUCARAMANGA</v>
      </c>
      <c r="O918" s="10"/>
    </row>
    <row r="919" ht="14.25" customHeight="1">
      <c r="A919" s="1" t="s">
        <v>2716</v>
      </c>
      <c r="B919" s="2" t="s">
        <v>27</v>
      </c>
      <c r="C919" s="2" t="s">
        <v>28</v>
      </c>
      <c r="D919" s="2" t="s">
        <v>2717</v>
      </c>
      <c r="E919" s="3" t="s">
        <v>2718</v>
      </c>
      <c r="F919" s="4" t="s">
        <v>38</v>
      </c>
      <c r="G919" s="4" t="s">
        <v>81</v>
      </c>
      <c r="H919" s="14"/>
      <c r="I919" s="4" t="s">
        <v>51</v>
      </c>
      <c r="J919" s="6"/>
      <c r="K919" s="7"/>
      <c r="L919" s="8" t="str">
        <f t="shared" si="113"/>
        <v>FLORIDABLANCA</v>
      </c>
      <c r="O919" s="10"/>
    </row>
    <row r="920" ht="14.25" hidden="1" customHeight="1">
      <c r="A920" s="13" t="s">
        <v>2719</v>
      </c>
      <c r="B920" s="4" t="s">
        <v>27</v>
      </c>
      <c r="C920" s="4" t="s">
        <v>28</v>
      </c>
      <c r="D920" s="4" t="s">
        <v>2720</v>
      </c>
      <c r="E920" s="4">
        <v>3.118713141E9</v>
      </c>
      <c r="F920" s="4" t="s">
        <v>30</v>
      </c>
      <c r="G920" s="4" t="s">
        <v>35</v>
      </c>
      <c r="H920" s="14"/>
      <c r="I920" s="4" t="s">
        <v>32</v>
      </c>
      <c r="J920" s="14"/>
      <c r="K920" s="14"/>
      <c r="L920" s="14"/>
    </row>
    <row r="921" ht="14.25" hidden="1" customHeight="1">
      <c r="A921" s="13" t="s">
        <v>2721</v>
      </c>
      <c r="B921" s="4" t="s">
        <v>27</v>
      </c>
      <c r="C921" s="4" t="s">
        <v>28</v>
      </c>
      <c r="D921" s="4" t="s">
        <v>2722</v>
      </c>
      <c r="E921" s="4">
        <v>3.102211527E9</v>
      </c>
      <c r="F921" s="4" t="s">
        <v>30</v>
      </c>
      <c r="G921" s="4" t="s">
        <v>35</v>
      </c>
      <c r="H921" s="14"/>
      <c r="I921" s="4" t="s">
        <v>32</v>
      </c>
      <c r="J921" s="14"/>
      <c r="K921" s="14"/>
      <c r="L921" s="14"/>
    </row>
    <row r="922" ht="14.25" customHeight="1">
      <c r="A922" s="1" t="s">
        <v>2723</v>
      </c>
      <c r="B922" s="2" t="s">
        <v>27</v>
      </c>
      <c r="C922" s="2" t="s">
        <v>28</v>
      </c>
      <c r="D922" s="2" t="s">
        <v>2724</v>
      </c>
      <c r="E922" s="3" t="s">
        <v>2725</v>
      </c>
      <c r="F922" s="4" t="s">
        <v>38</v>
      </c>
      <c r="G922" s="4" t="s">
        <v>81</v>
      </c>
      <c r="H922" s="4" t="s">
        <v>489</v>
      </c>
      <c r="I922" s="4" t="s">
        <v>561</v>
      </c>
      <c r="J922" s="6"/>
      <c r="K922" s="7"/>
      <c r="L922" s="8" t="str">
        <f t="shared" ref="L922:L929" si="114">UPPER(G922)</f>
        <v>FLORIDABLANCA</v>
      </c>
      <c r="O922" s="10"/>
    </row>
    <row r="923" ht="14.25" customHeight="1">
      <c r="A923" s="1" t="s">
        <v>2726</v>
      </c>
      <c r="B923" s="2" t="s">
        <v>27</v>
      </c>
      <c r="C923" s="2" t="s">
        <v>28</v>
      </c>
      <c r="D923" s="2" t="s">
        <v>2724</v>
      </c>
      <c r="E923" s="3" t="s">
        <v>2727</v>
      </c>
      <c r="F923" s="4" t="s">
        <v>38</v>
      </c>
      <c r="G923" s="4" t="s">
        <v>81</v>
      </c>
      <c r="H923" s="4" t="s">
        <v>489</v>
      </c>
      <c r="I923" s="4" t="s">
        <v>561</v>
      </c>
      <c r="J923" s="6"/>
      <c r="K923" s="7"/>
      <c r="L923" s="8" t="str">
        <f t="shared" si="114"/>
        <v>FLORIDABLANCA</v>
      </c>
      <c r="O923" s="10"/>
    </row>
    <row r="924" ht="14.25" customHeight="1">
      <c r="A924" s="1" t="s">
        <v>2728</v>
      </c>
      <c r="B924" s="2" t="s">
        <v>27</v>
      </c>
      <c r="C924" s="2" t="s">
        <v>28</v>
      </c>
      <c r="D924" s="2" t="s">
        <v>2729</v>
      </c>
      <c r="E924" s="3" t="s">
        <v>423</v>
      </c>
      <c r="F924" s="4" t="s">
        <v>424</v>
      </c>
      <c r="G924" s="4" t="s">
        <v>425</v>
      </c>
      <c r="H924" s="30"/>
      <c r="I924" s="4" t="s">
        <v>32</v>
      </c>
      <c r="J924" s="6"/>
      <c r="K924" s="7"/>
      <c r="L924" s="8" t="str">
        <f t="shared" si="114"/>
        <v>MONTERIA</v>
      </c>
      <c r="O924" s="10"/>
    </row>
    <row r="925" ht="14.25" customHeight="1">
      <c r="A925" s="1" t="s">
        <v>2730</v>
      </c>
      <c r="B925" s="2" t="s">
        <v>27</v>
      </c>
      <c r="C925" s="2" t="s">
        <v>28</v>
      </c>
      <c r="D925" s="2" t="s">
        <v>2731</v>
      </c>
      <c r="E925" s="3" t="s">
        <v>2732</v>
      </c>
      <c r="F925" s="4" t="s">
        <v>38</v>
      </c>
      <c r="G925" s="4" t="s">
        <v>39</v>
      </c>
      <c r="H925" s="14"/>
      <c r="I925" s="4" t="s">
        <v>561</v>
      </c>
      <c r="J925" s="6"/>
      <c r="K925" s="7"/>
      <c r="L925" s="8" t="str">
        <f t="shared" si="114"/>
        <v>BUCARAMANGA</v>
      </c>
      <c r="O925" s="10"/>
    </row>
    <row r="926" ht="14.25" customHeight="1">
      <c r="A926" s="1" t="s">
        <v>2733</v>
      </c>
      <c r="B926" s="2" t="s">
        <v>27</v>
      </c>
      <c r="C926" s="2" t="s">
        <v>28</v>
      </c>
      <c r="D926" s="2" t="s">
        <v>2734</v>
      </c>
      <c r="E926" s="3" t="s">
        <v>2735</v>
      </c>
      <c r="F926" s="4" t="s">
        <v>38</v>
      </c>
      <c r="G926" s="4" t="s">
        <v>113</v>
      </c>
      <c r="H926" s="14"/>
      <c r="I926" s="4" t="s">
        <v>358</v>
      </c>
      <c r="J926" s="6"/>
      <c r="K926" s="7"/>
      <c r="L926" s="8" t="str">
        <f t="shared" si="114"/>
        <v>BARRANCABERMEJA</v>
      </c>
      <c r="O926" s="10"/>
    </row>
    <row r="927" ht="14.25" customHeight="1">
      <c r="A927" s="1" t="s">
        <v>2736</v>
      </c>
      <c r="B927" s="2" t="s">
        <v>27</v>
      </c>
      <c r="C927" s="2" t="s">
        <v>66</v>
      </c>
      <c r="D927" s="2" t="s">
        <v>2737</v>
      </c>
      <c r="E927" s="3" t="s">
        <v>2738</v>
      </c>
      <c r="F927" s="4" t="s">
        <v>38</v>
      </c>
      <c r="G927" s="4" t="s">
        <v>113</v>
      </c>
      <c r="H927" s="14"/>
      <c r="I927" s="4" t="s">
        <v>358</v>
      </c>
      <c r="J927" s="6"/>
      <c r="K927" s="7"/>
      <c r="L927" s="8" t="str">
        <f t="shared" si="114"/>
        <v>BARRANCABERMEJA</v>
      </c>
      <c r="O927" s="10"/>
    </row>
    <row r="928" ht="14.25" customHeight="1">
      <c r="A928" s="1" t="s">
        <v>2739</v>
      </c>
      <c r="B928" s="2" t="s">
        <v>27</v>
      </c>
      <c r="C928" s="2" t="s">
        <v>28</v>
      </c>
      <c r="D928" s="2" t="s">
        <v>2740</v>
      </c>
      <c r="E928" s="3" t="s">
        <v>2741</v>
      </c>
      <c r="F928" s="4" t="s">
        <v>38</v>
      </c>
      <c r="G928" s="4" t="s">
        <v>39</v>
      </c>
      <c r="H928" s="4" t="s">
        <v>58</v>
      </c>
      <c r="I928" s="4" t="s">
        <v>561</v>
      </c>
      <c r="J928" s="6"/>
      <c r="K928" s="7"/>
      <c r="L928" s="8" t="str">
        <f t="shared" si="114"/>
        <v>BUCARAMANGA</v>
      </c>
      <c r="O928" s="10"/>
    </row>
    <row r="929" ht="14.25" customHeight="1">
      <c r="A929" s="1" t="s">
        <v>2742</v>
      </c>
      <c r="B929" s="2" t="s">
        <v>27</v>
      </c>
      <c r="C929" s="2" t="s">
        <v>28</v>
      </c>
      <c r="D929" s="2" t="s">
        <v>2743</v>
      </c>
      <c r="E929" s="3" t="s">
        <v>2744</v>
      </c>
      <c r="F929" s="4" t="s">
        <v>38</v>
      </c>
      <c r="G929" s="4" t="s">
        <v>39</v>
      </c>
      <c r="H929" s="14"/>
      <c r="I929" s="4" t="s">
        <v>76</v>
      </c>
      <c r="J929" s="6"/>
      <c r="K929" s="7"/>
      <c r="L929" s="8" t="str">
        <f t="shared" si="114"/>
        <v>BUCARAMANGA</v>
      </c>
      <c r="O929" s="10"/>
    </row>
    <row r="930" ht="14.25" hidden="1" customHeight="1">
      <c r="A930" s="13" t="s">
        <v>2745</v>
      </c>
      <c r="B930" s="4" t="s">
        <v>27</v>
      </c>
      <c r="C930" s="4" t="s">
        <v>28</v>
      </c>
      <c r="D930" s="4" t="s">
        <v>2746</v>
      </c>
      <c r="E930" s="4">
        <v>3.14294672E9</v>
      </c>
      <c r="F930" s="4" t="s">
        <v>30</v>
      </c>
      <c r="G930" s="4" t="s">
        <v>35</v>
      </c>
      <c r="H930" s="14"/>
      <c r="I930" s="4" t="s">
        <v>32</v>
      </c>
      <c r="J930" s="14"/>
      <c r="K930" s="14"/>
      <c r="L930" s="14"/>
    </row>
    <row r="931" ht="14.25" customHeight="1">
      <c r="A931" s="1" t="s">
        <v>2747</v>
      </c>
      <c r="B931" s="2" t="s">
        <v>27</v>
      </c>
      <c r="C931" s="2" t="s">
        <v>28</v>
      </c>
      <c r="D931" s="2" t="s">
        <v>2748</v>
      </c>
      <c r="E931" s="3" t="s">
        <v>2749</v>
      </c>
      <c r="F931" s="4" t="s">
        <v>38</v>
      </c>
      <c r="G931" s="4" t="s">
        <v>75</v>
      </c>
      <c r="H931" s="4" t="s">
        <v>2750</v>
      </c>
      <c r="I931" s="4" t="s">
        <v>76</v>
      </c>
      <c r="J931" s="6"/>
      <c r="K931" s="7"/>
      <c r="L931" s="8" t="str">
        <f>UPPER(G931)</f>
        <v>GIRON</v>
      </c>
      <c r="O931" s="10"/>
    </row>
    <row r="932" ht="14.25" hidden="1" customHeight="1">
      <c r="A932" s="13" t="s">
        <v>2751</v>
      </c>
      <c r="B932" s="4" t="s">
        <v>27</v>
      </c>
      <c r="C932" s="4" t="s">
        <v>28</v>
      </c>
      <c r="D932" s="4" t="s">
        <v>2752</v>
      </c>
      <c r="E932" s="4">
        <v>3.22731914E9</v>
      </c>
      <c r="F932" s="4" t="s">
        <v>30</v>
      </c>
      <c r="G932" s="4" t="s">
        <v>35</v>
      </c>
      <c r="H932" s="14"/>
      <c r="I932" s="4" t="s">
        <v>32</v>
      </c>
      <c r="J932" s="14"/>
      <c r="K932" s="14"/>
      <c r="L932" s="14"/>
    </row>
    <row r="933" ht="14.25" customHeight="1">
      <c r="A933" s="1" t="s">
        <v>2753</v>
      </c>
      <c r="B933" s="2" t="s">
        <v>27</v>
      </c>
      <c r="C933" s="2" t="s">
        <v>28</v>
      </c>
      <c r="D933" s="2" t="s">
        <v>2754</v>
      </c>
      <c r="E933" s="3" t="s">
        <v>2755</v>
      </c>
      <c r="F933" s="4" t="s">
        <v>38</v>
      </c>
      <c r="G933" s="4" t="s">
        <v>113</v>
      </c>
      <c r="H933" s="4" t="s">
        <v>965</v>
      </c>
      <c r="I933" s="4" t="s">
        <v>1373</v>
      </c>
      <c r="J933" s="6"/>
      <c r="K933" s="7"/>
      <c r="L933" s="8" t="str">
        <f>UPPER(G933)</f>
        <v>BARRANCABERMEJA</v>
      </c>
      <c r="O933" s="10"/>
    </row>
    <row r="934" ht="14.25" hidden="1" customHeight="1">
      <c r="A934" s="13" t="s">
        <v>2756</v>
      </c>
      <c r="B934" s="4" t="s">
        <v>27</v>
      </c>
      <c r="C934" s="4" t="s">
        <v>28</v>
      </c>
      <c r="D934" s="4" t="s">
        <v>2757</v>
      </c>
      <c r="E934" s="4">
        <v>3.124295466E9</v>
      </c>
      <c r="F934" s="4" t="s">
        <v>30</v>
      </c>
      <c r="G934" s="4" t="s">
        <v>35</v>
      </c>
      <c r="H934" s="14"/>
      <c r="I934" s="4" t="s">
        <v>32</v>
      </c>
      <c r="J934" s="14"/>
      <c r="K934" s="14"/>
      <c r="L934" s="14"/>
    </row>
    <row r="935" ht="14.25" customHeight="1">
      <c r="A935" s="1" t="s">
        <v>2758</v>
      </c>
      <c r="B935" s="2" t="s">
        <v>27</v>
      </c>
      <c r="C935" s="2" t="s">
        <v>28</v>
      </c>
      <c r="D935" s="2" t="s">
        <v>2759</v>
      </c>
      <c r="E935" s="3" t="s">
        <v>2710</v>
      </c>
      <c r="F935" s="4" t="s">
        <v>105</v>
      </c>
      <c r="G935" s="4" t="s">
        <v>2711</v>
      </c>
      <c r="H935" s="4" t="s">
        <v>2712</v>
      </c>
      <c r="I935" s="4" t="s">
        <v>32</v>
      </c>
      <c r="J935" s="6"/>
      <c r="K935" s="7"/>
      <c r="L935" s="8" t="str">
        <f>UPPER(G935)</f>
        <v>ENVIGADO</v>
      </c>
      <c r="O935" s="10"/>
    </row>
    <row r="936" ht="14.25" hidden="1" customHeight="1">
      <c r="A936" s="13" t="s">
        <v>2760</v>
      </c>
      <c r="B936" s="4" t="s">
        <v>27</v>
      </c>
      <c r="C936" s="4" t="s">
        <v>28</v>
      </c>
      <c r="D936" s="4" t="s">
        <v>2761</v>
      </c>
      <c r="E936" s="4">
        <v>3.222314612E9</v>
      </c>
      <c r="F936" s="4" t="s">
        <v>30</v>
      </c>
      <c r="G936" s="4" t="s">
        <v>35</v>
      </c>
      <c r="H936" s="14"/>
      <c r="I936" s="4" t="s">
        <v>32</v>
      </c>
      <c r="J936" s="14"/>
      <c r="K936" s="14"/>
      <c r="L936" s="14"/>
    </row>
    <row r="937" ht="14.25" customHeight="1">
      <c r="A937" s="1" t="s">
        <v>2762</v>
      </c>
      <c r="B937" s="2" t="s">
        <v>27</v>
      </c>
      <c r="C937" s="2" t="s">
        <v>28</v>
      </c>
      <c r="D937" s="2" t="s">
        <v>2763</v>
      </c>
      <c r="E937" s="3" t="s">
        <v>2764</v>
      </c>
      <c r="F937" s="4" t="s">
        <v>38</v>
      </c>
      <c r="G937" s="4" t="s">
        <v>113</v>
      </c>
      <c r="H937" s="4" t="s">
        <v>357</v>
      </c>
      <c r="I937" s="4" t="s">
        <v>358</v>
      </c>
      <c r="J937" s="6"/>
      <c r="K937" s="7"/>
      <c r="L937" s="8" t="str">
        <f t="shared" ref="L937:L939" si="115">UPPER(G937)</f>
        <v>BARRANCABERMEJA</v>
      </c>
      <c r="O937" s="10"/>
    </row>
    <row r="938" ht="14.25" customHeight="1">
      <c r="A938" s="1" t="s">
        <v>2765</v>
      </c>
      <c r="B938" s="2" t="s">
        <v>27</v>
      </c>
      <c r="C938" s="2" t="s">
        <v>28</v>
      </c>
      <c r="D938" s="2" t="s">
        <v>2766</v>
      </c>
      <c r="E938" s="3" t="s">
        <v>423</v>
      </c>
      <c r="F938" s="4" t="s">
        <v>424</v>
      </c>
      <c r="G938" s="4" t="s">
        <v>425</v>
      </c>
      <c r="H938" s="14"/>
      <c r="I938" s="4" t="s">
        <v>32</v>
      </c>
      <c r="J938" s="6"/>
      <c r="K938" s="7"/>
      <c r="L938" s="8" t="str">
        <f t="shared" si="115"/>
        <v>MONTERIA</v>
      </c>
      <c r="O938" s="10"/>
    </row>
    <row r="939" ht="14.25" customHeight="1">
      <c r="A939" s="1" t="s">
        <v>2767</v>
      </c>
      <c r="B939" s="2" t="s">
        <v>27</v>
      </c>
      <c r="C939" s="2" t="s">
        <v>28</v>
      </c>
      <c r="D939" s="2" t="s">
        <v>2768</v>
      </c>
      <c r="E939" s="3" t="s">
        <v>2769</v>
      </c>
      <c r="F939" s="4" t="s">
        <v>38</v>
      </c>
      <c r="G939" s="4" t="s">
        <v>39</v>
      </c>
      <c r="H939" s="14"/>
      <c r="I939" s="4" t="s">
        <v>76</v>
      </c>
      <c r="J939" s="6"/>
      <c r="K939" s="7"/>
      <c r="L939" s="8" t="str">
        <f t="shared" si="115"/>
        <v>BUCARAMANGA</v>
      </c>
      <c r="O939" s="10"/>
    </row>
    <row r="940" ht="14.25" hidden="1" customHeight="1">
      <c r="A940" s="13" t="s">
        <v>2770</v>
      </c>
      <c r="B940" s="4" t="s">
        <v>27</v>
      </c>
      <c r="C940" s="4" t="s">
        <v>28</v>
      </c>
      <c r="D940" s="4" t="s">
        <v>2771</v>
      </c>
      <c r="E940" s="4">
        <v>3.176162634E9</v>
      </c>
      <c r="F940" s="4" t="s">
        <v>30</v>
      </c>
      <c r="G940" s="4" t="s">
        <v>35</v>
      </c>
      <c r="H940" s="14"/>
      <c r="I940" s="4" t="s">
        <v>32</v>
      </c>
      <c r="J940" s="14"/>
      <c r="K940" s="14"/>
      <c r="L940" s="14"/>
    </row>
    <row r="941" ht="14.25" customHeight="1">
      <c r="A941" s="1" t="s">
        <v>2772</v>
      </c>
      <c r="B941" s="2" t="s">
        <v>27</v>
      </c>
      <c r="C941" s="2" t="s">
        <v>28</v>
      </c>
      <c r="D941" s="2" t="s">
        <v>2773</v>
      </c>
      <c r="E941" s="3" t="s">
        <v>2774</v>
      </c>
      <c r="F941" s="4" t="s">
        <v>38</v>
      </c>
      <c r="G941" s="4" t="s">
        <v>113</v>
      </c>
      <c r="H941" s="4" t="s">
        <v>2775</v>
      </c>
      <c r="I941" s="4" t="s">
        <v>419</v>
      </c>
      <c r="J941" s="6"/>
      <c r="K941" s="7"/>
      <c r="L941" s="8" t="str">
        <f t="shared" ref="L941:L947" si="116">UPPER(G941)</f>
        <v>BARRANCABERMEJA</v>
      </c>
      <c r="O941" s="10"/>
    </row>
    <row r="942" ht="14.25" customHeight="1">
      <c r="A942" s="1" t="s">
        <v>2776</v>
      </c>
      <c r="B942" s="2" t="s">
        <v>27</v>
      </c>
      <c r="C942" s="2" t="s">
        <v>28</v>
      </c>
      <c r="D942" s="2" t="s">
        <v>2777</v>
      </c>
      <c r="E942" s="3" t="s">
        <v>2778</v>
      </c>
      <c r="F942" s="4" t="s">
        <v>38</v>
      </c>
      <c r="G942" s="4" t="s">
        <v>113</v>
      </c>
      <c r="H942" s="14"/>
      <c r="I942" s="4" t="s">
        <v>358</v>
      </c>
      <c r="J942" s="6"/>
      <c r="K942" s="7"/>
      <c r="L942" s="8" t="str">
        <f t="shared" si="116"/>
        <v>BARRANCABERMEJA</v>
      </c>
      <c r="O942" s="10"/>
    </row>
    <row r="943" ht="14.25" customHeight="1">
      <c r="A943" s="1" t="s">
        <v>2779</v>
      </c>
      <c r="B943" s="2" t="s">
        <v>27</v>
      </c>
      <c r="C943" s="2" t="s">
        <v>28</v>
      </c>
      <c r="D943" s="2" t="s">
        <v>2780</v>
      </c>
      <c r="E943" s="3" t="s">
        <v>2781</v>
      </c>
      <c r="F943" s="4" t="s">
        <v>38</v>
      </c>
      <c r="G943" s="4" t="s">
        <v>39</v>
      </c>
      <c r="H943" s="14"/>
      <c r="I943" s="4" t="s">
        <v>76</v>
      </c>
      <c r="J943" s="6"/>
      <c r="K943" s="7"/>
      <c r="L943" s="8" t="str">
        <f t="shared" si="116"/>
        <v>BUCARAMANGA</v>
      </c>
      <c r="O943" s="10"/>
    </row>
    <row r="944" ht="14.25" customHeight="1">
      <c r="A944" s="1" t="s">
        <v>2782</v>
      </c>
      <c r="B944" s="2" t="s">
        <v>27</v>
      </c>
      <c r="C944" s="2" t="s">
        <v>551</v>
      </c>
      <c r="D944" s="2" t="s">
        <v>2783</v>
      </c>
      <c r="E944" s="3" t="s">
        <v>2784</v>
      </c>
      <c r="F944" s="4" t="s">
        <v>38</v>
      </c>
      <c r="G944" s="4" t="s">
        <v>113</v>
      </c>
      <c r="H944" s="4" t="s">
        <v>357</v>
      </c>
      <c r="I944" s="4" t="s">
        <v>358</v>
      </c>
      <c r="J944" s="6"/>
      <c r="K944" s="7"/>
      <c r="L944" s="8" t="str">
        <f t="shared" si="116"/>
        <v>BARRANCABERMEJA</v>
      </c>
      <c r="O944" s="10"/>
    </row>
    <row r="945" ht="14.25" customHeight="1">
      <c r="A945" s="1" t="s">
        <v>2785</v>
      </c>
      <c r="B945" s="2" t="s">
        <v>27</v>
      </c>
      <c r="C945" s="2" t="s">
        <v>28</v>
      </c>
      <c r="D945" s="2" t="s">
        <v>2786</v>
      </c>
      <c r="E945" s="3" t="s">
        <v>2787</v>
      </c>
      <c r="F945" s="4" t="s">
        <v>38</v>
      </c>
      <c r="G945" s="4" t="s">
        <v>39</v>
      </c>
      <c r="H945" s="4" t="s">
        <v>40</v>
      </c>
      <c r="I945" s="4" t="s">
        <v>561</v>
      </c>
      <c r="J945" s="6"/>
      <c r="K945" s="7"/>
      <c r="L945" s="8" t="str">
        <f t="shared" si="116"/>
        <v>BUCARAMANGA</v>
      </c>
      <c r="O945" s="10"/>
    </row>
    <row r="946" ht="14.25" customHeight="1">
      <c r="A946" s="1" t="s">
        <v>2788</v>
      </c>
      <c r="B946" s="2" t="s">
        <v>27</v>
      </c>
      <c r="C946" s="2" t="s">
        <v>28</v>
      </c>
      <c r="D946" s="2" t="s">
        <v>2789</v>
      </c>
      <c r="E946" s="3" t="s">
        <v>2790</v>
      </c>
      <c r="F946" s="4" t="s">
        <v>38</v>
      </c>
      <c r="G946" s="4" t="s">
        <v>113</v>
      </c>
      <c r="H946" s="4" t="s">
        <v>357</v>
      </c>
      <c r="I946" s="4" t="s">
        <v>358</v>
      </c>
      <c r="J946" s="6"/>
      <c r="K946" s="7"/>
      <c r="L946" s="8" t="str">
        <f t="shared" si="116"/>
        <v>BARRANCABERMEJA</v>
      </c>
      <c r="O946" s="10"/>
    </row>
    <row r="947" ht="14.25" customHeight="1">
      <c r="A947" s="1" t="s">
        <v>2791</v>
      </c>
      <c r="B947" s="2" t="s">
        <v>27</v>
      </c>
      <c r="C947" s="2" t="s">
        <v>28</v>
      </c>
      <c r="D947" s="2" t="s">
        <v>2792</v>
      </c>
      <c r="E947" s="3" t="s">
        <v>2793</v>
      </c>
      <c r="F947" s="4" t="s">
        <v>38</v>
      </c>
      <c r="G947" s="4" t="s">
        <v>113</v>
      </c>
      <c r="H947" s="4" t="s">
        <v>2794</v>
      </c>
      <c r="I947" s="4" t="s">
        <v>76</v>
      </c>
      <c r="J947" s="6" t="s">
        <v>1701</v>
      </c>
      <c r="K947" s="7">
        <v>12.0</v>
      </c>
      <c r="L947" s="8" t="str">
        <f t="shared" si="116"/>
        <v>BARRANCABERMEJA</v>
      </c>
      <c r="O947" s="10"/>
    </row>
    <row r="948" ht="14.25" hidden="1" customHeight="1">
      <c r="A948" s="13" t="s">
        <v>2795</v>
      </c>
      <c r="B948" s="4" t="s">
        <v>27</v>
      </c>
      <c r="C948" s="4" t="s">
        <v>28</v>
      </c>
      <c r="D948" s="4" t="s">
        <v>2796</v>
      </c>
      <c r="E948" s="4">
        <v>3.22292338E9</v>
      </c>
      <c r="F948" s="4" t="s">
        <v>30</v>
      </c>
      <c r="G948" s="4" t="s">
        <v>31</v>
      </c>
      <c r="H948" s="14"/>
      <c r="I948" s="4" t="s">
        <v>32</v>
      </c>
      <c r="J948" s="14"/>
      <c r="K948" s="14"/>
      <c r="L948" s="14"/>
    </row>
    <row r="949" ht="14.25" customHeight="1">
      <c r="A949" s="1" t="s">
        <v>2797</v>
      </c>
      <c r="B949" s="2" t="s">
        <v>27</v>
      </c>
      <c r="C949" s="2" t="s">
        <v>28</v>
      </c>
      <c r="D949" s="2" t="s">
        <v>2798</v>
      </c>
      <c r="E949" s="3" t="s">
        <v>2799</v>
      </c>
      <c r="F949" s="4" t="s">
        <v>38</v>
      </c>
      <c r="G949" s="4" t="s">
        <v>39</v>
      </c>
      <c r="H949" s="14"/>
      <c r="I949" s="4" t="s">
        <v>76</v>
      </c>
      <c r="J949" s="6"/>
      <c r="K949" s="7"/>
      <c r="L949" s="8" t="str">
        <f t="shared" ref="L949:L951" si="117">UPPER(G949)</f>
        <v>BUCARAMANGA</v>
      </c>
      <c r="O949" s="10"/>
    </row>
    <row r="950" ht="14.25" customHeight="1">
      <c r="A950" s="1" t="s">
        <v>2800</v>
      </c>
      <c r="B950" s="2" t="s">
        <v>27</v>
      </c>
      <c r="C950" s="2" t="s">
        <v>28</v>
      </c>
      <c r="D950" s="2" t="s">
        <v>2801</v>
      </c>
      <c r="E950" s="3" t="s">
        <v>2802</v>
      </c>
      <c r="F950" s="4" t="s">
        <v>38</v>
      </c>
      <c r="G950" s="4" t="s">
        <v>39</v>
      </c>
      <c r="H950" s="14"/>
      <c r="I950" s="4" t="s">
        <v>76</v>
      </c>
      <c r="J950" s="6"/>
      <c r="K950" s="7"/>
      <c r="L950" s="8" t="str">
        <f t="shared" si="117"/>
        <v>BUCARAMANGA</v>
      </c>
      <c r="O950" s="10"/>
    </row>
    <row r="951" ht="14.25" customHeight="1">
      <c r="A951" s="1" t="s">
        <v>2803</v>
      </c>
      <c r="B951" s="2" t="s">
        <v>27</v>
      </c>
      <c r="C951" s="2" t="s">
        <v>28</v>
      </c>
      <c r="D951" s="2" t="s">
        <v>2804</v>
      </c>
      <c r="E951" s="3" t="s">
        <v>2805</v>
      </c>
      <c r="F951" s="4" t="s">
        <v>38</v>
      </c>
      <c r="G951" s="4" t="s">
        <v>39</v>
      </c>
      <c r="H951" s="14"/>
      <c r="I951" s="4" t="s">
        <v>164</v>
      </c>
      <c r="J951" s="6"/>
      <c r="K951" s="7"/>
      <c r="L951" s="8" t="str">
        <f t="shared" si="117"/>
        <v>BUCARAMANGA</v>
      </c>
      <c r="O951" s="10"/>
    </row>
    <row r="952" ht="14.25" hidden="1" customHeight="1">
      <c r="A952" s="13" t="s">
        <v>2806</v>
      </c>
      <c r="B952" s="4" t="s">
        <v>27</v>
      </c>
      <c r="C952" s="4" t="s">
        <v>28</v>
      </c>
      <c r="D952" s="4" t="s">
        <v>2807</v>
      </c>
      <c r="E952" s="4">
        <v>3.222717049E9</v>
      </c>
      <c r="F952" s="4" t="s">
        <v>30</v>
      </c>
      <c r="G952" s="4" t="s">
        <v>35</v>
      </c>
      <c r="H952" s="14"/>
      <c r="I952" s="4" t="s">
        <v>32</v>
      </c>
      <c r="J952" s="14"/>
      <c r="K952" s="14"/>
      <c r="L952" s="14"/>
    </row>
    <row r="953" ht="14.25" customHeight="1">
      <c r="A953" s="1" t="s">
        <v>2808</v>
      </c>
      <c r="B953" s="2" t="s">
        <v>27</v>
      </c>
      <c r="C953" s="2" t="s">
        <v>28</v>
      </c>
      <c r="D953" s="2" t="s">
        <v>2809</v>
      </c>
      <c r="E953" s="3" t="s">
        <v>2810</v>
      </c>
      <c r="F953" s="4" t="s">
        <v>38</v>
      </c>
      <c r="G953" s="4" t="s">
        <v>113</v>
      </c>
      <c r="H953" s="14"/>
      <c r="I953" s="4" t="s">
        <v>358</v>
      </c>
      <c r="J953" s="6"/>
      <c r="K953" s="7"/>
      <c r="L953" s="8" t="str">
        <f t="shared" ref="L953:L960" si="118">UPPER(G953)</f>
        <v>BARRANCABERMEJA</v>
      </c>
      <c r="O953" s="10"/>
    </row>
    <row r="954" ht="14.25" customHeight="1">
      <c r="A954" s="1" t="s">
        <v>2811</v>
      </c>
      <c r="B954" s="2" t="s">
        <v>27</v>
      </c>
      <c r="C954" s="2" t="s">
        <v>28</v>
      </c>
      <c r="D954" s="2" t="s">
        <v>2812</v>
      </c>
      <c r="E954" s="3" t="s">
        <v>2813</v>
      </c>
      <c r="F954" s="4" t="s">
        <v>38</v>
      </c>
      <c r="G954" s="4" t="s">
        <v>113</v>
      </c>
      <c r="H954" s="4" t="s">
        <v>2339</v>
      </c>
      <c r="I954" s="4" t="s">
        <v>182</v>
      </c>
      <c r="J954" s="6"/>
      <c r="K954" s="7"/>
      <c r="L954" s="8" t="str">
        <f t="shared" si="118"/>
        <v>BARRANCABERMEJA</v>
      </c>
      <c r="O954" s="10"/>
    </row>
    <row r="955" ht="14.25" customHeight="1">
      <c r="A955" s="1" t="s">
        <v>2814</v>
      </c>
      <c r="B955" s="2" t="s">
        <v>27</v>
      </c>
      <c r="C955" s="2" t="s">
        <v>962</v>
      </c>
      <c r="D955" s="2" t="s">
        <v>2815</v>
      </c>
      <c r="E955" s="3" t="s">
        <v>2816</v>
      </c>
      <c r="F955" s="4" t="s">
        <v>38</v>
      </c>
      <c r="G955" s="4" t="s">
        <v>170</v>
      </c>
      <c r="H955" s="14"/>
      <c r="I955" s="4" t="s">
        <v>164</v>
      </c>
      <c r="J955" s="6"/>
      <c r="K955" s="7"/>
      <c r="L955" s="8" t="str">
        <f t="shared" si="118"/>
        <v>GUADALUPE</v>
      </c>
      <c r="O955" s="10"/>
    </row>
    <row r="956" ht="14.25" customHeight="1">
      <c r="A956" s="1" t="s">
        <v>2817</v>
      </c>
      <c r="B956" s="2" t="s">
        <v>27</v>
      </c>
      <c r="C956" s="2" t="s">
        <v>28</v>
      </c>
      <c r="D956" s="2" t="s">
        <v>2818</v>
      </c>
      <c r="E956" s="3" t="s">
        <v>2819</v>
      </c>
      <c r="F956" s="4" t="s">
        <v>69</v>
      </c>
      <c r="G956" s="4" t="s">
        <v>69</v>
      </c>
      <c r="H956" s="14"/>
      <c r="I956" s="4" t="s">
        <v>182</v>
      </c>
      <c r="J956" s="6"/>
      <c r="K956" s="7"/>
      <c r="L956" s="8" t="str">
        <f t="shared" si="118"/>
        <v>BOGOTA</v>
      </c>
      <c r="O956" s="10"/>
    </row>
    <row r="957" ht="14.25" customHeight="1">
      <c r="A957" s="1" t="s">
        <v>2820</v>
      </c>
      <c r="B957" s="2" t="s">
        <v>27</v>
      </c>
      <c r="C957" s="2" t="s">
        <v>28</v>
      </c>
      <c r="D957" s="2" t="s">
        <v>2821</v>
      </c>
      <c r="E957" s="3" t="s">
        <v>2822</v>
      </c>
      <c r="F957" s="4" t="s">
        <v>38</v>
      </c>
      <c r="G957" s="4" t="s">
        <v>39</v>
      </c>
      <c r="H957" s="14"/>
      <c r="I957" s="4" t="s">
        <v>540</v>
      </c>
      <c r="J957" s="6"/>
      <c r="K957" s="7"/>
      <c r="L957" s="8" t="str">
        <f t="shared" si="118"/>
        <v>BUCARAMANGA</v>
      </c>
      <c r="O957" s="10"/>
    </row>
    <row r="958" ht="14.25" customHeight="1">
      <c r="A958" s="1" t="s">
        <v>2823</v>
      </c>
      <c r="B958" s="2" t="s">
        <v>27</v>
      </c>
      <c r="C958" s="2" t="s">
        <v>28</v>
      </c>
      <c r="D958" s="2" t="s">
        <v>2824</v>
      </c>
      <c r="E958" s="3" t="s">
        <v>2825</v>
      </c>
      <c r="F958" s="4" t="s">
        <v>38</v>
      </c>
      <c r="G958" s="4" t="s">
        <v>39</v>
      </c>
      <c r="H958" s="14"/>
      <c r="I958" s="4" t="s">
        <v>76</v>
      </c>
      <c r="J958" s="6"/>
      <c r="K958" s="7"/>
      <c r="L958" s="8" t="str">
        <f t="shared" si="118"/>
        <v>BUCARAMANGA</v>
      </c>
      <c r="O958" s="10"/>
    </row>
    <row r="959" ht="14.25" customHeight="1">
      <c r="A959" s="1" t="s">
        <v>2826</v>
      </c>
      <c r="B959" s="2" t="s">
        <v>27</v>
      </c>
      <c r="C959" s="2" t="s">
        <v>28</v>
      </c>
      <c r="D959" s="2" t="s">
        <v>2827</v>
      </c>
      <c r="E959" s="3" t="s">
        <v>2828</v>
      </c>
      <c r="F959" s="4" t="s">
        <v>69</v>
      </c>
      <c r="G959" s="4" t="s">
        <v>69</v>
      </c>
      <c r="H959" s="14"/>
      <c r="I959" s="4" t="s">
        <v>51</v>
      </c>
      <c r="J959" s="6"/>
      <c r="K959" s="7"/>
      <c r="L959" s="8" t="str">
        <f t="shared" si="118"/>
        <v>BOGOTA</v>
      </c>
      <c r="O959" s="10"/>
    </row>
    <row r="960" ht="14.25" customHeight="1">
      <c r="A960" s="1" t="s">
        <v>2829</v>
      </c>
      <c r="B960" s="2" t="s">
        <v>27</v>
      </c>
      <c r="C960" s="2" t="s">
        <v>28</v>
      </c>
      <c r="D960" s="2" t="s">
        <v>2830</v>
      </c>
      <c r="E960" s="3" t="s">
        <v>2831</v>
      </c>
      <c r="F960" s="4" t="s">
        <v>38</v>
      </c>
      <c r="G960" s="4" t="s">
        <v>81</v>
      </c>
      <c r="H960" s="14"/>
      <c r="I960" s="4" t="s">
        <v>164</v>
      </c>
      <c r="J960" s="6"/>
      <c r="K960" s="7"/>
      <c r="L960" s="8" t="str">
        <f t="shared" si="118"/>
        <v>FLORIDABLANCA</v>
      </c>
      <c r="O960" s="10"/>
    </row>
    <row r="961" ht="14.25" hidden="1" customHeight="1">
      <c r="A961" s="13" t="s">
        <v>2832</v>
      </c>
      <c r="B961" s="4" t="s">
        <v>27</v>
      </c>
      <c r="C961" s="4" t="s">
        <v>28</v>
      </c>
      <c r="D961" s="4" t="s">
        <v>2833</v>
      </c>
      <c r="E961" s="4">
        <v>3.124295466E9</v>
      </c>
      <c r="F961" s="4" t="s">
        <v>30</v>
      </c>
      <c r="G961" s="4" t="s">
        <v>35</v>
      </c>
      <c r="H961" s="14"/>
      <c r="I961" s="4" t="s">
        <v>32</v>
      </c>
      <c r="J961" s="14"/>
      <c r="K961" s="14"/>
      <c r="L961" s="14"/>
    </row>
    <row r="962" ht="14.25" hidden="1" customHeight="1">
      <c r="A962" s="13" t="s">
        <v>2834</v>
      </c>
      <c r="B962" s="4" t="s">
        <v>27</v>
      </c>
      <c r="C962" s="4" t="s">
        <v>28</v>
      </c>
      <c r="D962" s="4" t="s">
        <v>2835</v>
      </c>
      <c r="E962" s="4">
        <v>3.227649445E9</v>
      </c>
      <c r="F962" s="4" t="s">
        <v>30</v>
      </c>
      <c r="G962" s="4" t="s">
        <v>35</v>
      </c>
      <c r="H962" s="14"/>
      <c r="I962" s="4" t="s">
        <v>32</v>
      </c>
      <c r="J962" s="14"/>
      <c r="K962" s="14"/>
      <c r="L962" s="14"/>
    </row>
    <row r="963" ht="14.25" hidden="1" customHeight="1">
      <c r="A963" s="13" t="s">
        <v>2836</v>
      </c>
      <c r="B963" s="4" t="s">
        <v>27</v>
      </c>
      <c r="C963" s="4" t="s">
        <v>28</v>
      </c>
      <c r="D963" s="4" t="s">
        <v>2837</v>
      </c>
      <c r="E963" s="4">
        <v>3.118713141E9</v>
      </c>
      <c r="F963" s="4" t="s">
        <v>30</v>
      </c>
      <c r="G963" s="4" t="s">
        <v>35</v>
      </c>
      <c r="H963" s="14"/>
      <c r="I963" s="4" t="s">
        <v>32</v>
      </c>
      <c r="J963" s="14"/>
      <c r="K963" s="14"/>
      <c r="L963" s="14"/>
    </row>
    <row r="964" ht="14.25" customHeight="1">
      <c r="A964" s="1" t="s">
        <v>2838</v>
      </c>
      <c r="B964" s="2" t="s">
        <v>27</v>
      </c>
      <c r="C964" s="2" t="s">
        <v>28</v>
      </c>
      <c r="D964" s="2" t="s">
        <v>2839</v>
      </c>
      <c r="E964" s="3" t="s">
        <v>2840</v>
      </c>
      <c r="F964" s="4" t="s">
        <v>38</v>
      </c>
      <c r="G964" s="4" t="s">
        <v>113</v>
      </c>
      <c r="H964" s="4" t="s">
        <v>701</v>
      </c>
      <c r="I964" s="4" t="s">
        <v>358</v>
      </c>
      <c r="J964" s="6"/>
      <c r="K964" s="7"/>
      <c r="L964" s="8" t="str">
        <f t="shared" ref="L964:L966" si="119">UPPER(G964)</f>
        <v>BARRANCABERMEJA</v>
      </c>
      <c r="O964" s="10"/>
    </row>
    <row r="965" ht="14.25" customHeight="1">
      <c r="A965" s="1" t="s">
        <v>2841</v>
      </c>
      <c r="B965" s="2" t="s">
        <v>27</v>
      </c>
      <c r="C965" s="2" t="s">
        <v>28</v>
      </c>
      <c r="D965" s="2" t="s">
        <v>2842</v>
      </c>
      <c r="E965" s="3" t="s">
        <v>2843</v>
      </c>
      <c r="F965" s="4" t="s">
        <v>38</v>
      </c>
      <c r="G965" s="4" t="s">
        <v>39</v>
      </c>
      <c r="H965" s="4" t="s">
        <v>2844</v>
      </c>
      <c r="I965" s="4" t="s">
        <v>561</v>
      </c>
      <c r="J965" s="6"/>
      <c r="K965" s="7"/>
      <c r="L965" s="8" t="str">
        <f t="shared" si="119"/>
        <v>BUCARAMANGA</v>
      </c>
      <c r="O965" s="10"/>
    </row>
    <row r="966" ht="14.25" customHeight="1">
      <c r="A966" s="1" t="s">
        <v>2845</v>
      </c>
      <c r="B966" s="2" t="s">
        <v>27</v>
      </c>
      <c r="C966" s="2" t="s">
        <v>28</v>
      </c>
      <c r="D966" s="2" t="s">
        <v>2846</v>
      </c>
      <c r="E966" s="3" t="s">
        <v>2847</v>
      </c>
      <c r="F966" s="4" t="s">
        <v>38</v>
      </c>
      <c r="G966" s="4" t="s">
        <v>39</v>
      </c>
      <c r="H966" s="4" t="s">
        <v>40</v>
      </c>
      <c r="I966" s="4" t="s">
        <v>561</v>
      </c>
      <c r="J966" s="6"/>
      <c r="K966" s="7"/>
      <c r="L966" s="8" t="str">
        <f t="shared" si="119"/>
        <v>BUCARAMANGA</v>
      </c>
      <c r="O966" s="10"/>
    </row>
    <row r="967" ht="14.25" hidden="1" customHeight="1">
      <c r="A967" s="13" t="s">
        <v>2848</v>
      </c>
      <c r="B967" s="4" t="s">
        <v>27</v>
      </c>
      <c r="C967" s="4" t="s">
        <v>28</v>
      </c>
      <c r="D967" s="4" t="s">
        <v>2849</v>
      </c>
      <c r="E967" s="4">
        <v>3.118713141E9</v>
      </c>
      <c r="F967" s="4" t="s">
        <v>30</v>
      </c>
      <c r="G967" s="4" t="s">
        <v>35</v>
      </c>
      <c r="H967" s="14"/>
      <c r="I967" s="4" t="s">
        <v>32</v>
      </c>
      <c r="J967" s="14"/>
      <c r="K967" s="14"/>
      <c r="L967" s="14"/>
    </row>
    <row r="968" ht="14.25" hidden="1" customHeight="1">
      <c r="A968" s="13" t="s">
        <v>2850</v>
      </c>
      <c r="B968" s="4" t="s">
        <v>27</v>
      </c>
      <c r="C968" s="4" t="s">
        <v>28</v>
      </c>
      <c r="D968" s="4" t="s">
        <v>2851</v>
      </c>
      <c r="E968" s="4">
        <v>3.22292338E9</v>
      </c>
      <c r="F968" s="4" t="s">
        <v>30</v>
      </c>
      <c r="G968" s="4" t="s">
        <v>31</v>
      </c>
      <c r="H968" s="14"/>
      <c r="I968" s="4" t="s">
        <v>32</v>
      </c>
      <c r="J968" s="14"/>
      <c r="K968" s="14"/>
      <c r="L968" s="14"/>
    </row>
    <row r="969" ht="14.25" customHeight="1">
      <c r="A969" s="1" t="s">
        <v>2852</v>
      </c>
      <c r="B969" s="2" t="s">
        <v>27</v>
      </c>
      <c r="C969" s="2" t="s">
        <v>28</v>
      </c>
      <c r="D969" s="2" t="s">
        <v>2853</v>
      </c>
      <c r="E969" s="3" t="s">
        <v>2854</v>
      </c>
      <c r="F969" s="4" t="s">
        <v>38</v>
      </c>
      <c r="G969" s="4" t="s">
        <v>113</v>
      </c>
      <c r="H969" s="4" t="s">
        <v>357</v>
      </c>
      <c r="I969" s="4" t="s">
        <v>358</v>
      </c>
      <c r="J969" s="6"/>
      <c r="K969" s="7"/>
      <c r="L969" s="8" t="str">
        <f t="shared" ref="L969:L972" si="120">UPPER(G969)</f>
        <v>BARRANCABERMEJA</v>
      </c>
      <c r="O969" s="10"/>
    </row>
    <row r="970" ht="14.25" customHeight="1">
      <c r="A970" s="1" t="s">
        <v>2855</v>
      </c>
      <c r="B970" s="2" t="s">
        <v>27</v>
      </c>
      <c r="C970" s="2" t="s">
        <v>28</v>
      </c>
      <c r="D970" s="2" t="s">
        <v>2856</v>
      </c>
      <c r="E970" s="3" t="s">
        <v>2857</v>
      </c>
      <c r="F970" s="4" t="s">
        <v>455</v>
      </c>
      <c r="G970" s="4" t="s">
        <v>2703</v>
      </c>
      <c r="H970" s="14"/>
      <c r="I970" s="4" t="s">
        <v>561</v>
      </c>
      <c r="J970" s="6"/>
      <c r="K970" s="7"/>
      <c r="L970" s="8" t="str">
        <f t="shared" si="120"/>
        <v>AGUACHICA</v>
      </c>
      <c r="O970" s="10"/>
    </row>
    <row r="971" ht="14.25" customHeight="1">
      <c r="A971" s="1" t="s">
        <v>2858</v>
      </c>
      <c r="B971" s="2" t="s">
        <v>27</v>
      </c>
      <c r="C971" s="2" t="s">
        <v>28</v>
      </c>
      <c r="D971" s="2" t="s">
        <v>2859</v>
      </c>
      <c r="E971" s="3" t="s">
        <v>2860</v>
      </c>
      <c r="F971" s="4" t="s">
        <v>38</v>
      </c>
      <c r="G971" s="4" t="s">
        <v>113</v>
      </c>
      <c r="H971" s="4" t="s">
        <v>357</v>
      </c>
      <c r="I971" s="4" t="s">
        <v>561</v>
      </c>
      <c r="J971" s="6"/>
      <c r="K971" s="7"/>
      <c r="L971" s="8" t="str">
        <f t="shared" si="120"/>
        <v>BARRANCABERMEJA</v>
      </c>
      <c r="O971" s="10"/>
    </row>
    <row r="972" ht="14.25" customHeight="1">
      <c r="A972" s="1" t="s">
        <v>2861</v>
      </c>
      <c r="B972" s="2" t="s">
        <v>27</v>
      </c>
      <c r="C972" s="2" t="s">
        <v>28</v>
      </c>
      <c r="D972" s="2" t="s">
        <v>2862</v>
      </c>
      <c r="E972" s="3" t="s">
        <v>2863</v>
      </c>
      <c r="F972" s="4" t="s">
        <v>38</v>
      </c>
      <c r="G972" s="4" t="s">
        <v>39</v>
      </c>
      <c r="H972" s="4" t="s">
        <v>40</v>
      </c>
      <c r="I972" s="4" t="s">
        <v>561</v>
      </c>
      <c r="J972" s="6"/>
      <c r="K972" s="7"/>
      <c r="L972" s="8" t="str">
        <f t="shared" si="120"/>
        <v>BUCARAMANGA</v>
      </c>
      <c r="O972" s="10"/>
    </row>
    <row r="973" ht="14.25" hidden="1" customHeight="1">
      <c r="A973" s="13" t="s">
        <v>2864</v>
      </c>
      <c r="B973" s="4" t="s">
        <v>27</v>
      </c>
      <c r="C973" s="4" t="s">
        <v>28</v>
      </c>
      <c r="D973" s="4" t="s">
        <v>2865</v>
      </c>
      <c r="E973" s="4">
        <v>3.212706121E9</v>
      </c>
      <c r="F973" s="4" t="s">
        <v>30</v>
      </c>
      <c r="G973" s="4" t="s">
        <v>35</v>
      </c>
      <c r="H973" s="14"/>
      <c r="I973" s="4" t="s">
        <v>32</v>
      </c>
      <c r="J973" s="14"/>
      <c r="K973" s="14"/>
      <c r="L973" s="14"/>
    </row>
    <row r="974" ht="14.25" customHeight="1">
      <c r="A974" s="1" t="s">
        <v>2866</v>
      </c>
      <c r="B974" s="2" t="s">
        <v>27</v>
      </c>
      <c r="C974" s="2" t="s">
        <v>28</v>
      </c>
      <c r="D974" s="2" t="s">
        <v>2867</v>
      </c>
      <c r="E974" s="3" t="s">
        <v>2868</v>
      </c>
      <c r="F974" s="4" t="s">
        <v>38</v>
      </c>
      <c r="G974" s="4" t="s">
        <v>39</v>
      </c>
      <c r="H974" s="4" t="s">
        <v>2869</v>
      </c>
      <c r="I974" s="4" t="s">
        <v>561</v>
      </c>
      <c r="J974" s="6"/>
      <c r="K974" s="7"/>
      <c r="L974" s="8" t="str">
        <f t="shared" ref="L974:L978" si="121">UPPER(G974)</f>
        <v>BUCARAMANGA</v>
      </c>
      <c r="O974" s="10"/>
    </row>
    <row r="975" ht="14.25" customHeight="1">
      <c r="A975" s="1" t="s">
        <v>2870</v>
      </c>
      <c r="B975" s="2" t="s">
        <v>27</v>
      </c>
      <c r="C975" s="2" t="s">
        <v>28</v>
      </c>
      <c r="D975" s="2" t="s">
        <v>2871</v>
      </c>
      <c r="E975" s="3" t="s">
        <v>2872</v>
      </c>
      <c r="F975" s="4" t="s">
        <v>38</v>
      </c>
      <c r="G975" s="4" t="s">
        <v>39</v>
      </c>
      <c r="H975" s="4" t="s">
        <v>2873</v>
      </c>
      <c r="I975" s="4" t="s">
        <v>540</v>
      </c>
      <c r="J975" s="6"/>
      <c r="K975" s="7"/>
      <c r="L975" s="8" t="str">
        <f t="shared" si="121"/>
        <v>BUCARAMANGA</v>
      </c>
      <c r="O975" s="10"/>
    </row>
    <row r="976" ht="14.25" customHeight="1">
      <c r="A976" s="1" t="s">
        <v>2874</v>
      </c>
      <c r="B976" s="2" t="s">
        <v>27</v>
      </c>
      <c r="C976" s="2" t="s">
        <v>28</v>
      </c>
      <c r="D976" s="2" t="s">
        <v>2875</v>
      </c>
      <c r="E976" s="3" t="s">
        <v>2876</v>
      </c>
      <c r="F976" s="4" t="s">
        <v>38</v>
      </c>
      <c r="G976" s="4" t="s">
        <v>39</v>
      </c>
      <c r="H976" s="14"/>
      <c r="I976" s="4" t="s">
        <v>76</v>
      </c>
      <c r="J976" s="6"/>
      <c r="K976" s="7"/>
      <c r="L976" s="8" t="str">
        <f t="shared" si="121"/>
        <v>BUCARAMANGA</v>
      </c>
      <c r="O976" s="10"/>
    </row>
    <row r="977" ht="14.25" customHeight="1">
      <c r="A977" s="1" t="s">
        <v>2877</v>
      </c>
      <c r="B977" s="2" t="s">
        <v>27</v>
      </c>
      <c r="C977" s="2" t="s">
        <v>28</v>
      </c>
      <c r="D977" s="2" t="s">
        <v>2878</v>
      </c>
      <c r="E977" s="3" t="s">
        <v>2879</v>
      </c>
      <c r="F977" s="4" t="s">
        <v>38</v>
      </c>
      <c r="G977" s="4" t="s">
        <v>39</v>
      </c>
      <c r="H977" s="4" t="s">
        <v>40</v>
      </c>
      <c r="I977" s="4" t="s">
        <v>182</v>
      </c>
      <c r="J977" s="6"/>
      <c r="K977" s="7"/>
      <c r="L977" s="8" t="str">
        <f t="shared" si="121"/>
        <v>BUCARAMANGA</v>
      </c>
      <c r="O977" s="10"/>
    </row>
    <row r="978" ht="14.25" customHeight="1">
      <c r="A978" s="1" t="s">
        <v>2880</v>
      </c>
      <c r="B978" s="2" t="s">
        <v>27</v>
      </c>
      <c r="C978" s="2" t="s">
        <v>28</v>
      </c>
      <c r="D978" s="2" t="s">
        <v>2881</v>
      </c>
      <c r="E978" s="3" t="s">
        <v>2882</v>
      </c>
      <c r="F978" s="4" t="s">
        <v>38</v>
      </c>
      <c r="G978" s="4" t="s">
        <v>39</v>
      </c>
      <c r="H978" s="14"/>
      <c r="I978" s="4" t="s">
        <v>51</v>
      </c>
      <c r="J978" s="6"/>
      <c r="K978" s="7"/>
      <c r="L978" s="8" t="str">
        <f t="shared" si="121"/>
        <v>BUCARAMANGA</v>
      </c>
      <c r="O978" s="10"/>
    </row>
    <row r="979" ht="14.25" hidden="1" customHeight="1">
      <c r="A979" s="13" t="s">
        <v>2883</v>
      </c>
      <c r="B979" s="4" t="s">
        <v>27</v>
      </c>
      <c r="C979" s="4" t="s">
        <v>28</v>
      </c>
      <c r="D979" s="4" t="s">
        <v>2884</v>
      </c>
      <c r="E979" s="4">
        <v>3.22292338E9</v>
      </c>
      <c r="F979" s="4" t="s">
        <v>30</v>
      </c>
      <c r="G979" s="4" t="s">
        <v>31</v>
      </c>
      <c r="H979" s="14"/>
      <c r="I979" s="4" t="s">
        <v>32</v>
      </c>
      <c r="J979" s="14"/>
      <c r="K979" s="14"/>
      <c r="L979" s="14"/>
    </row>
    <row r="980" ht="14.25" customHeight="1">
      <c r="A980" s="1" t="s">
        <v>2885</v>
      </c>
      <c r="B980" s="2" t="s">
        <v>27</v>
      </c>
      <c r="C980" s="2" t="s">
        <v>28</v>
      </c>
      <c r="D980" s="2" t="s">
        <v>2886</v>
      </c>
      <c r="E980" s="3" t="s">
        <v>2887</v>
      </c>
      <c r="F980" s="4" t="s">
        <v>38</v>
      </c>
      <c r="G980" s="4" t="s">
        <v>81</v>
      </c>
      <c r="H980" s="4" t="s">
        <v>308</v>
      </c>
      <c r="I980" s="4" t="s">
        <v>561</v>
      </c>
      <c r="J980" s="6"/>
      <c r="K980" s="7"/>
      <c r="L980" s="8" t="str">
        <f t="shared" ref="L980:L982" si="122">UPPER(G980)</f>
        <v>FLORIDABLANCA</v>
      </c>
      <c r="O980" s="10"/>
    </row>
    <row r="981" ht="14.25" customHeight="1">
      <c r="A981" s="1" t="s">
        <v>2888</v>
      </c>
      <c r="B981" s="2" t="s">
        <v>27</v>
      </c>
      <c r="C981" s="2" t="s">
        <v>28</v>
      </c>
      <c r="D981" s="2" t="s">
        <v>2889</v>
      </c>
      <c r="E981" s="3" t="s">
        <v>2890</v>
      </c>
      <c r="F981" s="4" t="s">
        <v>38</v>
      </c>
      <c r="G981" s="4" t="s">
        <v>39</v>
      </c>
      <c r="H981" s="4" t="s">
        <v>118</v>
      </c>
      <c r="I981" s="4" t="s">
        <v>182</v>
      </c>
      <c r="J981" s="6"/>
      <c r="K981" s="7"/>
      <c r="L981" s="8" t="str">
        <f t="shared" si="122"/>
        <v>BUCARAMANGA</v>
      </c>
      <c r="O981" s="10"/>
    </row>
    <row r="982" ht="14.25" customHeight="1">
      <c r="A982" s="1" t="s">
        <v>2891</v>
      </c>
      <c r="B982" s="2" t="s">
        <v>27</v>
      </c>
      <c r="C982" s="2" t="s">
        <v>28</v>
      </c>
      <c r="D982" s="2" t="s">
        <v>2892</v>
      </c>
      <c r="E982" s="3" t="s">
        <v>2893</v>
      </c>
      <c r="F982" s="4" t="s">
        <v>38</v>
      </c>
      <c r="G982" s="4" t="s">
        <v>81</v>
      </c>
      <c r="H982" s="14"/>
      <c r="I982" s="4" t="s">
        <v>561</v>
      </c>
      <c r="J982" s="6"/>
      <c r="K982" s="7"/>
      <c r="L982" s="8" t="str">
        <f t="shared" si="122"/>
        <v>FLORIDABLANCA</v>
      </c>
      <c r="O982" s="10"/>
    </row>
    <row r="983" ht="14.25" hidden="1" customHeight="1">
      <c r="A983" s="13" t="s">
        <v>2894</v>
      </c>
      <c r="B983" s="4" t="s">
        <v>27</v>
      </c>
      <c r="C983" s="4" t="s">
        <v>28</v>
      </c>
      <c r="D983" s="4" t="s">
        <v>2895</v>
      </c>
      <c r="E983" s="4">
        <v>3.22292338E9</v>
      </c>
      <c r="F983" s="4" t="s">
        <v>30</v>
      </c>
      <c r="G983" s="4" t="s">
        <v>31</v>
      </c>
      <c r="H983" s="14"/>
      <c r="I983" s="4" t="s">
        <v>32</v>
      </c>
      <c r="J983" s="14"/>
      <c r="K983" s="14"/>
      <c r="L983" s="14"/>
    </row>
    <row r="984" ht="14.25" customHeight="1">
      <c r="A984" s="1" t="s">
        <v>2896</v>
      </c>
      <c r="B984" s="2" t="s">
        <v>27</v>
      </c>
      <c r="C984" s="2" t="s">
        <v>28</v>
      </c>
      <c r="D984" s="2" t="s">
        <v>2897</v>
      </c>
      <c r="E984" s="3" t="s">
        <v>2898</v>
      </c>
      <c r="F984" s="4" t="s">
        <v>38</v>
      </c>
      <c r="G984" s="4" t="s">
        <v>39</v>
      </c>
      <c r="H984" s="14"/>
      <c r="I984" s="4" t="s">
        <v>76</v>
      </c>
      <c r="J984" s="6"/>
      <c r="K984" s="7"/>
      <c r="L984" s="8" t="str">
        <f>UPPER(G984)</f>
        <v>BUCARAMANGA</v>
      </c>
      <c r="O984" s="10"/>
    </row>
    <row r="985" ht="14.25" hidden="1" customHeight="1">
      <c r="A985" s="13" t="s">
        <v>2899</v>
      </c>
      <c r="B985" s="4" t="s">
        <v>27</v>
      </c>
      <c r="C985" s="4" t="s">
        <v>28</v>
      </c>
      <c r="D985" s="4" t="s">
        <v>2900</v>
      </c>
      <c r="E985" s="4">
        <v>3.113867755E9</v>
      </c>
      <c r="F985" s="4" t="s">
        <v>30</v>
      </c>
      <c r="G985" s="4" t="s">
        <v>35</v>
      </c>
      <c r="H985" s="14"/>
      <c r="I985" s="4" t="s">
        <v>32</v>
      </c>
      <c r="J985" s="14"/>
      <c r="K985" s="14"/>
      <c r="L985" s="14"/>
    </row>
    <row r="986" ht="14.25" customHeight="1">
      <c r="A986" s="1" t="s">
        <v>2901</v>
      </c>
      <c r="B986" s="2" t="s">
        <v>27</v>
      </c>
      <c r="C986" s="2" t="s">
        <v>28</v>
      </c>
      <c r="D986" s="2" t="s">
        <v>2902</v>
      </c>
      <c r="E986" s="3" t="s">
        <v>2903</v>
      </c>
      <c r="F986" s="4" t="s">
        <v>38</v>
      </c>
      <c r="G986" s="4" t="s">
        <v>39</v>
      </c>
      <c r="H986" s="14"/>
      <c r="I986" s="4" t="s">
        <v>76</v>
      </c>
      <c r="J986" s="6"/>
      <c r="K986" s="7"/>
      <c r="L986" s="8" t="str">
        <f>UPPER(G986)</f>
        <v>BUCARAMANGA</v>
      </c>
      <c r="O986" s="10"/>
    </row>
    <row r="987" ht="14.25" hidden="1" customHeight="1">
      <c r="A987" s="13" t="s">
        <v>2904</v>
      </c>
      <c r="B987" s="4" t="s">
        <v>27</v>
      </c>
      <c r="C987" s="4" t="s">
        <v>28</v>
      </c>
      <c r="D987" s="4" t="s">
        <v>2905</v>
      </c>
      <c r="E987" s="4">
        <v>3.125007711E9</v>
      </c>
      <c r="F987" s="4" t="s">
        <v>30</v>
      </c>
      <c r="G987" s="4" t="s">
        <v>35</v>
      </c>
      <c r="H987" s="14"/>
      <c r="I987" s="4" t="s">
        <v>32</v>
      </c>
      <c r="J987" s="14"/>
      <c r="K987" s="14"/>
      <c r="L987" s="14"/>
    </row>
    <row r="988" ht="14.25" hidden="1" customHeight="1">
      <c r="A988" s="13" t="s">
        <v>2906</v>
      </c>
      <c r="B988" s="4" t="s">
        <v>27</v>
      </c>
      <c r="C988" s="4" t="s">
        <v>28</v>
      </c>
      <c r="D988" s="4" t="s">
        <v>2907</v>
      </c>
      <c r="E988" s="4">
        <v>3.133733641E9</v>
      </c>
      <c r="F988" s="4" t="s">
        <v>30</v>
      </c>
      <c r="G988" s="4" t="s">
        <v>35</v>
      </c>
      <c r="H988" s="14"/>
      <c r="I988" s="4" t="s">
        <v>32</v>
      </c>
      <c r="J988" s="14"/>
      <c r="K988" s="14"/>
      <c r="L988" s="14"/>
    </row>
    <row r="989" ht="14.25" customHeight="1">
      <c r="A989" s="1" t="s">
        <v>2908</v>
      </c>
      <c r="B989" s="2" t="s">
        <v>27</v>
      </c>
      <c r="C989" s="2" t="s">
        <v>28</v>
      </c>
      <c r="D989" s="2" t="s">
        <v>2909</v>
      </c>
      <c r="E989" s="3" t="s">
        <v>2910</v>
      </c>
      <c r="F989" s="4" t="s">
        <v>38</v>
      </c>
      <c r="G989" s="4" t="s">
        <v>159</v>
      </c>
      <c r="H989" s="4" t="s">
        <v>691</v>
      </c>
      <c r="I989" s="4" t="s">
        <v>561</v>
      </c>
      <c r="J989" s="6"/>
      <c r="K989" s="7"/>
      <c r="L989" s="8" t="str">
        <f t="shared" ref="L989:L991" si="123">UPPER(G989)</f>
        <v>PIEDECUESTA</v>
      </c>
      <c r="O989" s="10"/>
    </row>
    <row r="990" ht="14.25" customHeight="1">
      <c r="A990" s="1" t="s">
        <v>2911</v>
      </c>
      <c r="B990" s="2" t="s">
        <v>27</v>
      </c>
      <c r="C990" s="2" t="s">
        <v>28</v>
      </c>
      <c r="D990" s="2" t="s">
        <v>2912</v>
      </c>
      <c r="E990" s="3" t="s">
        <v>2913</v>
      </c>
      <c r="F990" s="4" t="s">
        <v>69</v>
      </c>
      <c r="G990" s="4" t="s">
        <v>69</v>
      </c>
      <c r="H990" s="14"/>
      <c r="I990" s="4" t="s">
        <v>51</v>
      </c>
      <c r="J990" s="6"/>
      <c r="K990" s="7"/>
      <c r="L990" s="8" t="str">
        <f t="shared" si="123"/>
        <v>BOGOTA</v>
      </c>
      <c r="O990" s="10"/>
    </row>
    <row r="991" ht="14.25" customHeight="1">
      <c r="A991" s="1" t="s">
        <v>2914</v>
      </c>
      <c r="B991" s="2" t="s">
        <v>27</v>
      </c>
      <c r="C991" s="2" t="s">
        <v>28</v>
      </c>
      <c r="D991" s="2" t="s">
        <v>2915</v>
      </c>
      <c r="E991" s="3" t="s">
        <v>2916</v>
      </c>
      <c r="F991" s="4" t="s">
        <v>38</v>
      </c>
      <c r="G991" s="4" t="s">
        <v>39</v>
      </c>
      <c r="H991" s="14"/>
      <c r="I991" s="4" t="s">
        <v>540</v>
      </c>
      <c r="J991" s="6"/>
      <c r="K991" s="7"/>
      <c r="L991" s="8" t="str">
        <f t="shared" si="123"/>
        <v>BUCARAMANGA</v>
      </c>
      <c r="O991" s="10"/>
    </row>
    <row r="992" ht="14.25" hidden="1" customHeight="1">
      <c r="A992" s="13" t="s">
        <v>2917</v>
      </c>
      <c r="B992" s="4" t="s">
        <v>27</v>
      </c>
      <c r="C992" s="4" t="s">
        <v>28</v>
      </c>
      <c r="D992" s="4" t="s">
        <v>2918</v>
      </c>
      <c r="E992" s="4">
        <v>3.123634986E9</v>
      </c>
      <c r="F992" s="4" t="s">
        <v>30</v>
      </c>
      <c r="G992" s="4" t="s">
        <v>35</v>
      </c>
      <c r="H992" s="14"/>
      <c r="I992" s="4" t="s">
        <v>32</v>
      </c>
      <c r="J992" s="14"/>
      <c r="K992" s="14"/>
      <c r="L992" s="14"/>
    </row>
    <row r="993" ht="14.25" customHeight="1">
      <c r="A993" s="1" t="s">
        <v>2919</v>
      </c>
      <c r="B993" s="2" t="s">
        <v>27</v>
      </c>
      <c r="C993" s="2" t="s">
        <v>28</v>
      </c>
      <c r="D993" s="2" t="s">
        <v>2920</v>
      </c>
      <c r="E993" s="3" t="s">
        <v>2921</v>
      </c>
      <c r="F993" s="4" t="s">
        <v>38</v>
      </c>
      <c r="G993" s="4" t="s">
        <v>39</v>
      </c>
      <c r="H993" s="14"/>
      <c r="I993" s="4" t="s">
        <v>164</v>
      </c>
      <c r="J993" s="6"/>
      <c r="K993" s="7"/>
      <c r="L993" s="8" t="str">
        <f t="shared" ref="L993:L1000" si="124">UPPER(G993)</f>
        <v>BUCARAMANGA</v>
      </c>
      <c r="O993" s="10"/>
    </row>
    <row r="994" ht="14.25" customHeight="1">
      <c r="A994" s="1" t="s">
        <v>2922</v>
      </c>
      <c r="B994" s="2" t="s">
        <v>27</v>
      </c>
      <c r="C994" s="2" t="s">
        <v>28</v>
      </c>
      <c r="D994" s="2" t="s">
        <v>2923</v>
      </c>
      <c r="E994" s="3" t="s">
        <v>2924</v>
      </c>
      <c r="F994" s="4" t="s">
        <v>38</v>
      </c>
      <c r="G994" s="4" t="s">
        <v>39</v>
      </c>
      <c r="H994" s="14"/>
      <c r="I994" s="4" t="s">
        <v>76</v>
      </c>
      <c r="J994" s="6"/>
      <c r="K994" s="7"/>
      <c r="L994" s="8" t="str">
        <f t="shared" si="124"/>
        <v>BUCARAMANGA</v>
      </c>
      <c r="O994" s="10"/>
    </row>
    <row r="995" ht="14.25" customHeight="1">
      <c r="A995" s="1" t="s">
        <v>2925</v>
      </c>
      <c r="B995" s="2" t="s">
        <v>27</v>
      </c>
      <c r="C995" s="2" t="s">
        <v>28</v>
      </c>
      <c r="D995" s="2" t="s">
        <v>2926</v>
      </c>
      <c r="E995" s="3" t="s">
        <v>2927</v>
      </c>
      <c r="F995" s="4" t="s">
        <v>38</v>
      </c>
      <c r="G995" s="4" t="s">
        <v>39</v>
      </c>
      <c r="H995" s="4" t="s">
        <v>40</v>
      </c>
      <c r="I995" s="4" t="s">
        <v>561</v>
      </c>
      <c r="J995" s="6"/>
      <c r="K995" s="7"/>
      <c r="L995" s="8" t="str">
        <f t="shared" si="124"/>
        <v>BUCARAMANGA</v>
      </c>
      <c r="O995" s="10"/>
    </row>
    <row r="996" ht="14.25" customHeight="1">
      <c r="A996" s="1" t="s">
        <v>2928</v>
      </c>
      <c r="B996" s="2" t="s">
        <v>27</v>
      </c>
      <c r="C996" s="2" t="s">
        <v>66</v>
      </c>
      <c r="D996" s="2" t="s">
        <v>2929</v>
      </c>
      <c r="E996" s="3" t="s">
        <v>2930</v>
      </c>
      <c r="F996" s="4" t="s">
        <v>38</v>
      </c>
      <c r="G996" s="4" t="s">
        <v>39</v>
      </c>
      <c r="H996" s="14"/>
      <c r="I996" s="4" t="s">
        <v>76</v>
      </c>
      <c r="J996" s="6"/>
      <c r="K996" s="7"/>
      <c r="L996" s="8" t="str">
        <f t="shared" si="124"/>
        <v>BUCARAMANGA</v>
      </c>
      <c r="O996" s="10"/>
    </row>
    <row r="997" ht="14.25" customHeight="1">
      <c r="A997" s="1" t="s">
        <v>2931</v>
      </c>
      <c r="B997" s="2" t="s">
        <v>27</v>
      </c>
      <c r="C997" s="2" t="s">
        <v>28</v>
      </c>
      <c r="D997" s="2" t="s">
        <v>2932</v>
      </c>
      <c r="E997" s="3" t="s">
        <v>2933</v>
      </c>
      <c r="F997" s="4" t="s">
        <v>69</v>
      </c>
      <c r="G997" s="4" t="s">
        <v>69</v>
      </c>
      <c r="H997" s="14"/>
      <c r="I997" s="4" t="s">
        <v>51</v>
      </c>
      <c r="J997" s="6"/>
      <c r="K997" s="7"/>
      <c r="L997" s="8" t="str">
        <f t="shared" si="124"/>
        <v>BOGOTA</v>
      </c>
      <c r="O997" s="10"/>
    </row>
    <row r="998" ht="14.25" customHeight="1">
      <c r="A998" s="1" t="s">
        <v>2934</v>
      </c>
      <c r="B998" s="2" t="s">
        <v>27</v>
      </c>
      <c r="C998" s="2" t="s">
        <v>28</v>
      </c>
      <c r="D998" s="2" t="s">
        <v>2935</v>
      </c>
      <c r="E998" s="3" t="s">
        <v>2936</v>
      </c>
      <c r="F998" s="4" t="s">
        <v>69</v>
      </c>
      <c r="G998" s="4" t="s">
        <v>69</v>
      </c>
      <c r="H998" s="14"/>
      <c r="I998" s="4" t="s">
        <v>51</v>
      </c>
      <c r="J998" s="6"/>
      <c r="K998" s="7"/>
      <c r="L998" s="8" t="str">
        <f t="shared" si="124"/>
        <v>BOGOTA</v>
      </c>
      <c r="O998" s="10"/>
    </row>
    <row r="999" ht="14.25" customHeight="1">
      <c r="A999" s="1" t="s">
        <v>2937</v>
      </c>
      <c r="B999" s="2" t="s">
        <v>27</v>
      </c>
      <c r="C999" s="2" t="s">
        <v>28</v>
      </c>
      <c r="D999" s="2" t="s">
        <v>2938</v>
      </c>
      <c r="E999" s="3" t="s">
        <v>2939</v>
      </c>
      <c r="F999" s="4" t="s">
        <v>69</v>
      </c>
      <c r="G999" s="4" t="s">
        <v>69</v>
      </c>
      <c r="H999" s="14"/>
      <c r="I999" s="4" t="s">
        <v>51</v>
      </c>
      <c r="J999" s="6"/>
      <c r="K999" s="7"/>
      <c r="L999" s="8" t="str">
        <f t="shared" si="124"/>
        <v>BOGOTA</v>
      </c>
      <c r="O999" s="10"/>
    </row>
    <row r="1000" ht="14.25" customHeight="1">
      <c r="A1000" s="1" t="s">
        <v>2940</v>
      </c>
      <c r="B1000" s="2" t="s">
        <v>27</v>
      </c>
      <c r="C1000" s="2" t="s">
        <v>28</v>
      </c>
      <c r="D1000" s="2" t="s">
        <v>2941</v>
      </c>
      <c r="E1000" s="3" t="s">
        <v>2942</v>
      </c>
      <c r="F1000" s="4" t="s">
        <v>38</v>
      </c>
      <c r="G1000" s="4" t="s">
        <v>81</v>
      </c>
      <c r="H1000" s="14"/>
      <c r="I1000" s="4" t="s">
        <v>51</v>
      </c>
      <c r="J1000" s="6"/>
      <c r="K1000" s="7"/>
      <c r="L1000" s="8" t="str">
        <f t="shared" si="124"/>
        <v>FLORIDABLANCA</v>
      </c>
      <c r="O1000" s="10"/>
    </row>
    <row r="1001" ht="14.25" hidden="1" customHeight="1">
      <c r="A1001" s="13" t="s">
        <v>2943</v>
      </c>
      <c r="B1001" s="4" t="s">
        <v>27</v>
      </c>
      <c r="C1001" s="4" t="s">
        <v>28</v>
      </c>
      <c r="D1001" s="4" t="s">
        <v>2944</v>
      </c>
      <c r="E1001" s="4">
        <v>3.22292338E9</v>
      </c>
      <c r="F1001" s="4" t="s">
        <v>30</v>
      </c>
      <c r="G1001" s="4" t="s">
        <v>31</v>
      </c>
      <c r="H1001" s="14"/>
      <c r="I1001" s="4" t="s">
        <v>32</v>
      </c>
      <c r="J1001" s="14"/>
      <c r="K1001" s="14"/>
      <c r="L1001" s="14"/>
    </row>
    <row r="1002" ht="14.25" hidden="1" customHeight="1">
      <c r="A1002" s="13" t="s">
        <v>2945</v>
      </c>
      <c r="B1002" s="4" t="s">
        <v>27</v>
      </c>
      <c r="C1002" s="4" t="s">
        <v>28</v>
      </c>
      <c r="D1002" s="4" t="s">
        <v>2946</v>
      </c>
      <c r="E1002" s="4">
        <v>3.124295466E9</v>
      </c>
      <c r="F1002" s="4" t="s">
        <v>30</v>
      </c>
      <c r="G1002" s="4" t="s">
        <v>35</v>
      </c>
      <c r="H1002" s="14"/>
      <c r="I1002" s="4" t="s">
        <v>32</v>
      </c>
      <c r="J1002" s="14"/>
      <c r="K1002" s="14"/>
      <c r="L1002" s="14"/>
    </row>
    <row r="1003" ht="14.25" customHeight="1">
      <c r="A1003" s="1" t="s">
        <v>2947</v>
      </c>
      <c r="B1003" s="2" t="s">
        <v>27</v>
      </c>
      <c r="C1003" s="2" t="s">
        <v>28</v>
      </c>
      <c r="D1003" s="2" t="s">
        <v>2948</v>
      </c>
      <c r="E1003" s="3" t="s">
        <v>2949</v>
      </c>
      <c r="F1003" s="4" t="s">
        <v>38</v>
      </c>
      <c r="G1003" s="4" t="s">
        <v>39</v>
      </c>
      <c r="H1003" s="14"/>
      <c r="I1003" s="4" t="s">
        <v>76</v>
      </c>
      <c r="J1003" s="6"/>
      <c r="K1003" s="7"/>
      <c r="L1003" s="8" t="str">
        <f t="shared" ref="L1003:L1005" si="125">UPPER(G1003)</f>
        <v>BUCARAMANGA</v>
      </c>
      <c r="O1003" s="10"/>
    </row>
    <row r="1004" ht="14.25" customHeight="1">
      <c r="A1004" s="1" t="s">
        <v>2950</v>
      </c>
      <c r="B1004" s="2" t="s">
        <v>27</v>
      </c>
      <c r="C1004" s="2" t="s">
        <v>28</v>
      </c>
      <c r="D1004" s="2" t="s">
        <v>2951</v>
      </c>
      <c r="E1004" s="3" t="s">
        <v>2952</v>
      </c>
      <c r="F1004" s="4" t="s">
        <v>105</v>
      </c>
      <c r="G1004" s="4" t="s">
        <v>2953</v>
      </c>
      <c r="H1004" s="14"/>
      <c r="I1004" s="4" t="s">
        <v>540</v>
      </c>
      <c r="J1004" s="6"/>
      <c r="K1004" s="7"/>
      <c r="L1004" s="8" t="str">
        <f t="shared" si="125"/>
        <v>GRANADA</v>
      </c>
      <c r="O1004" s="10"/>
    </row>
    <row r="1005" ht="14.25" customHeight="1">
      <c r="A1005" s="1" t="s">
        <v>2954</v>
      </c>
      <c r="B1005" s="2" t="s">
        <v>27</v>
      </c>
      <c r="C1005" s="2" t="s">
        <v>28</v>
      </c>
      <c r="D1005" s="2" t="s">
        <v>2955</v>
      </c>
      <c r="E1005" s="3" t="s">
        <v>2956</v>
      </c>
      <c r="F1005" s="4" t="s">
        <v>655</v>
      </c>
      <c r="G1005" s="4" t="s">
        <v>656</v>
      </c>
      <c r="H1005" s="14"/>
      <c r="I1005" s="4" t="s">
        <v>51</v>
      </c>
      <c r="J1005" s="6"/>
      <c r="K1005" s="7"/>
      <c r="L1005" s="8" t="str">
        <f t="shared" si="125"/>
        <v>VILLA DEL ROSARIO</v>
      </c>
      <c r="O1005" s="10"/>
    </row>
    <row r="1006" ht="14.25" hidden="1" customHeight="1">
      <c r="A1006" s="13" t="s">
        <v>2957</v>
      </c>
      <c r="B1006" s="4" t="s">
        <v>27</v>
      </c>
      <c r="C1006" s="4" t="s">
        <v>28</v>
      </c>
      <c r="D1006" s="4" t="s">
        <v>2958</v>
      </c>
      <c r="E1006" s="4">
        <v>3.134657058E9</v>
      </c>
      <c r="F1006" s="4" t="s">
        <v>30</v>
      </c>
      <c r="G1006" s="4" t="s">
        <v>35</v>
      </c>
      <c r="H1006" s="14"/>
      <c r="I1006" s="4" t="s">
        <v>32</v>
      </c>
      <c r="J1006" s="14"/>
      <c r="K1006" s="14"/>
      <c r="L1006" s="14"/>
    </row>
    <row r="1007" ht="14.25" customHeight="1">
      <c r="A1007" s="1" t="s">
        <v>2959</v>
      </c>
      <c r="B1007" s="2" t="s">
        <v>27</v>
      </c>
      <c r="C1007" s="2" t="s">
        <v>28</v>
      </c>
      <c r="D1007" s="2" t="s">
        <v>2960</v>
      </c>
      <c r="E1007" s="3" t="s">
        <v>2961</v>
      </c>
      <c r="F1007" s="4" t="s">
        <v>38</v>
      </c>
      <c r="G1007" s="4" t="s">
        <v>39</v>
      </c>
      <c r="H1007" s="4" t="s">
        <v>58</v>
      </c>
      <c r="I1007" s="4" t="s">
        <v>182</v>
      </c>
      <c r="J1007" s="6"/>
      <c r="K1007" s="7"/>
      <c r="L1007" s="8" t="str">
        <f t="shared" ref="L1007:L1008" si="126">UPPER(G1007)</f>
        <v>BUCARAMANGA</v>
      </c>
      <c r="O1007" s="10"/>
    </row>
    <row r="1008" ht="14.25" customHeight="1">
      <c r="A1008" s="1" t="s">
        <v>2962</v>
      </c>
      <c r="B1008" s="2" t="s">
        <v>27</v>
      </c>
      <c r="C1008" s="2" t="s">
        <v>28</v>
      </c>
      <c r="D1008" s="2" t="s">
        <v>2963</v>
      </c>
      <c r="E1008" s="3" t="s">
        <v>2964</v>
      </c>
      <c r="F1008" s="4" t="s">
        <v>38</v>
      </c>
      <c r="G1008" s="4" t="s">
        <v>39</v>
      </c>
      <c r="H1008" s="4" t="s">
        <v>40</v>
      </c>
      <c r="I1008" s="4" t="s">
        <v>561</v>
      </c>
      <c r="J1008" s="6"/>
      <c r="K1008" s="7"/>
      <c r="L1008" s="8" t="str">
        <f t="shared" si="126"/>
        <v>BUCARAMANGA</v>
      </c>
      <c r="O1008" s="10"/>
    </row>
    <row r="1009" ht="14.25" hidden="1" customHeight="1">
      <c r="A1009" s="13" t="s">
        <v>2965</v>
      </c>
      <c r="B1009" s="4" t="s">
        <v>27</v>
      </c>
      <c r="C1009" s="4" t="s">
        <v>28</v>
      </c>
      <c r="D1009" s="4" t="s">
        <v>2966</v>
      </c>
      <c r="E1009" s="4">
        <v>3.118713141E9</v>
      </c>
      <c r="F1009" s="4" t="s">
        <v>30</v>
      </c>
      <c r="G1009" s="4" t="s">
        <v>35</v>
      </c>
      <c r="H1009" s="14"/>
      <c r="I1009" s="4" t="s">
        <v>32</v>
      </c>
      <c r="J1009" s="14"/>
      <c r="K1009" s="14"/>
      <c r="L1009" s="14"/>
    </row>
    <row r="1010" ht="14.25" customHeight="1">
      <c r="A1010" s="1" t="s">
        <v>2967</v>
      </c>
      <c r="B1010" s="2" t="s">
        <v>27</v>
      </c>
      <c r="C1010" s="2" t="s">
        <v>28</v>
      </c>
      <c r="D1010" s="2" t="s">
        <v>2968</v>
      </c>
      <c r="E1010" s="3" t="s">
        <v>2969</v>
      </c>
      <c r="F1010" s="4" t="s">
        <v>38</v>
      </c>
      <c r="G1010" s="4" t="s">
        <v>39</v>
      </c>
      <c r="H1010" s="14"/>
      <c r="I1010" s="4" t="s">
        <v>76</v>
      </c>
      <c r="J1010" s="6"/>
      <c r="K1010" s="7"/>
      <c r="L1010" s="8" t="str">
        <f t="shared" ref="L1010:L1012" si="127">UPPER(G1010)</f>
        <v>BUCARAMANGA</v>
      </c>
      <c r="O1010" s="10"/>
    </row>
    <row r="1011" ht="14.25" customHeight="1">
      <c r="A1011" s="1" t="s">
        <v>2970</v>
      </c>
      <c r="B1011" s="2" t="s">
        <v>27</v>
      </c>
      <c r="C1011" s="2" t="s">
        <v>28</v>
      </c>
      <c r="D1011" s="2" t="s">
        <v>2971</v>
      </c>
      <c r="E1011" s="3" t="s">
        <v>2972</v>
      </c>
      <c r="F1011" s="4" t="s">
        <v>38</v>
      </c>
      <c r="G1011" s="4" t="s">
        <v>81</v>
      </c>
      <c r="H1011" s="14"/>
      <c r="I1011" s="4" t="s">
        <v>164</v>
      </c>
      <c r="J1011" s="6"/>
      <c r="K1011" s="7"/>
      <c r="L1011" s="8" t="str">
        <f t="shared" si="127"/>
        <v>FLORIDABLANCA</v>
      </c>
      <c r="O1011" s="10"/>
    </row>
    <row r="1012" ht="14.25" customHeight="1">
      <c r="A1012" s="1" t="s">
        <v>2973</v>
      </c>
      <c r="B1012" s="2" t="s">
        <v>27</v>
      </c>
      <c r="C1012" s="2" t="s">
        <v>28</v>
      </c>
      <c r="D1012" s="2" t="s">
        <v>2974</v>
      </c>
      <c r="E1012" s="3" t="s">
        <v>2975</v>
      </c>
      <c r="F1012" s="4" t="s">
        <v>38</v>
      </c>
      <c r="G1012" s="4" t="s">
        <v>113</v>
      </c>
      <c r="H1012" s="14"/>
      <c r="I1012" s="4" t="s">
        <v>540</v>
      </c>
      <c r="J1012" s="6"/>
      <c r="K1012" s="7"/>
      <c r="L1012" s="8" t="str">
        <f t="shared" si="127"/>
        <v>BARRANCABERMEJA</v>
      </c>
      <c r="O1012" s="10"/>
    </row>
    <row r="1013" ht="14.25" hidden="1" customHeight="1">
      <c r="A1013" s="13" t="s">
        <v>2976</v>
      </c>
      <c r="B1013" s="4" t="s">
        <v>27</v>
      </c>
      <c r="C1013" s="4" t="s">
        <v>28</v>
      </c>
      <c r="D1013" s="4" t="s">
        <v>2977</v>
      </c>
      <c r="E1013" s="4">
        <v>3.22292338E9</v>
      </c>
      <c r="F1013" s="4" t="s">
        <v>30</v>
      </c>
      <c r="G1013" s="4" t="s">
        <v>31</v>
      </c>
      <c r="H1013" s="14"/>
      <c r="I1013" s="4" t="s">
        <v>32</v>
      </c>
      <c r="J1013" s="14"/>
      <c r="K1013" s="14"/>
      <c r="L1013" s="14"/>
    </row>
    <row r="1014" ht="14.25" customHeight="1">
      <c r="A1014" s="1" t="s">
        <v>2978</v>
      </c>
      <c r="B1014" s="2" t="s">
        <v>27</v>
      </c>
      <c r="C1014" s="2" t="s">
        <v>28</v>
      </c>
      <c r="D1014" s="2" t="s">
        <v>2979</v>
      </c>
      <c r="E1014" s="3" t="s">
        <v>2980</v>
      </c>
      <c r="F1014" s="4" t="s">
        <v>38</v>
      </c>
      <c r="G1014" s="4" t="s">
        <v>113</v>
      </c>
      <c r="H1014" s="4" t="s">
        <v>2229</v>
      </c>
      <c r="I1014" s="4" t="s">
        <v>540</v>
      </c>
      <c r="J1014" s="6" t="s">
        <v>2981</v>
      </c>
      <c r="K1014" s="7"/>
      <c r="L1014" s="8" t="str">
        <f t="shared" ref="L1014:L1017" si="128">UPPER(G1014)</f>
        <v>BARRANCABERMEJA</v>
      </c>
      <c r="O1014" s="10"/>
    </row>
    <row r="1015" ht="14.25" customHeight="1">
      <c r="A1015" s="1" t="s">
        <v>2982</v>
      </c>
      <c r="B1015" s="2" t="s">
        <v>27</v>
      </c>
      <c r="C1015" s="2" t="s">
        <v>28</v>
      </c>
      <c r="D1015" s="2" t="s">
        <v>2983</v>
      </c>
      <c r="E1015" s="3" t="s">
        <v>2984</v>
      </c>
      <c r="F1015" s="4" t="s">
        <v>38</v>
      </c>
      <c r="G1015" s="4" t="s">
        <v>81</v>
      </c>
      <c r="H1015" s="4" t="s">
        <v>2985</v>
      </c>
      <c r="I1015" s="4" t="s">
        <v>561</v>
      </c>
      <c r="J1015" s="6"/>
      <c r="K1015" s="7"/>
      <c r="L1015" s="8" t="str">
        <f t="shared" si="128"/>
        <v>FLORIDABLANCA</v>
      </c>
      <c r="O1015" s="10"/>
    </row>
    <row r="1016" ht="14.25" customHeight="1">
      <c r="A1016" s="1" t="s">
        <v>2986</v>
      </c>
      <c r="B1016" s="2" t="s">
        <v>27</v>
      </c>
      <c r="C1016" s="2" t="s">
        <v>28</v>
      </c>
      <c r="D1016" s="2" t="s">
        <v>2987</v>
      </c>
      <c r="E1016" s="3" t="s">
        <v>2988</v>
      </c>
      <c r="F1016" s="4" t="s">
        <v>38</v>
      </c>
      <c r="G1016" s="4" t="s">
        <v>39</v>
      </c>
      <c r="H1016" s="14"/>
      <c r="I1016" s="4" t="s">
        <v>51</v>
      </c>
      <c r="J1016" s="6"/>
      <c r="K1016" s="7"/>
      <c r="L1016" s="8" t="str">
        <f t="shared" si="128"/>
        <v>BUCARAMANGA</v>
      </c>
      <c r="O1016" s="10"/>
    </row>
    <row r="1017" ht="14.25" customHeight="1">
      <c r="A1017" s="1" t="s">
        <v>2989</v>
      </c>
      <c r="B1017" s="2" t="s">
        <v>27</v>
      </c>
      <c r="C1017" s="2" t="s">
        <v>28</v>
      </c>
      <c r="D1017" s="2" t="s">
        <v>2990</v>
      </c>
      <c r="E1017" s="3" t="s">
        <v>2991</v>
      </c>
      <c r="F1017" s="4" t="s">
        <v>38</v>
      </c>
      <c r="G1017" s="4" t="s">
        <v>81</v>
      </c>
      <c r="H1017" s="14"/>
      <c r="I1017" s="4" t="s">
        <v>561</v>
      </c>
      <c r="J1017" s="6"/>
      <c r="K1017" s="7"/>
      <c r="L1017" s="8" t="str">
        <f t="shared" si="128"/>
        <v>FLORIDABLANCA</v>
      </c>
      <c r="O1017" s="10"/>
    </row>
    <row r="1018" ht="14.25" hidden="1" customHeight="1">
      <c r="A1018" s="13" t="s">
        <v>2992</v>
      </c>
      <c r="B1018" s="4" t="s">
        <v>27</v>
      </c>
      <c r="C1018" s="4" t="s">
        <v>28</v>
      </c>
      <c r="D1018" s="4" t="s">
        <v>2993</v>
      </c>
      <c r="E1018" s="4">
        <v>3.135007711E9</v>
      </c>
      <c r="F1018" s="4" t="s">
        <v>30</v>
      </c>
      <c r="G1018" s="4" t="s">
        <v>31</v>
      </c>
      <c r="H1018" s="14"/>
      <c r="I1018" s="4" t="s">
        <v>32</v>
      </c>
      <c r="J1018" s="14"/>
      <c r="K1018" s="14"/>
      <c r="L1018" s="14"/>
    </row>
    <row r="1019" ht="14.25" hidden="1" customHeight="1">
      <c r="A1019" s="13" t="s">
        <v>2994</v>
      </c>
      <c r="B1019" s="4" t="s">
        <v>27</v>
      </c>
      <c r="C1019" s="4" t="s">
        <v>28</v>
      </c>
      <c r="D1019" s="4" t="s">
        <v>2995</v>
      </c>
      <c r="E1019" s="4">
        <v>3.229457091E9</v>
      </c>
      <c r="F1019" s="4" t="s">
        <v>30</v>
      </c>
      <c r="G1019" s="4" t="s">
        <v>31</v>
      </c>
      <c r="H1019" s="14"/>
      <c r="I1019" s="4" t="s">
        <v>32</v>
      </c>
      <c r="J1019" s="14"/>
      <c r="K1019" s="14"/>
      <c r="L1019" s="14"/>
    </row>
    <row r="1020" ht="14.25" customHeight="1">
      <c r="A1020" s="1" t="s">
        <v>2996</v>
      </c>
      <c r="B1020" s="2" t="s">
        <v>27</v>
      </c>
      <c r="C1020" s="2" t="s">
        <v>28</v>
      </c>
      <c r="D1020" s="2" t="s">
        <v>2997</v>
      </c>
      <c r="E1020" s="3" t="s">
        <v>2998</v>
      </c>
      <c r="F1020" s="4" t="s">
        <v>69</v>
      </c>
      <c r="G1020" s="4" t="s">
        <v>69</v>
      </c>
      <c r="H1020" s="14"/>
      <c r="I1020" s="4" t="s">
        <v>51</v>
      </c>
      <c r="J1020" s="6"/>
      <c r="K1020" s="7"/>
      <c r="L1020" s="8" t="str">
        <f t="shared" ref="L1020:L1021" si="129">UPPER(G1020)</f>
        <v>BOGOTA</v>
      </c>
      <c r="O1020" s="10"/>
    </row>
    <row r="1021" ht="14.25" customHeight="1">
      <c r="A1021" s="1" t="s">
        <v>2999</v>
      </c>
      <c r="B1021" s="2" t="s">
        <v>27</v>
      </c>
      <c r="C1021" s="2" t="s">
        <v>28</v>
      </c>
      <c r="D1021" s="2" t="s">
        <v>3000</v>
      </c>
      <c r="E1021" s="3" t="s">
        <v>3001</v>
      </c>
      <c r="F1021" s="4" t="s">
        <v>38</v>
      </c>
      <c r="G1021" s="4" t="s">
        <v>39</v>
      </c>
      <c r="H1021" s="4" t="s">
        <v>40</v>
      </c>
      <c r="I1021" s="4" t="s">
        <v>561</v>
      </c>
      <c r="J1021" s="6"/>
      <c r="K1021" s="7"/>
      <c r="L1021" s="8" t="str">
        <f t="shared" si="129"/>
        <v>BUCARAMANGA</v>
      </c>
      <c r="O1021" s="10"/>
    </row>
    <row r="1022" ht="14.25" hidden="1" customHeight="1">
      <c r="A1022" s="13" t="s">
        <v>3002</v>
      </c>
      <c r="B1022" s="4" t="s">
        <v>27</v>
      </c>
      <c r="C1022" s="4" t="s">
        <v>28</v>
      </c>
      <c r="D1022" s="4" t="s">
        <v>3003</v>
      </c>
      <c r="E1022" s="4">
        <v>3.133723119E9</v>
      </c>
      <c r="F1022" s="4" t="s">
        <v>30</v>
      </c>
      <c r="G1022" s="4" t="s">
        <v>35</v>
      </c>
      <c r="H1022" s="14"/>
      <c r="I1022" s="4" t="s">
        <v>32</v>
      </c>
      <c r="J1022" s="14"/>
      <c r="K1022" s="14"/>
      <c r="L1022" s="14"/>
    </row>
    <row r="1023" ht="14.25" customHeight="1">
      <c r="A1023" s="1" t="s">
        <v>3004</v>
      </c>
      <c r="B1023" s="2" t="s">
        <v>27</v>
      </c>
      <c r="C1023" s="2" t="s">
        <v>28</v>
      </c>
      <c r="D1023" s="2" t="s">
        <v>3005</v>
      </c>
      <c r="E1023" s="3" t="s">
        <v>3006</v>
      </c>
      <c r="F1023" s="4" t="s">
        <v>38</v>
      </c>
      <c r="G1023" s="4" t="s">
        <v>39</v>
      </c>
      <c r="H1023" s="4" t="s">
        <v>40</v>
      </c>
      <c r="I1023" s="4" t="s">
        <v>561</v>
      </c>
      <c r="J1023" s="6"/>
      <c r="K1023" s="7"/>
      <c r="L1023" s="8" t="str">
        <f>UPPER(G1023)</f>
        <v>BUCARAMANGA</v>
      </c>
      <c r="O1023" s="10"/>
    </row>
    <row r="1024" ht="14.25" hidden="1" customHeight="1">
      <c r="A1024" s="13" t="s">
        <v>3007</v>
      </c>
      <c r="B1024" s="4" t="s">
        <v>27</v>
      </c>
      <c r="C1024" s="4" t="s">
        <v>28</v>
      </c>
      <c r="D1024" s="4" t="s">
        <v>3008</v>
      </c>
      <c r="E1024" s="4">
        <v>3.22292338E9</v>
      </c>
      <c r="F1024" s="4" t="s">
        <v>30</v>
      </c>
      <c r="G1024" s="4" t="s">
        <v>31</v>
      </c>
      <c r="H1024" s="14"/>
      <c r="I1024" s="4" t="s">
        <v>32</v>
      </c>
      <c r="J1024" s="14"/>
      <c r="K1024" s="14"/>
      <c r="L1024" s="14"/>
    </row>
    <row r="1025" ht="14.25" customHeight="1">
      <c r="A1025" s="1" t="s">
        <v>3009</v>
      </c>
      <c r="B1025" s="2" t="s">
        <v>27</v>
      </c>
      <c r="C1025" s="2" t="s">
        <v>28</v>
      </c>
      <c r="D1025" s="2" t="s">
        <v>3010</v>
      </c>
      <c r="E1025" s="3" t="s">
        <v>3011</v>
      </c>
      <c r="F1025" s="4" t="s">
        <v>1863</v>
      </c>
      <c r="G1025" s="4" t="s">
        <v>1356</v>
      </c>
      <c r="H1025" s="14"/>
      <c r="I1025" s="4" t="s">
        <v>51</v>
      </c>
      <c r="J1025" s="6"/>
      <c r="K1025" s="7"/>
      <c r="L1025" s="8" t="str">
        <f>UPPER(G1025)</f>
        <v>CALI</v>
      </c>
      <c r="O1025" s="10"/>
    </row>
    <row r="1026" ht="14.25" hidden="1" customHeight="1">
      <c r="A1026" s="13" t="s">
        <v>3012</v>
      </c>
      <c r="B1026" s="4" t="s">
        <v>27</v>
      </c>
      <c r="C1026" s="4" t="s">
        <v>28</v>
      </c>
      <c r="D1026" s="4" t="s">
        <v>3013</v>
      </c>
      <c r="E1026" s="4">
        <v>3.229457091E9</v>
      </c>
      <c r="F1026" s="4" t="s">
        <v>30</v>
      </c>
      <c r="G1026" s="4" t="s">
        <v>31</v>
      </c>
      <c r="H1026" s="14"/>
      <c r="I1026" s="4" t="s">
        <v>32</v>
      </c>
      <c r="J1026" s="14"/>
      <c r="K1026" s="14"/>
      <c r="L1026" s="14"/>
    </row>
    <row r="1027" ht="14.25" hidden="1" customHeight="1">
      <c r="A1027" s="13" t="s">
        <v>3014</v>
      </c>
      <c r="B1027" s="4" t="s">
        <v>27</v>
      </c>
      <c r="C1027" s="4" t="s">
        <v>28</v>
      </c>
      <c r="D1027" s="4" t="s">
        <v>3015</v>
      </c>
      <c r="E1027" s="4">
        <v>3.145716712E9</v>
      </c>
      <c r="F1027" s="4" t="s">
        <v>30</v>
      </c>
      <c r="G1027" s="4" t="s">
        <v>35</v>
      </c>
      <c r="H1027" s="14"/>
      <c r="I1027" s="4" t="s">
        <v>32</v>
      </c>
      <c r="J1027" s="14"/>
      <c r="K1027" s="14"/>
      <c r="L1027" s="14"/>
    </row>
    <row r="1028" ht="14.25" hidden="1" customHeight="1">
      <c r="A1028" s="13" t="s">
        <v>3016</v>
      </c>
      <c r="B1028" s="4" t="s">
        <v>27</v>
      </c>
      <c r="C1028" s="4" t="s">
        <v>28</v>
      </c>
      <c r="D1028" s="4" t="s">
        <v>3017</v>
      </c>
      <c r="E1028" s="4">
        <v>3.113867755E9</v>
      </c>
      <c r="F1028" s="4" t="s">
        <v>30</v>
      </c>
      <c r="G1028" s="4" t="s">
        <v>35</v>
      </c>
      <c r="H1028" s="14"/>
      <c r="I1028" s="4" t="s">
        <v>32</v>
      </c>
      <c r="J1028" s="14"/>
      <c r="K1028" s="14"/>
      <c r="L1028" s="14"/>
    </row>
    <row r="1029" ht="14.25" customHeight="1">
      <c r="A1029" s="1" t="s">
        <v>3018</v>
      </c>
      <c r="B1029" s="2" t="s">
        <v>27</v>
      </c>
      <c r="C1029" s="2" t="s">
        <v>28</v>
      </c>
      <c r="D1029" s="2" t="s">
        <v>3019</v>
      </c>
      <c r="E1029" s="3" t="s">
        <v>3020</v>
      </c>
      <c r="F1029" s="4" t="s">
        <v>38</v>
      </c>
      <c r="G1029" s="4" t="s">
        <v>113</v>
      </c>
      <c r="H1029" s="4" t="s">
        <v>357</v>
      </c>
      <c r="I1029" s="4" t="s">
        <v>358</v>
      </c>
      <c r="J1029" s="6"/>
      <c r="K1029" s="7"/>
      <c r="L1029" s="8" t="str">
        <f>UPPER(G1029)</f>
        <v>BARRANCABERMEJA</v>
      </c>
      <c r="O1029" s="10"/>
    </row>
    <row r="1030" ht="14.25" hidden="1" customHeight="1">
      <c r="A1030" s="13" t="s">
        <v>3021</v>
      </c>
      <c r="B1030" s="4" t="s">
        <v>27</v>
      </c>
      <c r="C1030" s="4" t="s">
        <v>28</v>
      </c>
      <c r="D1030" s="4" t="s">
        <v>3022</v>
      </c>
      <c r="E1030" s="4">
        <v>3.102211527E9</v>
      </c>
      <c r="F1030" s="4" t="s">
        <v>30</v>
      </c>
      <c r="G1030" s="4" t="s">
        <v>35</v>
      </c>
      <c r="H1030" s="14"/>
      <c r="I1030" s="4" t="s">
        <v>32</v>
      </c>
      <c r="J1030" s="14"/>
      <c r="K1030" s="14"/>
      <c r="L1030" s="14"/>
    </row>
    <row r="1031" ht="14.25" hidden="1" customHeight="1">
      <c r="A1031" s="13" t="s">
        <v>3023</v>
      </c>
      <c r="B1031" s="4" t="s">
        <v>27</v>
      </c>
      <c r="C1031" s="4" t="s">
        <v>28</v>
      </c>
      <c r="D1031" s="4" t="s">
        <v>3024</v>
      </c>
      <c r="E1031" s="4">
        <v>3.118713141E9</v>
      </c>
      <c r="F1031" s="4" t="s">
        <v>30</v>
      </c>
      <c r="G1031" s="4" t="s">
        <v>35</v>
      </c>
      <c r="H1031" s="14"/>
      <c r="I1031" s="4" t="s">
        <v>32</v>
      </c>
      <c r="J1031" s="14"/>
      <c r="K1031" s="14"/>
      <c r="L1031" s="14"/>
    </row>
    <row r="1032" ht="14.25" customHeight="1">
      <c r="A1032" s="1" t="s">
        <v>3025</v>
      </c>
      <c r="B1032" s="2" t="s">
        <v>27</v>
      </c>
      <c r="C1032" s="2" t="s">
        <v>28</v>
      </c>
      <c r="D1032" s="2" t="s">
        <v>3026</v>
      </c>
      <c r="E1032" s="3" t="s">
        <v>3027</v>
      </c>
      <c r="F1032" s="4" t="s">
        <v>38</v>
      </c>
      <c r="G1032" s="4" t="s">
        <v>113</v>
      </c>
      <c r="H1032" s="14"/>
      <c r="I1032" s="4" t="s">
        <v>358</v>
      </c>
      <c r="J1032" s="6"/>
      <c r="K1032" s="7"/>
      <c r="L1032" s="8" t="str">
        <f>UPPER(G1032)</f>
        <v>BARRANCABERMEJA</v>
      </c>
      <c r="O1032" s="10"/>
    </row>
    <row r="1033" ht="14.25" hidden="1" customHeight="1">
      <c r="A1033" s="13" t="s">
        <v>3028</v>
      </c>
      <c r="B1033" s="4" t="s">
        <v>27</v>
      </c>
      <c r="C1033" s="4" t="s">
        <v>28</v>
      </c>
      <c r="D1033" s="4" t="s">
        <v>3029</v>
      </c>
      <c r="E1033" s="4">
        <v>3.125540939E9</v>
      </c>
      <c r="F1033" s="4" t="s">
        <v>30</v>
      </c>
      <c r="G1033" s="4" t="s">
        <v>35</v>
      </c>
      <c r="H1033" s="14"/>
      <c r="I1033" s="4" t="s">
        <v>32</v>
      </c>
      <c r="J1033" s="14"/>
      <c r="K1033" s="14"/>
      <c r="L1033" s="14"/>
    </row>
    <row r="1034" ht="14.25" hidden="1" customHeight="1">
      <c r="A1034" s="13" t="s">
        <v>3030</v>
      </c>
      <c r="B1034" s="4" t="s">
        <v>27</v>
      </c>
      <c r="C1034" s="4" t="s">
        <v>28</v>
      </c>
      <c r="D1034" s="4" t="s">
        <v>3031</v>
      </c>
      <c r="E1034" s="4">
        <v>3.22731914E9</v>
      </c>
      <c r="F1034" s="4" t="s">
        <v>30</v>
      </c>
      <c r="G1034" s="4" t="s">
        <v>35</v>
      </c>
      <c r="H1034" s="14"/>
      <c r="I1034" s="4" t="s">
        <v>32</v>
      </c>
      <c r="J1034" s="14"/>
      <c r="K1034" s="14"/>
      <c r="L1034" s="14"/>
    </row>
    <row r="1035" ht="14.25" hidden="1" customHeight="1">
      <c r="A1035" s="13" t="s">
        <v>3032</v>
      </c>
      <c r="B1035" s="4" t="s">
        <v>27</v>
      </c>
      <c r="C1035" s="4" t="s">
        <v>28</v>
      </c>
      <c r="D1035" s="4" t="s">
        <v>3033</v>
      </c>
      <c r="E1035" s="4">
        <v>3.113855088E9</v>
      </c>
      <c r="F1035" s="4" t="s">
        <v>30</v>
      </c>
      <c r="G1035" s="4" t="s">
        <v>31</v>
      </c>
      <c r="H1035" s="14"/>
      <c r="I1035" s="4" t="s">
        <v>32</v>
      </c>
      <c r="J1035" s="14"/>
      <c r="K1035" s="14"/>
      <c r="L1035" s="14"/>
    </row>
    <row r="1036" ht="14.25" customHeight="1">
      <c r="A1036" s="1" t="s">
        <v>3034</v>
      </c>
      <c r="B1036" s="2" t="s">
        <v>27</v>
      </c>
      <c r="C1036" s="2" t="s">
        <v>28</v>
      </c>
      <c r="D1036" s="2" t="s">
        <v>3035</v>
      </c>
      <c r="E1036" s="3" t="s">
        <v>882</v>
      </c>
      <c r="F1036" s="4" t="s">
        <v>38</v>
      </c>
      <c r="G1036" s="4" t="s">
        <v>39</v>
      </c>
      <c r="H1036" s="4" t="s">
        <v>40</v>
      </c>
      <c r="I1036" s="4" t="s">
        <v>561</v>
      </c>
      <c r="J1036" s="6"/>
      <c r="K1036" s="7"/>
      <c r="L1036" s="8" t="str">
        <f t="shared" ref="L1036:L1037" si="130">UPPER(G1036)</f>
        <v>BUCARAMANGA</v>
      </c>
      <c r="O1036" s="10"/>
    </row>
    <row r="1037" ht="14.25" customHeight="1">
      <c r="A1037" s="1" t="s">
        <v>3036</v>
      </c>
      <c r="B1037" s="2" t="s">
        <v>27</v>
      </c>
      <c r="C1037" s="2" t="s">
        <v>28</v>
      </c>
      <c r="D1037" s="2" t="s">
        <v>3037</v>
      </c>
      <c r="E1037" s="3" t="s">
        <v>606</v>
      </c>
      <c r="F1037" s="4" t="s">
        <v>38</v>
      </c>
      <c r="G1037" s="4" t="s">
        <v>39</v>
      </c>
      <c r="H1037" s="14"/>
      <c r="I1037" s="4" t="s">
        <v>76</v>
      </c>
      <c r="J1037" s="6"/>
      <c r="K1037" s="7"/>
      <c r="L1037" s="8" t="str">
        <f t="shared" si="130"/>
        <v>BUCARAMANGA</v>
      </c>
      <c r="O1037" s="10"/>
    </row>
    <row r="1038" ht="14.25" hidden="1" customHeight="1">
      <c r="A1038" s="13" t="s">
        <v>3038</v>
      </c>
      <c r="B1038" s="4" t="s">
        <v>27</v>
      </c>
      <c r="C1038" s="4" t="s">
        <v>28</v>
      </c>
      <c r="D1038" s="4" t="s">
        <v>3039</v>
      </c>
      <c r="E1038" s="4">
        <v>3.124295466E9</v>
      </c>
      <c r="F1038" s="4" t="s">
        <v>30</v>
      </c>
      <c r="G1038" s="4" t="s">
        <v>35</v>
      </c>
      <c r="H1038" s="14"/>
      <c r="I1038" s="4" t="s">
        <v>32</v>
      </c>
      <c r="J1038" s="14"/>
      <c r="K1038" s="14"/>
      <c r="L1038" s="14"/>
    </row>
    <row r="1039" ht="14.25" customHeight="1">
      <c r="A1039" s="1" t="s">
        <v>3040</v>
      </c>
      <c r="B1039" s="2" t="s">
        <v>27</v>
      </c>
      <c r="C1039" s="2" t="s">
        <v>28</v>
      </c>
      <c r="D1039" s="2" t="s">
        <v>3041</v>
      </c>
      <c r="E1039" s="3" t="s">
        <v>3042</v>
      </c>
      <c r="F1039" s="4" t="s">
        <v>69</v>
      </c>
      <c r="G1039" s="4" t="s">
        <v>69</v>
      </c>
      <c r="H1039" s="4" t="s">
        <v>181</v>
      </c>
      <c r="I1039" s="4" t="s">
        <v>182</v>
      </c>
      <c r="J1039" s="6"/>
      <c r="K1039" s="7"/>
      <c r="L1039" s="8" t="str">
        <f>UPPER(G1039)</f>
        <v>BOGOTA</v>
      </c>
      <c r="O1039" s="10"/>
    </row>
    <row r="1040" ht="14.25" hidden="1" customHeight="1">
      <c r="A1040" s="13" t="s">
        <v>3043</v>
      </c>
      <c r="B1040" s="4" t="s">
        <v>27</v>
      </c>
      <c r="C1040" s="4" t="s">
        <v>28</v>
      </c>
      <c r="D1040" s="4" t="s">
        <v>3044</v>
      </c>
      <c r="E1040" s="4">
        <v>3.126882431E9</v>
      </c>
      <c r="F1040" s="4" t="s">
        <v>30</v>
      </c>
      <c r="G1040" s="4" t="s">
        <v>35</v>
      </c>
      <c r="H1040" s="14"/>
      <c r="I1040" s="4" t="s">
        <v>32</v>
      </c>
      <c r="J1040" s="14"/>
      <c r="K1040" s="14"/>
      <c r="L1040" s="14"/>
    </row>
    <row r="1041" ht="14.25" customHeight="1">
      <c r="A1041" s="1" t="s">
        <v>3045</v>
      </c>
      <c r="B1041" s="2" t="s">
        <v>27</v>
      </c>
      <c r="C1041" s="2" t="s">
        <v>28</v>
      </c>
      <c r="D1041" s="2" t="s">
        <v>3046</v>
      </c>
      <c r="E1041" s="3" t="s">
        <v>3047</v>
      </c>
      <c r="F1041" s="4" t="s">
        <v>1863</v>
      </c>
      <c r="G1041" s="4" t="s">
        <v>1356</v>
      </c>
      <c r="H1041" s="4" t="s">
        <v>3048</v>
      </c>
      <c r="I1041" s="4" t="s">
        <v>561</v>
      </c>
      <c r="J1041" s="6"/>
      <c r="K1041" s="7"/>
      <c r="L1041" s="8" t="str">
        <f>UPPER(G1041)</f>
        <v>CALI</v>
      </c>
      <c r="O1041" s="10"/>
    </row>
    <row r="1042" ht="14.25" hidden="1" customHeight="1">
      <c r="A1042" s="13" t="s">
        <v>3049</v>
      </c>
      <c r="B1042" s="4" t="s">
        <v>27</v>
      </c>
      <c r="C1042" s="4" t="s">
        <v>28</v>
      </c>
      <c r="D1042" s="4" t="s">
        <v>3050</v>
      </c>
      <c r="E1042" s="4">
        <v>3.118713141E9</v>
      </c>
      <c r="F1042" s="4" t="s">
        <v>30</v>
      </c>
      <c r="G1042" s="4" t="s">
        <v>35</v>
      </c>
      <c r="H1042" s="14"/>
      <c r="I1042" s="4" t="s">
        <v>32</v>
      </c>
      <c r="J1042" s="14"/>
      <c r="K1042" s="14"/>
      <c r="L1042" s="14"/>
    </row>
    <row r="1043" ht="14.25" customHeight="1">
      <c r="A1043" s="1" t="s">
        <v>3051</v>
      </c>
      <c r="B1043" s="2" t="s">
        <v>27</v>
      </c>
      <c r="C1043" s="2" t="s">
        <v>28</v>
      </c>
      <c r="D1043" s="2" t="s">
        <v>3052</v>
      </c>
      <c r="E1043" s="3" t="s">
        <v>3053</v>
      </c>
      <c r="F1043" s="4" t="s">
        <v>38</v>
      </c>
      <c r="G1043" s="4" t="s">
        <v>39</v>
      </c>
      <c r="H1043" s="14"/>
      <c r="I1043" s="4" t="s">
        <v>76</v>
      </c>
      <c r="J1043" s="6"/>
      <c r="K1043" s="7"/>
      <c r="L1043" s="8" t="str">
        <f>UPPER(G1043)</f>
        <v>BUCARAMANGA</v>
      </c>
      <c r="O1043" s="10"/>
    </row>
    <row r="1044" ht="14.25" hidden="1" customHeight="1">
      <c r="A1044" s="13" t="s">
        <v>3054</v>
      </c>
      <c r="B1044" s="4" t="s">
        <v>27</v>
      </c>
      <c r="C1044" s="4" t="s">
        <v>28</v>
      </c>
      <c r="D1044" s="4" t="s">
        <v>3055</v>
      </c>
      <c r="E1044" s="4">
        <v>3.22731914E9</v>
      </c>
      <c r="F1044" s="4" t="s">
        <v>30</v>
      </c>
      <c r="G1044" s="4" t="s">
        <v>35</v>
      </c>
      <c r="H1044" s="14"/>
      <c r="I1044" s="4" t="s">
        <v>32</v>
      </c>
      <c r="J1044" s="14"/>
      <c r="K1044" s="14"/>
      <c r="L1044" s="14"/>
    </row>
    <row r="1045" ht="14.25" customHeight="1">
      <c r="A1045" s="1" t="s">
        <v>3056</v>
      </c>
      <c r="B1045" s="2" t="s">
        <v>65</v>
      </c>
      <c r="C1045" s="2" t="s">
        <v>66</v>
      </c>
      <c r="D1045" s="2" t="s">
        <v>3057</v>
      </c>
      <c r="E1045" s="3" t="s">
        <v>3053</v>
      </c>
      <c r="F1045" s="4" t="s">
        <v>38</v>
      </c>
      <c r="G1045" s="4" t="s">
        <v>39</v>
      </c>
      <c r="H1045" s="14"/>
      <c r="I1045" s="4" t="s">
        <v>540</v>
      </c>
      <c r="J1045" s="6"/>
      <c r="K1045" s="7"/>
      <c r="L1045" s="8" t="str">
        <f t="shared" ref="L1045:L1047" si="131">UPPER(G1045)</f>
        <v>BUCARAMANGA</v>
      </c>
      <c r="O1045" s="10"/>
    </row>
    <row r="1046" ht="14.25" customHeight="1">
      <c r="A1046" s="1" t="s">
        <v>3058</v>
      </c>
      <c r="B1046" s="2" t="s">
        <v>27</v>
      </c>
      <c r="C1046" s="2" t="s">
        <v>28</v>
      </c>
      <c r="D1046" s="2" t="s">
        <v>3059</v>
      </c>
      <c r="E1046" s="3" t="s">
        <v>3060</v>
      </c>
      <c r="F1046" s="4" t="s">
        <v>38</v>
      </c>
      <c r="G1046" s="4" t="s">
        <v>159</v>
      </c>
      <c r="H1046" s="4" t="s">
        <v>579</v>
      </c>
      <c r="I1046" s="4" t="s">
        <v>561</v>
      </c>
      <c r="J1046" s="6"/>
      <c r="K1046" s="7"/>
      <c r="L1046" s="8" t="str">
        <f t="shared" si="131"/>
        <v>PIEDECUESTA</v>
      </c>
      <c r="O1046" s="10"/>
    </row>
    <row r="1047" ht="14.25" customHeight="1">
      <c r="A1047" s="1" t="s">
        <v>3061</v>
      </c>
      <c r="B1047" s="2" t="s">
        <v>27</v>
      </c>
      <c r="C1047" s="2" t="s">
        <v>28</v>
      </c>
      <c r="D1047" s="2" t="s">
        <v>3062</v>
      </c>
      <c r="E1047" s="3" t="s">
        <v>3063</v>
      </c>
      <c r="F1047" s="4" t="s">
        <v>38</v>
      </c>
      <c r="G1047" s="4" t="s">
        <v>81</v>
      </c>
      <c r="H1047" s="4" t="s">
        <v>308</v>
      </c>
      <c r="I1047" s="4" t="s">
        <v>561</v>
      </c>
      <c r="J1047" s="6"/>
      <c r="K1047" s="7"/>
      <c r="L1047" s="8" t="str">
        <f t="shared" si="131"/>
        <v>FLORIDABLANCA</v>
      </c>
      <c r="O1047" s="10"/>
    </row>
    <row r="1048" ht="14.25" hidden="1" customHeight="1">
      <c r="A1048" s="13" t="s">
        <v>3064</v>
      </c>
      <c r="B1048" s="4" t="s">
        <v>27</v>
      </c>
      <c r="C1048" s="4" t="s">
        <v>28</v>
      </c>
      <c r="D1048" s="4" t="s">
        <v>3065</v>
      </c>
      <c r="E1048" s="4">
        <v>3.225419363E9</v>
      </c>
      <c r="F1048" s="4" t="s">
        <v>30</v>
      </c>
      <c r="G1048" s="4" t="s">
        <v>35</v>
      </c>
      <c r="H1048" s="14"/>
      <c r="I1048" s="4" t="s">
        <v>32</v>
      </c>
      <c r="J1048" s="14"/>
      <c r="K1048" s="14"/>
      <c r="L1048" s="14"/>
    </row>
    <row r="1049" ht="14.25" hidden="1" customHeight="1">
      <c r="A1049" s="13" t="s">
        <v>3066</v>
      </c>
      <c r="B1049" s="4" t="s">
        <v>27</v>
      </c>
      <c r="C1049" s="4" t="s">
        <v>28</v>
      </c>
      <c r="D1049" s="4" t="s">
        <v>3067</v>
      </c>
      <c r="E1049" s="4">
        <v>3.229457091E9</v>
      </c>
      <c r="F1049" s="4" t="s">
        <v>30</v>
      </c>
      <c r="G1049" s="4" t="s">
        <v>31</v>
      </c>
      <c r="H1049" s="14"/>
      <c r="I1049" s="4" t="s">
        <v>32</v>
      </c>
      <c r="J1049" s="14"/>
      <c r="K1049" s="14"/>
      <c r="L1049" s="14"/>
    </row>
    <row r="1050" ht="14.25" customHeight="1">
      <c r="A1050" s="1" t="s">
        <v>3068</v>
      </c>
      <c r="B1050" s="2" t="s">
        <v>27</v>
      </c>
      <c r="C1050" s="2" t="s">
        <v>28</v>
      </c>
      <c r="D1050" s="2" t="s">
        <v>3069</v>
      </c>
      <c r="E1050" s="3" t="s">
        <v>3070</v>
      </c>
      <c r="F1050" s="4" t="s">
        <v>38</v>
      </c>
      <c r="G1050" s="4" t="s">
        <v>39</v>
      </c>
      <c r="H1050" s="14"/>
      <c r="I1050" s="4" t="s">
        <v>76</v>
      </c>
      <c r="J1050" s="6"/>
      <c r="K1050" s="7"/>
      <c r="L1050" s="8" t="str">
        <f>UPPER(G1050)</f>
        <v>BUCARAMANGA</v>
      </c>
      <c r="O1050" s="10"/>
    </row>
    <row r="1051" ht="14.25" hidden="1" customHeight="1">
      <c r="A1051" s="13" t="s">
        <v>3071</v>
      </c>
      <c r="B1051" s="4" t="s">
        <v>27</v>
      </c>
      <c r="C1051" s="4" t="s">
        <v>28</v>
      </c>
      <c r="D1051" s="4" t="s">
        <v>3072</v>
      </c>
      <c r="E1051" s="4">
        <v>3.125714601E9</v>
      </c>
      <c r="F1051" s="4" t="s">
        <v>30</v>
      </c>
      <c r="G1051" s="4" t="s">
        <v>35</v>
      </c>
      <c r="H1051" s="14"/>
      <c r="I1051" s="4" t="s">
        <v>32</v>
      </c>
      <c r="J1051" s="14"/>
      <c r="K1051" s="14"/>
      <c r="L1051" s="14"/>
    </row>
    <row r="1052" ht="14.25" hidden="1" customHeight="1">
      <c r="A1052" s="13" t="s">
        <v>3073</v>
      </c>
      <c r="B1052" s="4" t="s">
        <v>27</v>
      </c>
      <c r="C1052" s="4" t="s">
        <v>28</v>
      </c>
      <c r="D1052" s="4" t="s">
        <v>3074</v>
      </c>
      <c r="E1052" s="4">
        <v>3.102211527E9</v>
      </c>
      <c r="F1052" s="4" t="s">
        <v>30</v>
      </c>
      <c r="G1052" s="4" t="s">
        <v>35</v>
      </c>
      <c r="H1052" s="14"/>
      <c r="I1052" s="4" t="s">
        <v>32</v>
      </c>
      <c r="J1052" s="14"/>
      <c r="K1052" s="14"/>
      <c r="L1052" s="14"/>
    </row>
    <row r="1053" ht="14.25" hidden="1" customHeight="1">
      <c r="A1053" s="13" t="s">
        <v>3075</v>
      </c>
      <c r="B1053" s="4" t="s">
        <v>27</v>
      </c>
      <c r="C1053" s="4" t="s">
        <v>28</v>
      </c>
      <c r="D1053" s="4" t="s">
        <v>3076</v>
      </c>
      <c r="E1053" s="4">
        <v>3.118713141E9</v>
      </c>
      <c r="F1053" s="4" t="s">
        <v>30</v>
      </c>
      <c r="G1053" s="4" t="s">
        <v>35</v>
      </c>
      <c r="H1053" s="14"/>
      <c r="I1053" s="4" t="s">
        <v>32</v>
      </c>
      <c r="J1053" s="14"/>
      <c r="K1053" s="14"/>
      <c r="L1053" s="14"/>
    </row>
    <row r="1054" ht="14.25" hidden="1" customHeight="1">
      <c r="A1054" s="13" t="s">
        <v>3077</v>
      </c>
      <c r="B1054" s="4" t="s">
        <v>27</v>
      </c>
      <c r="C1054" s="4" t="s">
        <v>28</v>
      </c>
      <c r="D1054" s="4" t="s">
        <v>3078</v>
      </c>
      <c r="E1054" s="4">
        <v>3.22292338E9</v>
      </c>
      <c r="F1054" s="4" t="s">
        <v>30</v>
      </c>
      <c r="G1054" s="4" t="s">
        <v>31</v>
      </c>
      <c r="H1054" s="14"/>
      <c r="I1054" s="4" t="s">
        <v>32</v>
      </c>
      <c r="J1054" s="14"/>
      <c r="K1054" s="14"/>
      <c r="L1054" s="14"/>
    </row>
    <row r="1055" ht="14.25" hidden="1" customHeight="1">
      <c r="A1055" s="13" t="s">
        <v>3079</v>
      </c>
      <c r="B1055" s="4" t="s">
        <v>27</v>
      </c>
      <c r="C1055" s="4" t="s">
        <v>28</v>
      </c>
      <c r="D1055" s="4" t="s">
        <v>3080</v>
      </c>
      <c r="E1055" s="4">
        <v>3.125540939E9</v>
      </c>
      <c r="F1055" s="4" t="s">
        <v>30</v>
      </c>
      <c r="G1055" s="4" t="s">
        <v>35</v>
      </c>
      <c r="H1055" s="14"/>
      <c r="I1055" s="4" t="s">
        <v>32</v>
      </c>
      <c r="J1055" s="14"/>
      <c r="K1055" s="14"/>
      <c r="L1055" s="14"/>
    </row>
    <row r="1056" ht="14.25" customHeight="1">
      <c r="A1056" s="1" t="s">
        <v>3081</v>
      </c>
      <c r="B1056" s="2" t="s">
        <v>27</v>
      </c>
      <c r="C1056" s="2" t="s">
        <v>28</v>
      </c>
      <c r="D1056" s="2" t="s">
        <v>3082</v>
      </c>
      <c r="E1056" s="3" t="s">
        <v>3083</v>
      </c>
      <c r="F1056" s="4" t="s">
        <v>38</v>
      </c>
      <c r="G1056" s="4" t="s">
        <v>113</v>
      </c>
      <c r="H1056" s="4" t="s">
        <v>357</v>
      </c>
      <c r="I1056" s="4" t="s">
        <v>419</v>
      </c>
      <c r="J1056" s="6"/>
      <c r="K1056" s="7"/>
      <c r="L1056" s="8" t="str">
        <f t="shared" ref="L1056:L1067" si="132">UPPER(G1056)</f>
        <v>BARRANCABERMEJA</v>
      </c>
      <c r="O1056" s="10"/>
    </row>
    <row r="1057" ht="14.25" customHeight="1">
      <c r="A1057" s="1" t="s">
        <v>3084</v>
      </c>
      <c r="B1057" s="2" t="s">
        <v>27</v>
      </c>
      <c r="C1057" s="2" t="s">
        <v>28</v>
      </c>
      <c r="D1057" s="2" t="s">
        <v>3085</v>
      </c>
      <c r="E1057" s="3" t="s">
        <v>3086</v>
      </c>
      <c r="F1057" s="4" t="s">
        <v>69</v>
      </c>
      <c r="G1057" s="4" t="s">
        <v>69</v>
      </c>
      <c r="H1057" s="4" t="s">
        <v>133</v>
      </c>
      <c r="I1057" s="4" t="s">
        <v>51</v>
      </c>
      <c r="J1057" s="6"/>
      <c r="K1057" s="7"/>
      <c r="L1057" s="8" t="str">
        <f t="shared" si="132"/>
        <v>BOGOTA</v>
      </c>
      <c r="O1057" s="10"/>
    </row>
    <row r="1058" ht="14.25" customHeight="1">
      <c r="A1058" s="1" t="s">
        <v>3087</v>
      </c>
      <c r="B1058" s="2" t="s">
        <v>27</v>
      </c>
      <c r="C1058" s="2" t="s">
        <v>28</v>
      </c>
      <c r="D1058" s="2" t="s">
        <v>3088</v>
      </c>
      <c r="E1058" s="3" t="s">
        <v>3089</v>
      </c>
      <c r="F1058" s="4" t="s">
        <v>38</v>
      </c>
      <c r="G1058" s="4" t="s">
        <v>39</v>
      </c>
      <c r="H1058" s="14"/>
      <c r="I1058" s="4" t="s">
        <v>76</v>
      </c>
      <c r="J1058" s="6"/>
      <c r="K1058" s="7"/>
      <c r="L1058" s="8" t="str">
        <f t="shared" si="132"/>
        <v>BUCARAMANGA</v>
      </c>
      <c r="O1058" s="10"/>
    </row>
    <row r="1059" ht="14.25" customHeight="1">
      <c r="A1059" s="1" t="s">
        <v>3090</v>
      </c>
      <c r="B1059" s="2" t="s">
        <v>27</v>
      </c>
      <c r="C1059" s="2" t="s">
        <v>28</v>
      </c>
      <c r="D1059" s="2" t="s">
        <v>3091</v>
      </c>
      <c r="E1059" s="3" t="s">
        <v>3092</v>
      </c>
      <c r="F1059" s="4" t="s">
        <v>38</v>
      </c>
      <c r="G1059" s="4" t="s">
        <v>39</v>
      </c>
      <c r="H1059" s="14"/>
      <c r="I1059" s="4" t="s">
        <v>76</v>
      </c>
      <c r="J1059" s="6"/>
      <c r="K1059" s="7"/>
      <c r="L1059" s="8" t="str">
        <f t="shared" si="132"/>
        <v>BUCARAMANGA</v>
      </c>
      <c r="O1059" s="10"/>
    </row>
    <row r="1060" ht="14.25" customHeight="1">
      <c r="A1060" s="1" t="s">
        <v>3093</v>
      </c>
      <c r="B1060" s="2" t="s">
        <v>27</v>
      </c>
      <c r="C1060" s="2" t="s">
        <v>28</v>
      </c>
      <c r="D1060" s="2" t="s">
        <v>3094</v>
      </c>
      <c r="E1060" s="3" t="s">
        <v>3095</v>
      </c>
      <c r="F1060" s="4" t="s">
        <v>38</v>
      </c>
      <c r="G1060" s="4" t="s">
        <v>39</v>
      </c>
      <c r="H1060" s="14"/>
      <c r="I1060" s="4" t="s">
        <v>76</v>
      </c>
      <c r="J1060" s="6"/>
      <c r="K1060" s="7"/>
      <c r="L1060" s="8" t="str">
        <f t="shared" si="132"/>
        <v>BUCARAMANGA</v>
      </c>
      <c r="O1060" s="10"/>
    </row>
    <row r="1061" ht="14.25" customHeight="1">
      <c r="A1061" s="1" t="s">
        <v>3096</v>
      </c>
      <c r="B1061" s="2" t="s">
        <v>27</v>
      </c>
      <c r="C1061" s="2" t="s">
        <v>28</v>
      </c>
      <c r="D1061" s="2" t="s">
        <v>3097</v>
      </c>
      <c r="E1061" s="3" t="s">
        <v>577</v>
      </c>
      <c r="F1061" s="4" t="s">
        <v>38</v>
      </c>
      <c r="G1061" s="4" t="s">
        <v>159</v>
      </c>
      <c r="H1061" s="4" t="s">
        <v>579</v>
      </c>
      <c r="I1061" s="4" t="s">
        <v>561</v>
      </c>
      <c r="J1061" s="6"/>
      <c r="K1061" s="7"/>
      <c r="L1061" s="8" t="str">
        <f t="shared" si="132"/>
        <v>PIEDECUESTA</v>
      </c>
      <c r="O1061" s="10"/>
    </row>
    <row r="1062" ht="14.25" customHeight="1">
      <c r="A1062" s="1" t="s">
        <v>3098</v>
      </c>
      <c r="B1062" s="2" t="s">
        <v>27</v>
      </c>
      <c r="C1062" s="2" t="s">
        <v>551</v>
      </c>
      <c r="D1062" s="2" t="s">
        <v>3099</v>
      </c>
      <c r="E1062" s="3" t="s">
        <v>3100</v>
      </c>
      <c r="F1062" s="4" t="s">
        <v>38</v>
      </c>
      <c r="G1062" s="4" t="s">
        <v>39</v>
      </c>
      <c r="H1062" s="4" t="s">
        <v>886</v>
      </c>
      <c r="I1062" s="4" t="s">
        <v>76</v>
      </c>
      <c r="J1062" s="6"/>
      <c r="K1062" s="7"/>
      <c r="L1062" s="8" t="str">
        <f t="shared" si="132"/>
        <v>BUCARAMANGA</v>
      </c>
      <c r="O1062" s="10"/>
    </row>
    <row r="1063" ht="14.25" customHeight="1">
      <c r="A1063" s="1" t="s">
        <v>3101</v>
      </c>
      <c r="B1063" s="2" t="s">
        <v>27</v>
      </c>
      <c r="C1063" s="2" t="s">
        <v>28</v>
      </c>
      <c r="D1063" s="2" t="s">
        <v>3102</v>
      </c>
      <c r="E1063" s="3" t="s">
        <v>3103</v>
      </c>
      <c r="F1063" s="4" t="s">
        <v>69</v>
      </c>
      <c r="G1063" s="4" t="s">
        <v>69</v>
      </c>
      <c r="H1063" s="14"/>
      <c r="I1063" s="4" t="s">
        <v>51</v>
      </c>
      <c r="J1063" s="6"/>
      <c r="K1063" s="7"/>
      <c r="L1063" s="8" t="str">
        <f t="shared" si="132"/>
        <v>BOGOTA</v>
      </c>
      <c r="O1063" s="10"/>
    </row>
    <row r="1064" ht="14.25" customHeight="1">
      <c r="A1064" s="1" t="s">
        <v>3104</v>
      </c>
      <c r="B1064" s="2" t="s">
        <v>27</v>
      </c>
      <c r="C1064" s="2" t="s">
        <v>28</v>
      </c>
      <c r="D1064" s="2" t="s">
        <v>3105</v>
      </c>
      <c r="E1064" s="3" t="s">
        <v>3106</v>
      </c>
      <c r="F1064" s="4" t="s">
        <v>3107</v>
      </c>
      <c r="G1064" s="4" t="s">
        <v>3108</v>
      </c>
      <c r="H1064" s="14"/>
      <c r="I1064" s="4" t="s">
        <v>540</v>
      </c>
      <c r="J1064" s="6"/>
      <c r="K1064" s="7"/>
      <c r="L1064" s="8" t="str">
        <f t="shared" si="132"/>
        <v>SANTA MARTA</v>
      </c>
      <c r="O1064" s="10"/>
    </row>
    <row r="1065" ht="14.25" customHeight="1">
      <c r="A1065" s="1" t="s">
        <v>3109</v>
      </c>
      <c r="B1065" s="2" t="s">
        <v>27</v>
      </c>
      <c r="C1065" s="2" t="s">
        <v>28</v>
      </c>
      <c r="D1065" s="2" t="s">
        <v>3110</v>
      </c>
      <c r="E1065" s="3" t="s">
        <v>3111</v>
      </c>
      <c r="F1065" s="4" t="s">
        <v>38</v>
      </c>
      <c r="G1065" s="4" t="s">
        <v>39</v>
      </c>
      <c r="H1065" s="4" t="s">
        <v>1781</v>
      </c>
      <c r="I1065" s="4" t="s">
        <v>846</v>
      </c>
      <c r="J1065" s="6"/>
      <c r="K1065" s="7"/>
      <c r="L1065" s="8" t="str">
        <f t="shared" si="132"/>
        <v>BUCARAMANGA</v>
      </c>
      <c r="O1065" s="10"/>
    </row>
    <row r="1066" ht="14.25" customHeight="1">
      <c r="A1066" s="1" t="s">
        <v>3112</v>
      </c>
      <c r="B1066" s="2" t="s">
        <v>27</v>
      </c>
      <c r="C1066" s="2" t="s">
        <v>28</v>
      </c>
      <c r="D1066" s="2" t="s">
        <v>3113</v>
      </c>
      <c r="E1066" s="3" t="s">
        <v>3114</v>
      </c>
      <c r="F1066" s="4" t="s">
        <v>38</v>
      </c>
      <c r="G1066" s="4" t="s">
        <v>39</v>
      </c>
      <c r="H1066" s="14"/>
      <c r="I1066" s="4" t="s">
        <v>561</v>
      </c>
      <c r="J1066" s="6"/>
      <c r="K1066" s="7"/>
      <c r="L1066" s="8" t="str">
        <f t="shared" si="132"/>
        <v>BUCARAMANGA</v>
      </c>
      <c r="O1066" s="10"/>
    </row>
    <row r="1067" ht="14.25" customHeight="1">
      <c r="A1067" s="1" t="s">
        <v>3115</v>
      </c>
      <c r="B1067" s="2" t="s">
        <v>27</v>
      </c>
      <c r="C1067" s="2" t="s">
        <v>66</v>
      </c>
      <c r="D1067" s="2" t="s">
        <v>3116</v>
      </c>
      <c r="E1067" s="3" t="s">
        <v>3117</v>
      </c>
      <c r="F1067" s="4" t="s">
        <v>38</v>
      </c>
      <c r="G1067" s="4" t="s">
        <v>113</v>
      </c>
      <c r="H1067" s="14"/>
      <c r="I1067" s="4" t="s">
        <v>1373</v>
      </c>
      <c r="J1067" s="6" t="s">
        <v>3118</v>
      </c>
      <c r="K1067" s="7">
        <v>13.0</v>
      </c>
      <c r="L1067" s="8" t="str">
        <f t="shared" si="132"/>
        <v>BARRANCABERMEJA</v>
      </c>
      <c r="O1067" s="10"/>
    </row>
    <row r="1068" ht="14.25" hidden="1" customHeight="1">
      <c r="A1068" s="13" t="s">
        <v>3119</v>
      </c>
      <c r="B1068" s="4" t="s">
        <v>27</v>
      </c>
      <c r="C1068" s="4" t="s">
        <v>28</v>
      </c>
      <c r="D1068" s="4" t="s">
        <v>3120</v>
      </c>
      <c r="E1068" s="4">
        <v>3.22292338E9</v>
      </c>
      <c r="F1068" s="4" t="s">
        <v>30</v>
      </c>
      <c r="G1068" s="4" t="s">
        <v>31</v>
      </c>
      <c r="H1068" s="14"/>
      <c r="I1068" s="4" t="s">
        <v>32</v>
      </c>
      <c r="J1068" s="14"/>
      <c r="K1068" s="14"/>
      <c r="L1068" s="14"/>
    </row>
    <row r="1069" ht="14.25" hidden="1" customHeight="1">
      <c r="A1069" s="13" t="s">
        <v>3121</v>
      </c>
      <c r="B1069" s="4" t="s">
        <v>27</v>
      </c>
      <c r="C1069" s="4" t="s">
        <v>28</v>
      </c>
      <c r="D1069" s="4" t="s">
        <v>3122</v>
      </c>
      <c r="E1069" s="4">
        <v>3.144358457E9</v>
      </c>
      <c r="F1069" s="4" t="s">
        <v>30</v>
      </c>
      <c r="G1069" s="4" t="s">
        <v>35</v>
      </c>
      <c r="H1069" s="14"/>
      <c r="I1069" s="4" t="s">
        <v>32</v>
      </c>
      <c r="J1069" s="14"/>
      <c r="K1069" s="14"/>
      <c r="L1069" s="14"/>
    </row>
    <row r="1070" ht="14.25" customHeight="1">
      <c r="A1070" s="1" t="s">
        <v>3123</v>
      </c>
      <c r="B1070" s="2" t="s">
        <v>27</v>
      </c>
      <c r="C1070" s="2" t="s">
        <v>28</v>
      </c>
      <c r="D1070" s="2" t="s">
        <v>3124</v>
      </c>
      <c r="E1070" s="3" t="s">
        <v>3125</v>
      </c>
      <c r="F1070" s="4" t="s">
        <v>38</v>
      </c>
      <c r="G1070" s="4" t="s">
        <v>39</v>
      </c>
      <c r="H1070" s="4" t="s">
        <v>40</v>
      </c>
      <c r="I1070" s="4" t="s">
        <v>561</v>
      </c>
      <c r="J1070" s="6"/>
      <c r="K1070" s="7"/>
      <c r="L1070" s="8" t="str">
        <f>UPPER(G1070)</f>
        <v>BUCARAMANGA</v>
      </c>
      <c r="O1070" s="10"/>
    </row>
    <row r="1071" ht="14.25" hidden="1" customHeight="1">
      <c r="A1071" s="13" t="s">
        <v>3126</v>
      </c>
      <c r="B1071" s="4" t="s">
        <v>27</v>
      </c>
      <c r="C1071" s="4" t="s">
        <v>28</v>
      </c>
      <c r="D1071" s="4" t="s">
        <v>3127</v>
      </c>
      <c r="E1071" s="4">
        <v>3.126545437E9</v>
      </c>
      <c r="F1071" s="4" t="s">
        <v>30</v>
      </c>
      <c r="G1071" s="4" t="s">
        <v>35</v>
      </c>
      <c r="H1071" s="14"/>
      <c r="I1071" s="4" t="s">
        <v>32</v>
      </c>
      <c r="J1071" s="14"/>
      <c r="K1071" s="14"/>
      <c r="L1071" s="14"/>
    </row>
    <row r="1072" ht="14.25" hidden="1" customHeight="1">
      <c r="A1072" s="13" t="s">
        <v>3128</v>
      </c>
      <c r="B1072" s="4" t="s">
        <v>27</v>
      </c>
      <c r="C1072" s="4" t="s">
        <v>28</v>
      </c>
      <c r="D1072" s="4" t="s">
        <v>3129</v>
      </c>
      <c r="E1072" s="4">
        <v>3.227649445E9</v>
      </c>
      <c r="F1072" s="4" t="s">
        <v>30</v>
      </c>
      <c r="G1072" s="4" t="s">
        <v>35</v>
      </c>
      <c r="H1072" s="14"/>
      <c r="I1072" s="4" t="s">
        <v>32</v>
      </c>
      <c r="J1072" s="14"/>
      <c r="K1072" s="14"/>
      <c r="L1072" s="14"/>
    </row>
    <row r="1073" ht="14.25" customHeight="1">
      <c r="A1073" s="1" t="s">
        <v>3130</v>
      </c>
      <c r="B1073" s="2" t="s">
        <v>27</v>
      </c>
      <c r="C1073" s="2" t="s">
        <v>28</v>
      </c>
      <c r="D1073" s="2" t="s">
        <v>3131</v>
      </c>
      <c r="E1073" s="3" t="s">
        <v>3132</v>
      </c>
      <c r="F1073" s="4" t="s">
        <v>38</v>
      </c>
      <c r="G1073" s="4" t="s">
        <v>39</v>
      </c>
      <c r="H1073" s="14"/>
      <c r="I1073" s="4" t="s">
        <v>76</v>
      </c>
      <c r="J1073" s="6"/>
      <c r="K1073" s="7"/>
      <c r="L1073" s="8" t="str">
        <f>UPPER(G1073)</f>
        <v>BUCARAMANGA</v>
      </c>
      <c r="O1073" s="10"/>
    </row>
    <row r="1074" ht="14.25" hidden="1" customHeight="1">
      <c r="A1074" s="13" t="s">
        <v>3133</v>
      </c>
      <c r="B1074" s="4" t="s">
        <v>27</v>
      </c>
      <c r="C1074" s="4" t="s">
        <v>28</v>
      </c>
      <c r="D1074" s="4" t="s">
        <v>3134</v>
      </c>
      <c r="E1074" s="4">
        <v>3.118713141E9</v>
      </c>
      <c r="F1074" s="4" t="s">
        <v>30</v>
      </c>
      <c r="G1074" s="4" t="s">
        <v>31</v>
      </c>
      <c r="H1074" s="14"/>
      <c r="I1074" s="4" t="s">
        <v>32</v>
      </c>
      <c r="J1074" s="14"/>
      <c r="K1074" s="14"/>
      <c r="L1074" s="14"/>
    </row>
    <row r="1075" ht="14.25" customHeight="1">
      <c r="A1075" s="1" t="s">
        <v>3135</v>
      </c>
      <c r="B1075" s="2" t="s">
        <v>27</v>
      </c>
      <c r="C1075" s="2" t="s">
        <v>28</v>
      </c>
      <c r="D1075" s="2" t="s">
        <v>3136</v>
      </c>
      <c r="E1075" s="3" t="s">
        <v>3137</v>
      </c>
      <c r="F1075" s="4" t="s">
        <v>38</v>
      </c>
      <c r="G1075" s="4" t="s">
        <v>159</v>
      </c>
      <c r="H1075" s="4" t="s">
        <v>691</v>
      </c>
      <c r="I1075" s="4" t="s">
        <v>561</v>
      </c>
      <c r="J1075" s="6"/>
      <c r="K1075" s="7"/>
      <c r="L1075" s="8" t="str">
        <f>UPPER(G1075)</f>
        <v>PIEDECUESTA</v>
      </c>
      <c r="O1075" s="10"/>
    </row>
    <row r="1076" ht="14.25" hidden="1" customHeight="1">
      <c r="A1076" s="13" t="s">
        <v>3138</v>
      </c>
      <c r="B1076" s="4" t="s">
        <v>27</v>
      </c>
      <c r="C1076" s="4" t="s">
        <v>28</v>
      </c>
      <c r="D1076" s="4" t="s">
        <v>3139</v>
      </c>
      <c r="E1076" s="4">
        <v>3.22731914E9</v>
      </c>
      <c r="F1076" s="4" t="s">
        <v>30</v>
      </c>
      <c r="G1076" s="4" t="s">
        <v>35</v>
      </c>
      <c r="H1076" s="14"/>
      <c r="I1076" s="4" t="s">
        <v>32</v>
      </c>
      <c r="J1076" s="14"/>
      <c r="K1076" s="14"/>
      <c r="L1076" s="14"/>
    </row>
    <row r="1077" ht="14.25" customHeight="1">
      <c r="A1077" s="1" t="s">
        <v>3140</v>
      </c>
      <c r="B1077" s="2" t="s">
        <v>27</v>
      </c>
      <c r="C1077" s="2" t="s">
        <v>28</v>
      </c>
      <c r="D1077" s="2" t="s">
        <v>3141</v>
      </c>
      <c r="E1077" s="3" t="s">
        <v>3142</v>
      </c>
      <c r="F1077" s="4" t="s">
        <v>105</v>
      </c>
      <c r="G1077" s="4" t="s">
        <v>225</v>
      </c>
      <c r="H1077" s="14"/>
      <c r="I1077" s="4" t="s">
        <v>51</v>
      </c>
      <c r="J1077" s="6"/>
      <c r="K1077" s="7"/>
      <c r="L1077" s="8" t="str">
        <f>UPPER(G1077)</f>
        <v>MEDELLIN</v>
      </c>
      <c r="O1077" s="10"/>
    </row>
    <row r="1078" ht="14.25" hidden="1" customHeight="1">
      <c r="A1078" s="13" t="s">
        <v>3143</v>
      </c>
      <c r="B1078" s="4" t="s">
        <v>27</v>
      </c>
      <c r="C1078" s="4" t="s">
        <v>28</v>
      </c>
      <c r="D1078" s="4" t="s">
        <v>3144</v>
      </c>
      <c r="E1078" s="4">
        <v>3.118713141E9</v>
      </c>
      <c r="F1078" s="4" t="s">
        <v>30</v>
      </c>
      <c r="G1078" s="4" t="s">
        <v>35</v>
      </c>
      <c r="H1078" s="14"/>
      <c r="I1078" s="4" t="s">
        <v>32</v>
      </c>
      <c r="J1078" s="14"/>
      <c r="K1078" s="14"/>
      <c r="L1078" s="14"/>
    </row>
    <row r="1079" ht="14.25" customHeight="1">
      <c r="A1079" s="1" t="s">
        <v>3145</v>
      </c>
      <c r="B1079" s="2" t="s">
        <v>27</v>
      </c>
      <c r="C1079" s="2" t="s">
        <v>28</v>
      </c>
      <c r="D1079" s="2" t="s">
        <v>3146</v>
      </c>
      <c r="E1079" s="3" t="s">
        <v>3147</v>
      </c>
      <c r="F1079" s="4" t="s">
        <v>38</v>
      </c>
      <c r="G1079" s="4" t="s">
        <v>75</v>
      </c>
      <c r="H1079" s="4" t="s">
        <v>2163</v>
      </c>
      <c r="I1079" s="4" t="s">
        <v>561</v>
      </c>
      <c r="J1079" s="6"/>
      <c r="K1079" s="7"/>
      <c r="L1079" s="8" t="str">
        <f t="shared" ref="L1079:L1080" si="133">UPPER(G1079)</f>
        <v>GIRON</v>
      </c>
      <c r="O1079" s="10"/>
    </row>
    <row r="1080" ht="14.25" customHeight="1">
      <c r="A1080" s="1" t="s">
        <v>3148</v>
      </c>
      <c r="B1080" s="2" t="s">
        <v>27</v>
      </c>
      <c r="C1080" s="2" t="s">
        <v>28</v>
      </c>
      <c r="D1080" s="2" t="s">
        <v>3149</v>
      </c>
      <c r="E1080" s="3" t="s">
        <v>3150</v>
      </c>
      <c r="F1080" s="4" t="s">
        <v>69</v>
      </c>
      <c r="G1080" s="4" t="s">
        <v>69</v>
      </c>
      <c r="H1080" s="14"/>
      <c r="I1080" s="4" t="s">
        <v>51</v>
      </c>
      <c r="J1080" s="6"/>
      <c r="K1080" s="7"/>
      <c r="L1080" s="8" t="str">
        <f t="shared" si="133"/>
        <v>BOGOTA</v>
      </c>
      <c r="O1080" s="10"/>
    </row>
    <row r="1081" ht="14.25" hidden="1" customHeight="1">
      <c r="A1081" s="13" t="s">
        <v>3151</v>
      </c>
      <c r="B1081" s="4" t="s">
        <v>27</v>
      </c>
      <c r="C1081" s="4" t="s">
        <v>28</v>
      </c>
      <c r="D1081" s="4" t="s">
        <v>3152</v>
      </c>
      <c r="E1081" s="4">
        <v>3.124295466E9</v>
      </c>
      <c r="F1081" s="4" t="s">
        <v>30</v>
      </c>
      <c r="G1081" s="4" t="s">
        <v>35</v>
      </c>
      <c r="H1081" s="14"/>
      <c r="I1081" s="4" t="s">
        <v>32</v>
      </c>
      <c r="J1081" s="14"/>
      <c r="K1081" s="14"/>
      <c r="L1081" s="14"/>
    </row>
    <row r="1082" ht="14.25" hidden="1" customHeight="1">
      <c r="A1082" s="13" t="s">
        <v>3153</v>
      </c>
      <c r="B1082" s="4" t="s">
        <v>27</v>
      </c>
      <c r="C1082" s="4" t="s">
        <v>28</v>
      </c>
      <c r="D1082" s="4" t="s">
        <v>3154</v>
      </c>
      <c r="E1082" s="4">
        <v>3.14294672E9</v>
      </c>
      <c r="F1082" s="4" t="s">
        <v>30</v>
      </c>
      <c r="G1082" s="4" t="s">
        <v>35</v>
      </c>
      <c r="H1082" s="14"/>
      <c r="I1082" s="4" t="s">
        <v>32</v>
      </c>
      <c r="J1082" s="14"/>
      <c r="K1082" s="14"/>
      <c r="L1082" s="14"/>
    </row>
    <row r="1083" ht="14.25" hidden="1" customHeight="1">
      <c r="A1083" s="13" t="s">
        <v>3155</v>
      </c>
      <c r="B1083" s="4" t="s">
        <v>27</v>
      </c>
      <c r="C1083" s="4" t="s">
        <v>28</v>
      </c>
      <c r="D1083" s="4" t="s">
        <v>3156</v>
      </c>
      <c r="E1083" s="4">
        <v>3.118713141E9</v>
      </c>
      <c r="F1083" s="4" t="s">
        <v>30</v>
      </c>
      <c r="G1083" s="4" t="s">
        <v>35</v>
      </c>
      <c r="H1083" s="14"/>
      <c r="I1083" s="4" t="s">
        <v>32</v>
      </c>
      <c r="J1083" s="14"/>
      <c r="K1083" s="14"/>
      <c r="L1083" s="14"/>
    </row>
    <row r="1084" ht="14.25" customHeight="1">
      <c r="A1084" s="1" t="s">
        <v>3157</v>
      </c>
      <c r="B1084" s="2" t="s">
        <v>27</v>
      </c>
      <c r="C1084" s="2" t="s">
        <v>28</v>
      </c>
      <c r="D1084" s="2" t="s">
        <v>3158</v>
      </c>
      <c r="E1084" s="3" t="s">
        <v>3159</v>
      </c>
      <c r="F1084" s="4" t="s">
        <v>38</v>
      </c>
      <c r="G1084" s="4" t="s">
        <v>39</v>
      </c>
      <c r="H1084" s="14"/>
      <c r="I1084" s="4" t="s">
        <v>561</v>
      </c>
      <c r="J1084" s="6"/>
      <c r="K1084" s="7"/>
      <c r="L1084" s="8" t="str">
        <f t="shared" ref="L1084:L1089" si="134">UPPER(G1084)</f>
        <v>BUCARAMANGA</v>
      </c>
      <c r="O1084" s="10"/>
    </row>
    <row r="1085" ht="14.25" customHeight="1">
      <c r="A1085" s="1" t="s">
        <v>3160</v>
      </c>
      <c r="B1085" s="2" t="s">
        <v>27</v>
      </c>
      <c r="C1085" s="2" t="s">
        <v>28</v>
      </c>
      <c r="D1085" s="2" t="s">
        <v>3161</v>
      </c>
      <c r="E1085" s="3" t="s">
        <v>3162</v>
      </c>
      <c r="F1085" s="4" t="s">
        <v>38</v>
      </c>
      <c r="G1085" s="4" t="s">
        <v>39</v>
      </c>
      <c r="H1085" s="14"/>
      <c r="I1085" s="4" t="s">
        <v>561</v>
      </c>
      <c r="J1085" s="6"/>
      <c r="K1085" s="7"/>
      <c r="L1085" s="8" t="str">
        <f t="shared" si="134"/>
        <v>BUCARAMANGA</v>
      </c>
      <c r="O1085" s="10"/>
    </row>
    <row r="1086" ht="14.25" customHeight="1">
      <c r="A1086" s="1" t="s">
        <v>3163</v>
      </c>
      <c r="B1086" s="2" t="s">
        <v>27</v>
      </c>
      <c r="C1086" s="2" t="s">
        <v>28</v>
      </c>
      <c r="D1086" s="2" t="s">
        <v>3164</v>
      </c>
      <c r="E1086" s="3" t="s">
        <v>3165</v>
      </c>
      <c r="F1086" s="4" t="s">
        <v>38</v>
      </c>
      <c r="G1086" s="4" t="s">
        <v>113</v>
      </c>
      <c r="H1086" s="14"/>
      <c r="I1086" s="4" t="s">
        <v>540</v>
      </c>
      <c r="J1086" s="6"/>
      <c r="K1086" s="7"/>
      <c r="L1086" s="8" t="str">
        <f t="shared" si="134"/>
        <v>BARRANCABERMEJA</v>
      </c>
      <c r="O1086" s="10"/>
    </row>
    <row r="1087" ht="14.25" customHeight="1">
      <c r="A1087" s="1" t="s">
        <v>3166</v>
      </c>
      <c r="B1087" s="2" t="s">
        <v>27</v>
      </c>
      <c r="C1087" s="2" t="s">
        <v>28</v>
      </c>
      <c r="D1087" s="2" t="s">
        <v>3167</v>
      </c>
      <c r="E1087" s="3" t="s">
        <v>3168</v>
      </c>
      <c r="F1087" s="4" t="s">
        <v>38</v>
      </c>
      <c r="G1087" s="4" t="s">
        <v>81</v>
      </c>
      <c r="H1087" s="14"/>
      <c r="I1087" s="4" t="s">
        <v>76</v>
      </c>
      <c r="J1087" s="6"/>
      <c r="K1087" s="7"/>
      <c r="L1087" s="8" t="str">
        <f t="shared" si="134"/>
        <v>FLORIDABLANCA</v>
      </c>
      <c r="O1087" s="10"/>
    </row>
    <row r="1088" ht="14.25" customHeight="1">
      <c r="A1088" s="1" t="s">
        <v>3169</v>
      </c>
      <c r="B1088" s="2" t="s">
        <v>27</v>
      </c>
      <c r="C1088" s="2" t="s">
        <v>28</v>
      </c>
      <c r="D1088" s="2" t="s">
        <v>3170</v>
      </c>
      <c r="E1088" s="3" t="s">
        <v>3171</v>
      </c>
      <c r="F1088" s="4" t="s">
        <v>38</v>
      </c>
      <c r="G1088" s="4" t="s">
        <v>39</v>
      </c>
      <c r="H1088" s="14"/>
      <c r="I1088" s="4" t="s">
        <v>561</v>
      </c>
      <c r="J1088" s="6"/>
      <c r="K1088" s="7"/>
      <c r="L1088" s="8" t="str">
        <f t="shared" si="134"/>
        <v>BUCARAMANGA</v>
      </c>
      <c r="O1088" s="10"/>
    </row>
    <row r="1089" ht="14.25" customHeight="1">
      <c r="A1089" s="1" t="s">
        <v>3172</v>
      </c>
      <c r="B1089" s="2" t="s">
        <v>27</v>
      </c>
      <c r="C1089" s="2" t="s">
        <v>28</v>
      </c>
      <c r="D1089" s="2" t="s">
        <v>3173</v>
      </c>
      <c r="E1089" s="3" t="s">
        <v>3174</v>
      </c>
      <c r="F1089" s="4" t="s">
        <v>38</v>
      </c>
      <c r="G1089" s="4" t="s">
        <v>39</v>
      </c>
      <c r="H1089" s="14"/>
      <c r="I1089" s="4" t="s">
        <v>540</v>
      </c>
      <c r="J1089" s="6"/>
      <c r="K1089" s="7"/>
      <c r="L1089" s="8" t="str">
        <f t="shared" si="134"/>
        <v>BUCARAMANGA</v>
      </c>
      <c r="O1089" s="10"/>
    </row>
    <row r="1090" ht="14.25" hidden="1" customHeight="1">
      <c r="A1090" s="13" t="s">
        <v>3175</v>
      </c>
      <c r="B1090" s="4" t="s">
        <v>27</v>
      </c>
      <c r="C1090" s="4" t="s">
        <v>28</v>
      </c>
      <c r="D1090" s="4" t="s">
        <v>3176</v>
      </c>
      <c r="E1090" s="4">
        <v>3.166026011E9</v>
      </c>
      <c r="F1090" s="4" t="s">
        <v>30</v>
      </c>
      <c r="G1090" s="4" t="s">
        <v>35</v>
      </c>
      <c r="H1090" s="14"/>
      <c r="I1090" s="4" t="s">
        <v>32</v>
      </c>
      <c r="J1090" s="14"/>
      <c r="K1090" s="14"/>
      <c r="L1090" s="14"/>
    </row>
    <row r="1091" ht="14.25" customHeight="1">
      <c r="A1091" s="1" t="s">
        <v>3177</v>
      </c>
      <c r="B1091" s="2" t="s">
        <v>27</v>
      </c>
      <c r="C1091" s="2" t="s">
        <v>28</v>
      </c>
      <c r="D1091" s="2" t="s">
        <v>3178</v>
      </c>
      <c r="E1091" s="3" t="s">
        <v>3179</v>
      </c>
      <c r="F1091" s="4" t="s">
        <v>38</v>
      </c>
      <c r="G1091" s="4" t="s">
        <v>39</v>
      </c>
      <c r="H1091" s="4" t="s">
        <v>40</v>
      </c>
      <c r="I1091" s="4" t="s">
        <v>561</v>
      </c>
      <c r="J1091" s="6"/>
      <c r="K1091" s="7"/>
      <c r="L1091" s="8" t="str">
        <f t="shared" ref="L1091:L1096" si="135">UPPER(G1091)</f>
        <v>BUCARAMANGA</v>
      </c>
      <c r="O1091" s="10"/>
    </row>
    <row r="1092" ht="14.25" customHeight="1">
      <c r="A1092" s="1" t="s">
        <v>3180</v>
      </c>
      <c r="B1092" s="2" t="s">
        <v>27</v>
      </c>
      <c r="C1092" s="2" t="s">
        <v>28</v>
      </c>
      <c r="D1092" s="2" t="s">
        <v>3181</v>
      </c>
      <c r="E1092" s="3" t="s">
        <v>3182</v>
      </c>
      <c r="F1092" s="4" t="s">
        <v>38</v>
      </c>
      <c r="G1092" s="4" t="s">
        <v>39</v>
      </c>
      <c r="H1092" s="4" t="s">
        <v>40</v>
      </c>
      <c r="I1092" s="4" t="s">
        <v>561</v>
      </c>
      <c r="J1092" s="6"/>
      <c r="K1092" s="7"/>
      <c r="L1092" s="8" t="str">
        <f t="shared" si="135"/>
        <v>BUCARAMANGA</v>
      </c>
      <c r="O1092" s="10"/>
    </row>
    <row r="1093" ht="14.25" customHeight="1">
      <c r="A1093" s="1" t="s">
        <v>3183</v>
      </c>
      <c r="B1093" s="2" t="s">
        <v>27</v>
      </c>
      <c r="C1093" s="2" t="s">
        <v>28</v>
      </c>
      <c r="D1093" s="2" t="s">
        <v>3181</v>
      </c>
      <c r="E1093" s="3" t="s">
        <v>3184</v>
      </c>
      <c r="F1093" s="4" t="s">
        <v>38</v>
      </c>
      <c r="G1093" s="4" t="s">
        <v>39</v>
      </c>
      <c r="H1093" s="4" t="s">
        <v>40</v>
      </c>
      <c r="I1093" s="4" t="s">
        <v>561</v>
      </c>
      <c r="J1093" s="6"/>
      <c r="K1093" s="7"/>
      <c r="L1093" s="8" t="str">
        <f t="shared" si="135"/>
        <v>BUCARAMANGA</v>
      </c>
      <c r="O1093" s="10"/>
    </row>
    <row r="1094" ht="14.25" customHeight="1">
      <c r="A1094" s="1" t="s">
        <v>3185</v>
      </c>
      <c r="B1094" s="2" t="s">
        <v>27</v>
      </c>
      <c r="C1094" s="2" t="s">
        <v>28</v>
      </c>
      <c r="D1094" s="2" t="s">
        <v>3186</v>
      </c>
      <c r="E1094" s="3" t="s">
        <v>3187</v>
      </c>
      <c r="F1094" s="4" t="s">
        <v>69</v>
      </c>
      <c r="G1094" s="4" t="s">
        <v>69</v>
      </c>
      <c r="H1094" s="4" t="s">
        <v>133</v>
      </c>
      <c r="I1094" s="4" t="s">
        <v>51</v>
      </c>
      <c r="J1094" s="6"/>
      <c r="K1094" s="7"/>
      <c r="L1094" s="8" t="str">
        <f t="shared" si="135"/>
        <v>BOGOTA</v>
      </c>
      <c r="O1094" s="10"/>
    </row>
    <row r="1095" ht="14.25" customHeight="1">
      <c r="A1095" s="1" t="s">
        <v>3188</v>
      </c>
      <c r="B1095" s="2" t="s">
        <v>27</v>
      </c>
      <c r="C1095" s="2" t="s">
        <v>28</v>
      </c>
      <c r="D1095" s="2" t="s">
        <v>3189</v>
      </c>
      <c r="E1095" s="3" t="s">
        <v>3190</v>
      </c>
      <c r="F1095" s="4" t="s">
        <v>38</v>
      </c>
      <c r="G1095" s="4" t="s">
        <v>39</v>
      </c>
      <c r="H1095" s="14"/>
      <c r="I1095" s="4" t="s">
        <v>164</v>
      </c>
      <c r="J1095" s="6"/>
      <c r="K1095" s="7"/>
      <c r="L1095" s="8" t="str">
        <f t="shared" si="135"/>
        <v>BUCARAMANGA</v>
      </c>
      <c r="O1095" s="10"/>
    </row>
    <row r="1096" ht="14.25" customHeight="1">
      <c r="A1096" s="1" t="s">
        <v>3191</v>
      </c>
      <c r="B1096" s="2" t="s">
        <v>3192</v>
      </c>
      <c r="C1096" s="2" t="s">
        <v>66</v>
      </c>
      <c r="D1096" s="2" t="s">
        <v>3193</v>
      </c>
      <c r="E1096" s="3" t="s">
        <v>3194</v>
      </c>
      <c r="F1096" s="4" t="s">
        <v>38</v>
      </c>
      <c r="G1096" s="4" t="s">
        <v>113</v>
      </c>
      <c r="H1096" s="4" t="s">
        <v>3195</v>
      </c>
      <c r="I1096" s="4" t="s">
        <v>540</v>
      </c>
      <c r="J1096" s="6" t="s">
        <v>3118</v>
      </c>
      <c r="K1096" s="7">
        <v>10.0</v>
      </c>
      <c r="L1096" s="8" t="str">
        <f t="shared" si="135"/>
        <v>BARRANCABERMEJA</v>
      </c>
      <c r="O1096" s="10"/>
    </row>
    <row r="1097" ht="14.25" hidden="1" customHeight="1">
      <c r="A1097" s="13" t="s">
        <v>3196</v>
      </c>
      <c r="B1097" s="4" t="s">
        <v>27</v>
      </c>
      <c r="C1097" s="4" t="s">
        <v>28</v>
      </c>
      <c r="D1097" s="4" t="s">
        <v>3197</v>
      </c>
      <c r="E1097" s="4">
        <v>3.222316412E9</v>
      </c>
      <c r="F1097" s="4" t="s">
        <v>30</v>
      </c>
      <c r="G1097" s="4" t="s">
        <v>35</v>
      </c>
      <c r="H1097" s="14"/>
      <c r="I1097" s="4" t="s">
        <v>32</v>
      </c>
      <c r="J1097" s="14"/>
      <c r="K1097" s="14"/>
      <c r="L1097" s="14"/>
    </row>
    <row r="1098" ht="14.25" customHeight="1">
      <c r="A1098" s="1" t="s">
        <v>3198</v>
      </c>
      <c r="B1098" s="2" t="s">
        <v>27</v>
      </c>
      <c r="C1098" s="2" t="s">
        <v>28</v>
      </c>
      <c r="D1098" s="2" t="s">
        <v>3199</v>
      </c>
      <c r="E1098" s="3" t="s">
        <v>3200</v>
      </c>
      <c r="F1098" s="4" t="s">
        <v>38</v>
      </c>
      <c r="G1098" s="4" t="s">
        <v>39</v>
      </c>
      <c r="H1098" s="14"/>
      <c r="I1098" s="4" t="s">
        <v>76</v>
      </c>
      <c r="J1098" s="6"/>
      <c r="K1098" s="7"/>
      <c r="L1098" s="8" t="str">
        <f t="shared" ref="L1098:L1101" si="136">UPPER(G1098)</f>
        <v>BUCARAMANGA</v>
      </c>
      <c r="O1098" s="10"/>
    </row>
    <row r="1099" ht="14.25" customHeight="1">
      <c r="A1099" s="1" t="s">
        <v>3201</v>
      </c>
      <c r="B1099" s="2" t="s">
        <v>65</v>
      </c>
      <c r="C1099" s="2" t="s">
        <v>66</v>
      </c>
      <c r="D1099" s="2" t="s">
        <v>3202</v>
      </c>
      <c r="E1099" s="3" t="s">
        <v>3203</v>
      </c>
      <c r="F1099" s="4" t="s">
        <v>38</v>
      </c>
      <c r="G1099" s="4" t="s">
        <v>113</v>
      </c>
      <c r="H1099" s="14"/>
      <c r="I1099" s="4" t="s">
        <v>540</v>
      </c>
      <c r="J1099" s="6"/>
      <c r="K1099" s="7"/>
      <c r="L1099" s="8" t="str">
        <f t="shared" si="136"/>
        <v>BARRANCABERMEJA</v>
      </c>
      <c r="O1099" s="10"/>
    </row>
    <row r="1100" ht="14.25" customHeight="1">
      <c r="A1100" s="1" t="s">
        <v>3204</v>
      </c>
      <c r="B1100" s="2" t="s">
        <v>27</v>
      </c>
      <c r="C1100" s="2" t="s">
        <v>28</v>
      </c>
      <c r="D1100" s="2" t="s">
        <v>3205</v>
      </c>
      <c r="E1100" s="3" t="s">
        <v>3206</v>
      </c>
      <c r="F1100" s="4" t="s">
        <v>69</v>
      </c>
      <c r="G1100" s="4" t="s">
        <v>69</v>
      </c>
      <c r="H1100" s="4" t="s">
        <v>133</v>
      </c>
      <c r="I1100" s="4" t="s">
        <v>51</v>
      </c>
      <c r="J1100" s="6"/>
      <c r="K1100" s="7"/>
      <c r="L1100" s="8" t="str">
        <f t="shared" si="136"/>
        <v>BOGOTA</v>
      </c>
      <c r="O1100" s="10"/>
    </row>
    <row r="1101" ht="14.25" customHeight="1">
      <c r="A1101" s="1" t="s">
        <v>3207</v>
      </c>
      <c r="B1101" s="2" t="s">
        <v>27</v>
      </c>
      <c r="C1101" s="2" t="s">
        <v>28</v>
      </c>
      <c r="D1101" s="2" t="s">
        <v>3208</v>
      </c>
      <c r="E1101" s="3" t="s">
        <v>3209</v>
      </c>
      <c r="F1101" s="4" t="s">
        <v>38</v>
      </c>
      <c r="G1101" s="4" t="s">
        <v>39</v>
      </c>
      <c r="H1101" s="14"/>
      <c r="I1101" s="4" t="s">
        <v>561</v>
      </c>
      <c r="J1101" s="6"/>
      <c r="K1101" s="7"/>
      <c r="L1101" s="8" t="str">
        <f t="shared" si="136"/>
        <v>BUCARAMANGA</v>
      </c>
      <c r="O1101" s="10"/>
    </row>
    <row r="1102" ht="14.25" hidden="1" customHeight="1">
      <c r="A1102" s="13" t="s">
        <v>3210</v>
      </c>
      <c r="B1102" s="4" t="s">
        <v>27</v>
      </c>
      <c r="C1102" s="4" t="s">
        <v>28</v>
      </c>
      <c r="D1102" s="4" t="s">
        <v>3211</v>
      </c>
      <c r="E1102" s="4">
        <v>3.118713141E9</v>
      </c>
      <c r="F1102" s="4" t="s">
        <v>30</v>
      </c>
      <c r="G1102" s="4" t="s">
        <v>31</v>
      </c>
      <c r="H1102" s="14"/>
      <c r="I1102" s="4" t="s">
        <v>32</v>
      </c>
      <c r="J1102" s="14"/>
      <c r="K1102" s="14"/>
      <c r="L1102" s="14"/>
    </row>
    <row r="1103" ht="14.25" hidden="1" customHeight="1">
      <c r="A1103" s="13" t="s">
        <v>3212</v>
      </c>
      <c r="B1103" s="4" t="s">
        <v>27</v>
      </c>
      <c r="C1103" s="4" t="s">
        <v>28</v>
      </c>
      <c r="D1103" s="4" t="s">
        <v>3213</v>
      </c>
      <c r="E1103" s="4">
        <v>3.224295466E9</v>
      </c>
      <c r="F1103" s="4" t="s">
        <v>30</v>
      </c>
      <c r="G1103" s="4" t="s">
        <v>35</v>
      </c>
      <c r="H1103" s="14"/>
      <c r="I1103" s="4" t="s">
        <v>32</v>
      </c>
      <c r="J1103" s="14"/>
      <c r="K1103" s="14"/>
      <c r="L1103" s="14"/>
    </row>
    <row r="1104" ht="14.25" hidden="1" customHeight="1">
      <c r="A1104" s="13" t="s">
        <v>3214</v>
      </c>
      <c r="B1104" s="4" t="s">
        <v>27</v>
      </c>
      <c r="C1104" s="4" t="s">
        <v>28</v>
      </c>
      <c r="D1104" s="4" t="s">
        <v>3215</v>
      </c>
      <c r="E1104" s="4">
        <v>3.133733641E9</v>
      </c>
      <c r="F1104" s="4" t="s">
        <v>30</v>
      </c>
      <c r="G1104" s="4" t="s">
        <v>35</v>
      </c>
      <c r="H1104" s="14"/>
      <c r="I1104" s="4" t="s">
        <v>32</v>
      </c>
      <c r="J1104" s="14"/>
      <c r="K1104" s="14"/>
      <c r="L1104" s="14"/>
    </row>
    <row r="1105" ht="14.25" customHeight="1">
      <c r="A1105" s="1" t="s">
        <v>3216</v>
      </c>
      <c r="B1105" s="2" t="s">
        <v>27</v>
      </c>
      <c r="C1105" s="2" t="s">
        <v>28</v>
      </c>
      <c r="D1105" s="2" t="s">
        <v>3217</v>
      </c>
      <c r="E1105" s="3" t="s">
        <v>3218</v>
      </c>
      <c r="F1105" s="4" t="s">
        <v>38</v>
      </c>
      <c r="G1105" s="4" t="s">
        <v>39</v>
      </c>
      <c r="H1105" s="4" t="s">
        <v>40</v>
      </c>
      <c r="I1105" s="4" t="s">
        <v>76</v>
      </c>
      <c r="J1105" s="6"/>
      <c r="K1105" s="7"/>
      <c r="L1105" s="8" t="str">
        <f t="shared" ref="L1105:L1107" si="137">UPPER(G1105)</f>
        <v>BUCARAMANGA</v>
      </c>
      <c r="O1105" s="10"/>
    </row>
    <row r="1106" ht="14.25" customHeight="1">
      <c r="A1106" s="1" t="s">
        <v>3219</v>
      </c>
      <c r="B1106" s="2" t="s">
        <v>27</v>
      </c>
      <c r="C1106" s="2" t="s">
        <v>28</v>
      </c>
      <c r="D1106" s="2" t="s">
        <v>3220</v>
      </c>
      <c r="E1106" s="3" t="s">
        <v>3221</v>
      </c>
      <c r="F1106" s="4" t="s">
        <v>38</v>
      </c>
      <c r="G1106" s="4" t="s">
        <v>39</v>
      </c>
      <c r="H1106" s="4" t="s">
        <v>58</v>
      </c>
      <c r="I1106" s="4" t="s">
        <v>561</v>
      </c>
      <c r="J1106" s="6"/>
      <c r="K1106" s="7"/>
      <c r="L1106" s="8" t="str">
        <f t="shared" si="137"/>
        <v>BUCARAMANGA</v>
      </c>
      <c r="O1106" s="10"/>
    </row>
    <row r="1107" ht="14.25" customHeight="1">
      <c r="A1107" s="1" t="s">
        <v>3222</v>
      </c>
      <c r="B1107" s="2" t="s">
        <v>27</v>
      </c>
      <c r="C1107" s="2" t="s">
        <v>28</v>
      </c>
      <c r="D1107" s="2" t="s">
        <v>3223</v>
      </c>
      <c r="E1107" s="3" t="s">
        <v>3224</v>
      </c>
      <c r="F1107" s="4" t="s">
        <v>38</v>
      </c>
      <c r="G1107" s="4" t="s">
        <v>39</v>
      </c>
      <c r="H1107" s="4" t="s">
        <v>40</v>
      </c>
      <c r="I1107" s="4" t="s">
        <v>561</v>
      </c>
      <c r="J1107" s="6"/>
      <c r="K1107" s="7"/>
      <c r="L1107" s="8" t="str">
        <f t="shared" si="137"/>
        <v>BUCARAMANGA</v>
      </c>
      <c r="O1107" s="10"/>
    </row>
    <row r="1108" ht="14.25" hidden="1" customHeight="1">
      <c r="A1108" s="13" t="s">
        <v>3225</v>
      </c>
      <c r="B1108" s="4" t="s">
        <v>27</v>
      </c>
      <c r="C1108" s="4" t="s">
        <v>28</v>
      </c>
      <c r="D1108" s="4" t="s">
        <v>3226</v>
      </c>
      <c r="E1108" s="4">
        <v>3.126882431E9</v>
      </c>
      <c r="F1108" s="4" t="s">
        <v>30</v>
      </c>
      <c r="G1108" s="4" t="s">
        <v>35</v>
      </c>
      <c r="H1108" s="14"/>
      <c r="I1108" s="4" t="s">
        <v>32</v>
      </c>
      <c r="J1108" s="14"/>
      <c r="K1108" s="14"/>
      <c r="L1108" s="14"/>
    </row>
    <row r="1109" ht="14.25" customHeight="1">
      <c r="A1109" s="1" t="s">
        <v>3227</v>
      </c>
      <c r="B1109" s="2" t="s">
        <v>27</v>
      </c>
      <c r="C1109" s="2" t="s">
        <v>28</v>
      </c>
      <c r="D1109" s="2" t="s">
        <v>3228</v>
      </c>
      <c r="E1109" s="3" t="s">
        <v>3229</v>
      </c>
      <c r="F1109" s="4" t="s">
        <v>38</v>
      </c>
      <c r="G1109" s="4" t="s">
        <v>39</v>
      </c>
      <c r="H1109" s="4" t="s">
        <v>40</v>
      </c>
      <c r="I1109" s="4" t="s">
        <v>561</v>
      </c>
      <c r="J1109" s="6"/>
      <c r="K1109" s="7"/>
      <c r="L1109" s="8" t="str">
        <f>UPPER(G1109)</f>
        <v>BUCARAMANGA</v>
      </c>
      <c r="O1109" s="10"/>
    </row>
    <row r="1110" ht="14.25" hidden="1" customHeight="1">
      <c r="A1110" s="13" t="s">
        <v>3230</v>
      </c>
      <c r="B1110" s="4" t="s">
        <v>27</v>
      </c>
      <c r="C1110" s="4" t="s">
        <v>28</v>
      </c>
      <c r="D1110" s="4" t="s">
        <v>3231</v>
      </c>
      <c r="E1110" s="4">
        <v>3.125540939E9</v>
      </c>
      <c r="F1110" s="4" t="s">
        <v>30</v>
      </c>
      <c r="G1110" s="4" t="s">
        <v>35</v>
      </c>
      <c r="H1110" s="14"/>
      <c r="I1110" s="4" t="s">
        <v>32</v>
      </c>
      <c r="J1110" s="14"/>
      <c r="K1110" s="14"/>
      <c r="L1110" s="14"/>
    </row>
    <row r="1111" ht="14.25" customHeight="1">
      <c r="A1111" s="1" t="s">
        <v>3232</v>
      </c>
      <c r="B1111" s="2" t="s">
        <v>27</v>
      </c>
      <c r="C1111" s="2" t="s">
        <v>28</v>
      </c>
      <c r="D1111" s="2" t="s">
        <v>3233</v>
      </c>
      <c r="E1111" s="3" t="s">
        <v>3234</v>
      </c>
      <c r="F1111" s="4" t="s">
        <v>38</v>
      </c>
      <c r="G1111" s="4" t="s">
        <v>113</v>
      </c>
      <c r="H1111" s="14"/>
      <c r="I1111" s="4" t="s">
        <v>419</v>
      </c>
      <c r="J1111" s="6"/>
      <c r="K1111" s="7"/>
      <c r="L1111" s="8" t="str">
        <f t="shared" ref="L1111:L1117" si="138">UPPER(G1111)</f>
        <v>BARRANCABERMEJA</v>
      </c>
      <c r="O1111" s="10"/>
    </row>
    <row r="1112" ht="14.25" customHeight="1">
      <c r="A1112" s="1" t="s">
        <v>3235</v>
      </c>
      <c r="B1112" s="2" t="s">
        <v>27</v>
      </c>
      <c r="C1112" s="2" t="s">
        <v>28</v>
      </c>
      <c r="D1112" s="2" t="s">
        <v>3236</v>
      </c>
      <c r="E1112" s="3" t="s">
        <v>3237</v>
      </c>
      <c r="F1112" s="4" t="s">
        <v>337</v>
      </c>
      <c r="G1112" s="4" t="s">
        <v>338</v>
      </c>
      <c r="H1112" s="14"/>
      <c r="I1112" s="4" t="s">
        <v>51</v>
      </c>
      <c r="J1112" s="6"/>
      <c r="K1112" s="7"/>
      <c r="L1112" s="8" t="str">
        <f t="shared" si="138"/>
        <v>IBAGUE</v>
      </c>
      <c r="O1112" s="10"/>
    </row>
    <row r="1113" ht="14.25" customHeight="1">
      <c r="A1113" s="1" t="s">
        <v>3238</v>
      </c>
      <c r="B1113" s="2" t="s">
        <v>27</v>
      </c>
      <c r="C1113" s="2" t="s">
        <v>28</v>
      </c>
      <c r="D1113" s="2" t="s">
        <v>3239</v>
      </c>
      <c r="E1113" s="3" t="s">
        <v>3240</v>
      </c>
      <c r="F1113" s="4" t="s">
        <v>69</v>
      </c>
      <c r="G1113" s="4" t="s">
        <v>69</v>
      </c>
      <c r="H1113" s="14"/>
      <c r="I1113" s="4" t="s">
        <v>51</v>
      </c>
      <c r="J1113" s="6"/>
      <c r="K1113" s="7"/>
      <c r="L1113" s="8" t="str">
        <f t="shared" si="138"/>
        <v>BOGOTA</v>
      </c>
      <c r="O1113" s="10"/>
    </row>
    <row r="1114" ht="14.25" customHeight="1">
      <c r="A1114" s="1" t="s">
        <v>3241</v>
      </c>
      <c r="B1114" s="2" t="s">
        <v>27</v>
      </c>
      <c r="C1114" s="2" t="s">
        <v>28</v>
      </c>
      <c r="D1114" s="2" t="s">
        <v>3242</v>
      </c>
      <c r="E1114" s="3" t="s">
        <v>3243</v>
      </c>
      <c r="F1114" s="4" t="s">
        <v>38</v>
      </c>
      <c r="G1114" s="4" t="s">
        <v>39</v>
      </c>
      <c r="H1114" s="14"/>
      <c r="I1114" s="4" t="s">
        <v>76</v>
      </c>
      <c r="J1114" s="6"/>
      <c r="K1114" s="7"/>
      <c r="L1114" s="8" t="str">
        <f t="shared" si="138"/>
        <v>BUCARAMANGA</v>
      </c>
      <c r="O1114" s="10"/>
    </row>
    <row r="1115" ht="14.25" customHeight="1">
      <c r="A1115" s="1" t="s">
        <v>3244</v>
      </c>
      <c r="B1115" s="2" t="s">
        <v>27</v>
      </c>
      <c r="C1115" s="2" t="s">
        <v>28</v>
      </c>
      <c r="D1115" s="2" t="s">
        <v>3245</v>
      </c>
      <c r="E1115" s="3" t="s">
        <v>3246</v>
      </c>
      <c r="F1115" s="4" t="s">
        <v>69</v>
      </c>
      <c r="G1115" s="4" t="s">
        <v>69</v>
      </c>
      <c r="H1115" s="14"/>
      <c r="I1115" s="4" t="s">
        <v>182</v>
      </c>
      <c r="J1115" s="6"/>
      <c r="K1115" s="7"/>
      <c r="L1115" s="8" t="str">
        <f t="shared" si="138"/>
        <v>BOGOTA</v>
      </c>
      <c r="O1115" s="10"/>
    </row>
    <row r="1116" ht="14.25" customHeight="1">
      <c r="A1116" s="1" t="s">
        <v>3247</v>
      </c>
      <c r="B1116" s="2" t="s">
        <v>27</v>
      </c>
      <c r="C1116" s="2" t="s">
        <v>28</v>
      </c>
      <c r="D1116" s="2" t="s">
        <v>3248</v>
      </c>
      <c r="E1116" s="3" t="s">
        <v>3249</v>
      </c>
      <c r="F1116" s="4" t="s">
        <v>38</v>
      </c>
      <c r="G1116" s="4" t="s">
        <v>39</v>
      </c>
      <c r="H1116" s="14"/>
      <c r="I1116" s="4" t="s">
        <v>76</v>
      </c>
      <c r="J1116" s="6"/>
      <c r="K1116" s="7"/>
      <c r="L1116" s="8" t="str">
        <f t="shared" si="138"/>
        <v>BUCARAMANGA</v>
      </c>
      <c r="O1116" s="10"/>
    </row>
    <row r="1117" ht="14.25" customHeight="1">
      <c r="A1117" s="1" t="s">
        <v>3250</v>
      </c>
      <c r="B1117" s="2" t="s">
        <v>27</v>
      </c>
      <c r="C1117" s="2" t="s">
        <v>28</v>
      </c>
      <c r="D1117" s="2" t="s">
        <v>3251</v>
      </c>
      <c r="E1117" s="3" t="s">
        <v>3252</v>
      </c>
      <c r="F1117" s="4" t="s">
        <v>38</v>
      </c>
      <c r="G1117" s="4" t="s">
        <v>113</v>
      </c>
      <c r="H1117" s="14"/>
      <c r="I1117" s="4" t="s">
        <v>540</v>
      </c>
      <c r="J1117" s="6"/>
      <c r="K1117" s="7"/>
      <c r="L1117" s="8" t="str">
        <f t="shared" si="138"/>
        <v>BARRANCABERMEJA</v>
      </c>
      <c r="O1117" s="10"/>
    </row>
    <row r="1118" ht="14.25" hidden="1" customHeight="1">
      <c r="A1118" s="13" t="s">
        <v>3253</v>
      </c>
      <c r="B1118" s="4" t="s">
        <v>27</v>
      </c>
      <c r="C1118" s="4" t="s">
        <v>28</v>
      </c>
      <c r="D1118" s="4" t="s">
        <v>3254</v>
      </c>
      <c r="E1118" s="4">
        <v>3.229457091E9</v>
      </c>
      <c r="F1118" s="4" t="s">
        <v>30</v>
      </c>
      <c r="G1118" s="4" t="s">
        <v>31</v>
      </c>
      <c r="H1118" s="14"/>
      <c r="I1118" s="4" t="s">
        <v>32</v>
      </c>
      <c r="J1118" s="14"/>
      <c r="K1118" s="14"/>
      <c r="L1118" s="14"/>
    </row>
    <row r="1119" ht="14.25" customHeight="1">
      <c r="A1119" s="1" t="s">
        <v>3255</v>
      </c>
      <c r="B1119" s="2" t="s">
        <v>27</v>
      </c>
      <c r="C1119" s="2" t="s">
        <v>28</v>
      </c>
      <c r="D1119" s="2" t="s">
        <v>3256</v>
      </c>
      <c r="E1119" s="3" t="s">
        <v>3257</v>
      </c>
      <c r="F1119" s="4" t="s">
        <v>38</v>
      </c>
      <c r="G1119" s="4" t="s">
        <v>39</v>
      </c>
      <c r="H1119" s="14"/>
      <c r="I1119" s="4" t="s">
        <v>76</v>
      </c>
      <c r="J1119" s="6"/>
      <c r="K1119" s="7"/>
      <c r="L1119" s="8" t="str">
        <f t="shared" ref="L1119:L1128" si="139">UPPER(G1119)</f>
        <v>BUCARAMANGA</v>
      </c>
      <c r="O1119" s="10"/>
    </row>
    <row r="1120" ht="14.25" customHeight="1">
      <c r="A1120" s="1" t="s">
        <v>3258</v>
      </c>
      <c r="B1120" s="2" t="s">
        <v>27</v>
      </c>
      <c r="C1120" s="2" t="s">
        <v>28</v>
      </c>
      <c r="D1120" s="2" t="s">
        <v>3259</v>
      </c>
      <c r="E1120" s="3" t="s">
        <v>3260</v>
      </c>
      <c r="F1120" s="4" t="s">
        <v>38</v>
      </c>
      <c r="G1120" s="4" t="s">
        <v>113</v>
      </c>
      <c r="H1120" s="14"/>
      <c r="I1120" s="4" t="s">
        <v>540</v>
      </c>
      <c r="J1120" s="6"/>
      <c r="K1120" s="7"/>
      <c r="L1120" s="8" t="str">
        <f t="shared" si="139"/>
        <v>BARRANCABERMEJA</v>
      </c>
      <c r="O1120" s="10"/>
    </row>
    <row r="1121" ht="14.25" customHeight="1">
      <c r="A1121" s="1" t="s">
        <v>3261</v>
      </c>
      <c r="B1121" s="2" t="s">
        <v>27</v>
      </c>
      <c r="C1121" s="2" t="s">
        <v>28</v>
      </c>
      <c r="D1121" s="2" t="s">
        <v>3262</v>
      </c>
      <c r="E1121" s="3" t="s">
        <v>3263</v>
      </c>
      <c r="F1121" s="4" t="s">
        <v>38</v>
      </c>
      <c r="G1121" s="4" t="s">
        <v>81</v>
      </c>
      <c r="H1121" s="14"/>
      <c r="I1121" s="4" t="s">
        <v>164</v>
      </c>
      <c r="J1121" s="6"/>
      <c r="K1121" s="7"/>
      <c r="L1121" s="8" t="str">
        <f t="shared" si="139"/>
        <v>FLORIDABLANCA</v>
      </c>
      <c r="O1121" s="10"/>
    </row>
    <row r="1122" ht="14.25" customHeight="1">
      <c r="A1122" s="1" t="s">
        <v>3264</v>
      </c>
      <c r="B1122" s="2" t="s">
        <v>27</v>
      </c>
      <c r="C1122" s="2" t="s">
        <v>28</v>
      </c>
      <c r="D1122" s="2" t="s">
        <v>3265</v>
      </c>
      <c r="E1122" s="3" t="s">
        <v>3266</v>
      </c>
      <c r="F1122" s="4" t="s">
        <v>69</v>
      </c>
      <c r="G1122" s="4" t="s">
        <v>69</v>
      </c>
      <c r="H1122" s="14"/>
      <c r="I1122" s="4" t="s">
        <v>51</v>
      </c>
      <c r="J1122" s="6"/>
      <c r="K1122" s="7"/>
      <c r="L1122" s="8" t="str">
        <f t="shared" si="139"/>
        <v>BOGOTA</v>
      </c>
      <c r="O1122" s="10"/>
    </row>
    <row r="1123" ht="14.25" customHeight="1">
      <c r="A1123" s="1" t="s">
        <v>3267</v>
      </c>
      <c r="B1123" s="2" t="s">
        <v>27</v>
      </c>
      <c r="C1123" s="2" t="s">
        <v>28</v>
      </c>
      <c r="D1123" s="2" t="s">
        <v>3268</v>
      </c>
      <c r="E1123" s="3" t="s">
        <v>3269</v>
      </c>
      <c r="F1123" s="4" t="s">
        <v>38</v>
      </c>
      <c r="G1123" s="4" t="s">
        <v>113</v>
      </c>
      <c r="H1123" s="14"/>
      <c r="I1123" s="4" t="s">
        <v>358</v>
      </c>
      <c r="J1123" s="6"/>
      <c r="K1123" s="7"/>
      <c r="L1123" s="8" t="str">
        <f t="shared" si="139"/>
        <v>BARRANCABERMEJA</v>
      </c>
      <c r="O1123" s="10"/>
    </row>
    <row r="1124" ht="14.25" customHeight="1">
      <c r="A1124" s="1" t="s">
        <v>3270</v>
      </c>
      <c r="B1124" s="2" t="s">
        <v>27</v>
      </c>
      <c r="C1124" s="2" t="s">
        <v>28</v>
      </c>
      <c r="D1124" s="2" t="s">
        <v>3271</v>
      </c>
      <c r="E1124" s="3" t="s">
        <v>3272</v>
      </c>
      <c r="F1124" s="4" t="s">
        <v>38</v>
      </c>
      <c r="G1124" s="4" t="s">
        <v>81</v>
      </c>
      <c r="H1124" s="4" t="s">
        <v>489</v>
      </c>
      <c r="I1124" s="4" t="s">
        <v>561</v>
      </c>
      <c r="J1124" s="6"/>
      <c r="K1124" s="7"/>
      <c r="L1124" s="8" t="str">
        <f t="shared" si="139"/>
        <v>FLORIDABLANCA</v>
      </c>
      <c r="O1124" s="10"/>
    </row>
    <row r="1125" ht="14.25" customHeight="1">
      <c r="A1125" s="1" t="s">
        <v>3273</v>
      </c>
      <c r="B1125" s="2" t="s">
        <v>27</v>
      </c>
      <c r="C1125" s="2" t="s">
        <v>28</v>
      </c>
      <c r="D1125" s="2" t="s">
        <v>3274</v>
      </c>
      <c r="E1125" s="3" t="s">
        <v>3275</v>
      </c>
      <c r="F1125" s="4" t="s">
        <v>38</v>
      </c>
      <c r="G1125" s="4" t="s">
        <v>39</v>
      </c>
      <c r="H1125" s="14"/>
      <c r="I1125" s="4" t="s">
        <v>76</v>
      </c>
      <c r="J1125" s="6"/>
      <c r="K1125" s="7"/>
      <c r="L1125" s="8" t="str">
        <f t="shared" si="139"/>
        <v>BUCARAMANGA</v>
      </c>
      <c r="O1125" s="10"/>
    </row>
    <row r="1126" ht="14.25" customHeight="1">
      <c r="A1126" s="1" t="s">
        <v>3276</v>
      </c>
      <c r="B1126" s="2" t="s">
        <v>27</v>
      </c>
      <c r="C1126" s="2" t="s">
        <v>66</v>
      </c>
      <c r="D1126" s="2" t="s">
        <v>3277</v>
      </c>
      <c r="E1126" s="3" t="s">
        <v>3278</v>
      </c>
      <c r="F1126" s="4" t="s">
        <v>38</v>
      </c>
      <c r="G1126" s="4" t="s">
        <v>39</v>
      </c>
      <c r="H1126" s="4" t="s">
        <v>40</v>
      </c>
      <c r="I1126" s="4" t="s">
        <v>182</v>
      </c>
      <c r="J1126" s="6"/>
      <c r="K1126" s="7"/>
      <c r="L1126" s="8" t="str">
        <f t="shared" si="139"/>
        <v>BUCARAMANGA</v>
      </c>
      <c r="O1126" s="10"/>
    </row>
    <row r="1127" ht="14.25" customHeight="1">
      <c r="A1127" s="1" t="s">
        <v>3279</v>
      </c>
      <c r="B1127" s="2" t="s">
        <v>27</v>
      </c>
      <c r="C1127" s="2" t="s">
        <v>28</v>
      </c>
      <c r="D1127" s="2" t="s">
        <v>3280</v>
      </c>
      <c r="E1127" s="3" t="s">
        <v>3281</v>
      </c>
      <c r="F1127" s="4" t="s">
        <v>38</v>
      </c>
      <c r="G1127" s="4" t="s">
        <v>39</v>
      </c>
      <c r="H1127" s="4" t="s">
        <v>3282</v>
      </c>
      <c r="I1127" s="4" t="s">
        <v>540</v>
      </c>
      <c r="J1127" s="6"/>
      <c r="K1127" s="7"/>
      <c r="L1127" s="8" t="str">
        <f t="shared" si="139"/>
        <v>BUCARAMANGA</v>
      </c>
      <c r="O1127" s="10"/>
    </row>
    <row r="1128" ht="14.25" customHeight="1">
      <c r="A1128" s="1" t="s">
        <v>3283</v>
      </c>
      <c r="B1128" s="2" t="s">
        <v>27</v>
      </c>
      <c r="C1128" s="2" t="s">
        <v>66</v>
      </c>
      <c r="D1128" s="2" t="s">
        <v>3280</v>
      </c>
      <c r="E1128" s="3" t="s">
        <v>3284</v>
      </c>
      <c r="F1128" s="4" t="s">
        <v>38</v>
      </c>
      <c r="G1128" s="4" t="s">
        <v>39</v>
      </c>
      <c r="H1128" s="4" t="s">
        <v>3282</v>
      </c>
      <c r="I1128" s="4" t="s">
        <v>540</v>
      </c>
      <c r="J1128" s="6"/>
      <c r="K1128" s="7"/>
      <c r="L1128" s="8" t="str">
        <f t="shared" si="139"/>
        <v>BUCARAMANGA</v>
      </c>
      <c r="O1128" s="10"/>
    </row>
    <row r="1129" ht="14.25" hidden="1" customHeight="1">
      <c r="A1129" s="13" t="s">
        <v>3285</v>
      </c>
      <c r="B1129" s="4" t="s">
        <v>27</v>
      </c>
      <c r="C1129" s="4" t="s">
        <v>28</v>
      </c>
      <c r="D1129" s="4" t="s">
        <v>3286</v>
      </c>
      <c r="E1129" s="4">
        <v>3.016379406E9</v>
      </c>
      <c r="F1129" s="4" t="s">
        <v>30</v>
      </c>
      <c r="G1129" s="4" t="s">
        <v>31</v>
      </c>
      <c r="H1129" s="14"/>
      <c r="I1129" s="4" t="s">
        <v>32</v>
      </c>
      <c r="J1129" s="14"/>
      <c r="K1129" s="14"/>
      <c r="L1129" s="14"/>
    </row>
    <row r="1130" ht="14.25" customHeight="1">
      <c r="A1130" s="1" t="s">
        <v>3287</v>
      </c>
      <c r="B1130" s="2" t="s">
        <v>27</v>
      </c>
      <c r="C1130" s="2" t="s">
        <v>28</v>
      </c>
      <c r="D1130" s="2" t="s">
        <v>3288</v>
      </c>
      <c r="E1130" s="3" t="s">
        <v>3289</v>
      </c>
      <c r="F1130" s="4" t="s">
        <v>38</v>
      </c>
      <c r="G1130" s="4" t="s">
        <v>39</v>
      </c>
      <c r="H1130" s="4" t="s">
        <v>3290</v>
      </c>
      <c r="I1130" s="4" t="s">
        <v>846</v>
      </c>
      <c r="J1130" s="6"/>
      <c r="K1130" s="7"/>
      <c r="L1130" s="8" t="str">
        <f>UPPER(G1130)</f>
        <v>BUCARAMANGA</v>
      </c>
      <c r="O1130" s="10"/>
    </row>
    <row r="1131" ht="14.25" hidden="1" customHeight="1">
      <c r="A1131" s="13" t="s">
        <v>3291</v>
      </c>
      <c r="B1131" s="4" t="s">
        <v>27</v>
      </c>
      <c r="C1131" s="4" t="s">
        <v>28</v>
      </c>
      <c r="D1131" s="4" t="s">
        <v>3292</v>
      </c>
      <c r="E1131" s="4">
        <v>3.22292338E9</v>
      </c>
      <c r="F1131" s="4" t="s">
        <v>30</v>
      </c>
      <c r="G1131" s="4" t="s">
        <v>31</v>
      </c>
      <c r="H1131" s="14"/>
      <c r="I1131" s="4" t="s">
        <v>32</v>
      </c>
      <c r="J1131" s="14"/>
      <c r="K1131" s="14"/>
      <c r="L1131" s="14"/>
    </row>
    <row r="1132" ht="14.25" customHeight="1">
      <c r="A1132" s="1" t="s">
        <v>3293</v>
      </c>
      <c r="B1132" s="2" t="s">
        <v>27</v>
      </c>
      <c r="C1132" s="2" t="s">
        <v>28</v>
      </c>
      <c r="D1132" s="2" t="s">
        <v>3294</v>
      </c>
      <c r="E1132" s="3" t="s">
        <v>3295</v>
      </c>
      <c r="F1132" s="4" t="s">
        <v>69</v>
      </c>
      <c r="G1132" s="4" t="s">
        <v>69</v>
      </c>
      <c r="H1132" s="4" t="s">
        <v>133</v>
      </c>
      <c r="I1132" s="4" t="s">
        <v>51</v>
      </c>
      <c r="J1132" s="6"/>
      <c r="K1132" s="7"/>
      <c r="L1132" s="8" t="str">
        <f t="shared" ref="L1132:L1133" si="140">UPPER(G1132)</f>
        <v>BOGOTA</v>
      </c>
      <c r="O1132" s="10"/>
    </row>
    <row r="1133" ht="14.25" customHeight="1">
      <c r="A1133" s="1" t="s">
        <v>3296</v>
      </c>
      <c r="B1133" s="2" t="s">
        <v>27</v>
      </c>
      <c r="C1133" s="2" t="s">
        <v>28</v>
      </c>
      <c r="D1133" s="2" t="s">
        <v>3297</v>
      </c>
      <c r="E1133" s="3" t="s">
        <v>3298</v>
      </c>
      <c r="F1133" s="4" t="s">
        <v>38</v>
      </c>
      <c r="G1133" s="4" t="s">
        <v>39</v>
      </c>
      <c r="H1133" s="14"/>
      <c r="I1133" s="4" t="s">
        <v>76</v>
      </c>
      <c r="J1133" s="6"/>
      <c r="K1133" s="7"/>
      <c r="L1133" s="8" t="str">
        <f t="shared" si="140"/>
        <v>BUCARAMANGA</v>
      </c>
      <c r="O1133" s="10"/>
    </row>
    <row r="1134" ht="14.25" hidden="1" customHeight="1">
      <c r="A1134" s="13" t="s">
        <v>3299</v>
      </c>
      <c r="B1134" s="4" t="s">
        <v>27</v>
      </c>
      <c r="C1134" s="4" t="s">
        <v>28</v>
      </c>
      <c r="D1134" s="4" t="s">
        <v>3300</v>
      </c>
      <c r="E1134" s="4">
        <v>3.118713141E9</v>
      </c>
      <c r="F1134" s="4" t="s">
        <v>30</v>
      </c>
      <c r="G1134" s="4" t="s">
        <v>35</v>
      </c>
      <c r="H1134" s="14"/>
      <c r="I1134" s="4" t="s">
        <v>32</v>
      </c>
      <c r="J1134" s="14"/>
      <c r="K1134" s="14"/>
      <c r="L1134" s="14"/>
    </row>
    <row r="1135" ht="14.25" hidden="1" customHeight="1">
      <c r="A1135" s="13" t="s">
        <v>3301</v>
      </c>
      <c r="B1135" s="4" t="s">
        <v>27</v>
      </c>
      <c r="C1135" s="4" t="s">
        <v>28</v>
      </c>
      <c r="D1135" s="4" t="s">
        <v>3302</v>
      </c>
      <c r="E1135" s="4">
        <v>3.118713141E9</v>
      </c>
      <c r="F1135" s="4" t="s">
        <v>30</v>
      </c>
      <c r="G1135" s="4" t="s">
        <v>35</v>
      </c>
      <c r="H1135" s="14"/>
      <c r="I1135" s="4" t="s">
        <v>32</v>
      </c>
      <c r="J1135" s="14"/>
      <c r="K1135" s="14"/>
      <c r="L1135" s="14"/>
    </row>
    <row r="1136" ht="14.25" customHeight="1">
      <c r="A1136" s="1" t="s">
        <v>3303</v>
      </c>
      <c r="B1136" s="2" t="s">
        <v>27</v>
      </c>
      <c r="C1136" s="2" t="s">
        <v>28</v>
      </c>
      <c r="D1136" s="2" t="s">
        <v>3304</v>
      </c>
      <c r="E1136" s="3" t="s">
        <v>3305</v>
      </c>
      <c r="F1136" s="4" t="s">
        <v>38</v>
      </c>
      <c r="G1136" s="4" t="s">
        <v>39</v>
      </c>
      <c r="H1136" s="4" t="s">
        <v>40</v>
      </c>
      <c r="I1136" s="4" t="s">
        <v>561</v>
      </c>
      <c r="J1136" s="6"/>
      <c r="K1136" s="7"/>
      <c r="L1136" s="8" t="str">
        <f>UPPER(G1136)</f>
        <v>BUCARAMANGA</v>
      </c>
      <c r="O1136" s="10"/>
    </row>
    <row r="1137" ht="14.25" hidden="1" customHeight="1">
      <c r="A1137" s="13" t="s">
        <v>3306</v>
      </c>
      <c r="B1137" s="4" t="s">
        <v>27</v>
      </c>
      <c r="C1137" s="4" t="s">
        <v>28</v>
      </c>
      <c r="D1137" s="4" t="s">
        <v>3307</v>
      </c>
      <c r="E1137" s="4">
        <v>3.22292338E9</v>
      </c>
      <c r="F1137" s="4" t="s">
        <v>30</v>
      </c>
      <c r="G1137" s="4" t="s">
        <v>31</v>
      </c>
      <c r="H1137" s="14"/>
      <c r="I1137" s="4" t="s">
        <v>32</v>
      </c>
      <c r="J1137" s="14"/>
      <c r="K1137" s="14"/>
      <c r="L1137" s="14"/>
    </row>
    <row r="1138" ht="14.25" hidden="1" customHeight="1">
      <c r="A1138" s="13" t="s">
        <v>3308</v>
      </c>
      <c r="B1138" s="4" t="s">
        <v>27</v>
      </c>
      <c r="C1138" s="4" t="s">
        <v>28</v>
      </c>
      <c r="D1138" s="4" t="s">
        <v>3309</v>
      </c>
      <c r="E1138" s="4">
        <v>3.118713141E9</v>
      </c>
      <c r="F1138" s="4" t="s">
        <v>30</v>
      </c>
      <c r="G1138" s="4" t="s">
        <v>35</v>
      </c>
      <c r="H1138" s="14"/>
      <c r="I1138" s="4" t="s">
        <v>32</v>
      </c>
      <c r="J1138" s="14"/>
      <c r="K1138" s="14"/>
      <c r="L1138" s="14"/>
    </row>
    <row r="1139" ht="14.25" customHeight="1">
      <c r="A1139" s="1" t="s">
        <v>3310</v>
      </c>
      <c r="B1139" s="2" t="s">
        <v>27</v>
      </c>
      <c r="C1139" s="2" t="s">
        <v>28</v>
      </c>
      <c r="D1139" s="2" t="s">
        <v>3311</v>
      </c>
      <c r="E1139" s="3" t="s">
        <v>3312</v>
      </c>
      <c r="F1139" s="4" t="s">
        <v>38</v>
      </c>
      <c r="G1139" s="4" t="s">
        <v>75</v>
      </c>
      <c r="H1139" s="4" t="s">
        <v>2322</v>
      </c>
      <c r="I1139" s="4" t="s">
        <v>561</v>
      </c>
      <c r="J1139" s="6"/>
      <c r="K1139" s="7"/>
      <c r="L1139" s="8" t="str">
        <f>UPPER(G1139)</f>
        <v>GIRON</v>
      </c>
      <c r="O1139" s="10"/>
    </row>
    <row r="1140" ht="14.25" hidden="1" customHeight="1">
      <c r="A1140" s="13" t="s">
        <v>3313</v>
      </c>
      <c r="B1140" s="4" t="s">
        <v>27</v>
      </c>
      <c r="C1140" s="4" t="s">
        <v>28</v>
      </c>
      <c r="D1140" s="4" t="s">
        <v>3314</v>
      </c>
      <c r="E1140" s="4">
        <v>3.124295466E9</v>
      </c>
      <c r="F1140" s="4" t="s">
        <v>30</v>
      </c>
      <c r="G1140" s="4" t="s">
        <v>35</v>
      </c>
      <c r="H1140" s="14"/>
      <c r="I1140" s="4" t="s">
        <v>32</v>
      </c>
      <c r="J1140" s="14"/>
      <c r="K1140" s="14"/>
      <c r="L1140" s="14"/>
    </row>
    <row r="1141" ht="14.25" customHeight="1">
      <c r="A1141" s="1" t="s">
        <v>3315</v>
      </c>
      <c r="B1141" s="2" t="s">
        <v>27</v>
      </c>
      <c r="C1141" s="2" t="s">
        <v>28</v>
      </c>
      <c r="D1141" s="2" t="s">
        <v>3316</v>
      </c>
      <c r="E1141" s="3" t="s">
        <v>3317</v>
      </c>
      <c r="F1141" s="4" t="s">
        <v>38</v>
      </c>
      <c r="G1141" s="4" t="s">
        <v>39</v>
      </c>
      <c r="H1141" s="14"/>
      <c r="I1141" s="4" t="s">
        <v>76</v>
      </c>
      <c r="J1141" s="6"/>
      <c r="K1141" s="7"/>
      <c r="L1141" s="8" t="str">
        <f t="shared" ref="L1141:L1142" si="141">UPPER(G1141)</f>
        <v>BUCARAMANGA</v>
      </c>
      <c r="O1141" s="10"/>
    </row>
    <row r="1142" ht="14.25" customHeight="1">
      <c r="A1142" s="1" t="s">
        <v>3318</v>
      </c>
      <c r="B1142" s="2" t="s">
        <v>27</v>
      </c>
      <c r="C1142" s="2" t="s">
        <v>28</v>
      </c>
      <c r="D1142" s="2" t="s">
        <v>3319</v>
      </c>
      <c r="E1142" s="3" t="s">
        <v>3320</v>
      </c>
      <c r="F1142" s="4" t="s">
        <v>38</v>
      </c>
      <c r="G1142" s="4" t="s">
        <v>113</v>
      </c>
      <c r="H1142" s="14"/>
      <c r="I1142" s="4" t="s">
        <v>561</v>
      </c>
      <c r="J1142" s="6"/>
      <c r="K1142" s="7"/>
      <c r="L1142" s="8" t="str">
        <f t="shared" si="141"/>
        <v>BARRANCABERMEJA</v>
      </c>
      <c r="O1142" s="10"/>
    </row>
    <row r="1143" ht="14.25" hidden="1" customHeight="1">
      <c r="A1143" s="13" t="s">
        <v>3321</v>
      </c>
      <c r="B1143" s="4" t="s">
        <v>27</v>
      </c>
      <c r="C1143" s="4" t="s">
        <v>28</v>
      </c>
      <c r="D1143" s="4" t="s">
        <v>3322</v>
      </c>
      <c r="E1143" s="4">
        <v>3.124295466E9</v>
      </c>
      <c r="F1143" s="4" t="s">
        <v>30</v>
      </c>
      <c r="G1143" s="4" t="s">
        <v>35</v>
      </c>
      <c r="H1143" s="14"/>
      <c r="I1143" s="4" t="s">
        <v>32</v>
      </c>
      <c r="J1143" s="14"/>
      <c r="K1143" s="14"/>
      <c r="L1143" s="14"/>
    </row>
    <row r="1144" ht="14.25" customHeight="1">
      <c r="A1144" s="1" t="s">
        <v>3323</v>
      </c>
      <c r="B1144" s="2" t="s">
        <v>27</v>
      </c>
      <c r="C1144" s="2" t="s">
        <v>28</v>
      </c>
      <c r="D1144" s="2" t="s">
        <v>3324</v>
      </c>
      <c r="E1144" s="3" t="s">
        <v>3325</v>
      </c>
      <c r="F1144" s="4" t="s">
        <v>38</v>
      </c>
      <c r="G1144" s="4" t="s">
        <v>81</v>
      </c>
      <c r="H1144" s="4" t="s">
        <v>308</v>
      </c>
      <c r="I1144" s="4" t="s">
        <v>561</v>
      </c>
      <c r="J1144" s="6"/>
      <c r="K1144" s="7"/>
      <c r="L1144" s="8" t="str">
        <f>UPPER(G1144)</f>
        <v>FLORIDABLANCA</v>
      </c>
      <c r="O1144" s="10"/>
    </row>
    <row r="1145" ht="14.25" hidden="1" customHeight="1">
      <c r="A1145" s="13" t="s">
        <v>3326</v>
      </c>
      <c r="B1145" s="4" t="s">
        <v>27</v>
      </c>
      <c r="C1145" s="4" t="s">
        <v>28</v>
      </c>
      <c r="D1145" s="4" t="s">
        <v>3327</v>
      </c>
      <c r="E1145" s="4">
        <v>3.102211527E9</v>
      </c>
      <c r="F1145" s="4" t="s">
        <v>30</v>
      </c>
      <c r="G1145" s="4" t="s">
        <v>35</v>
      </c>
      <c r="H1145" s="14"/>
      <c r="I1145" s="4" t="s">
        <v>32</v>
      </c>
      <c r="J1145" s="14"/>
      <c r="K1145" s="14"/>
      <c r="L1145" s="14"/>
    </row>
    <row r="1146" ht="14.25" hidden="1" customHeight="1">
      <c r="A1146" s="13" t="s">
        <v>3328</v>
      </c>
      <c r="B1146" s="4" t="s">
        <v>27</v>
      </c>
      <c r="C1146" s="4" t="s">
        <v>28</v>
      </c>
      <c r="D1146" s="4" t="s">
        <v>3329</v>
      </c>
      <c r="E1146" s="4">
        <v>3.104858589E9</v>
      </c>
      <c r="F1146" s="4" t="s">
        <v>30</v>
      </c>
      <c r="G1146" s="4" t="s">
        <v>31</v>
      </c>
      <c r="H1146" s="14"/>
      <c r="I1146" s="4" t="s">
        <v>32</v>
      </c>
      <c r="J1146" s="14"/>
      <c r="K1146" s="14"/>
      <c r="L1146" s="14"/>
    </row>
    <row r="1147" ht="14.25" hidden="1" customHeight="1">
      <c r="A1147" s="13" t="s">
        <v>3330</v>
      </c>
      <c r="B1147" s="4" t="s">
        <v>27</v>
      </c>
      <c r="C1147" s="4" t="s">
        <v>28</v>
      </c>
      <c r="D1147" s="4" t="s">
        <v>3331</v>
      </c>
      <c r="E1147" s="4">
        <v>3.22292338E9</v>
      </c>
      <c r="F1147" s="4" t="s">
        <v>30</v>
      </c>
      <c r="G1147" s="4" t="s">
        <v>31</v>
      </c>
      <c r="H1147" s="14"/>
      <c r="I1147" s="4" t="s">
        <v>32</v>
      </c>
      <c r="J1147" s="14"/>
      <c r="K1147" s="14"/>
      <c r="L1147" s="14"/>
    </row>
    <row r="1148" ht="14.25" customHeight="1">
      <c r="A1148" s="1" t="s">
        <v>3332</v>
      </c>
      <c r="B1148" s="2" t="s">
        <v>27</v>
      </c>
      <c r="C1148" s="2" t="s">
        <v>28</v>
      </c>
      <c r="D1148" s="2" t="s">
        <v>3333</v>
      </c>
      <c r="E1148" s="3" t="s">
        <v>3334</v>
      </c>
      <c r="F1148" s="4" t="s">
        <v>38</v>
      </c>
      <c r="G1148" s="4" t="s">
        <v>159</v>
      </c>
      <c r="H1148" s="4" t="s">
        <v>691</v>
      </c>
      <c r="I1148" s="4" t="s">
        <v>561</v>
      </c>
      <c r="J1148" s="6"/>
      <c r="K1148" s="7"/>
      <c r="L1148" s="8" t="str">
        <f t="shared" ref="L1148:L1149" si="142">UPPER(G1148)</f>
        <v>PIEDECUESTA</v>
      </c>
      <c r="O1148" s="10"/>
    </row>
    <row r="1149" ht="14.25" customHeight="1">
      <c r="A1149" s="1" t="s">
        <v>3335</v>
      </c>
      <c r="B1149" s="2" t="s">
        <v>27</v>
      </c>
      <c r="C1149" s="2" t="s">
        <v>28</v>
      </c>
      <c r="D1149" s="2" t="s">
        <v>3336</v>
      </c>
      <c r="E1149" s="3" t="s">
        <v>3337</v>
      </c>
      <c r="F1149" s="4" t="s">
        <v>38</v>
      </c>
      <c r="G1149" s="4" t="s">
        <v>39</v>
      </c>
      <c r="H1149" s="4" t="s">
        <v>40</v>
      </c>
      <c r="I1149" s="4" t="s">
        <v>561</v>
      </c>
      <c r="J1149" s="6"/>
      <c r="K1149" s="7"/>
      <c r="L1149" s="8" t="str">
        <f t="shared" si="142"/>
        <v>BUCARAMANGA</v>
      </c>
      <c r="O1149" s="10"/>
    </row>
    <row r="1150" ht="14.25" hidden="1" customHeight="1">
      <c r="A1150" s="13" t="s">
        <v>3338</v>
      </c>
      <c r="B1150" s="4" t="s">
        <v>27</v>
      </c>
      <c r="C1150" s="4" t="s">
        <v>28</v>
      </c>
      <c r="D1150" s="4" t="s">
        <v>3339</v>
      </c>
      <c r="E1150" s="4">
        <v>3.143074336E9</v>
      </c>
      <c r="F1150" s="4" t="s">
        <v>30</v>
      </c>
      <c r="G1150" s="4" t="s">
        <v>35</v>
      </c>
      <c r="H1150" s="14"/>
      <c r="I1150" s="4" t="s">
        <v>32</v>
      </c>
      <c r="J1150" s="14"/>
      <c r="K1150" s="14"/>
      <c r="L1150" s="14"/>
    </row>
    <row r="1151" ht="14.25" customHeight="1">
      <c r="A1151" s="1" t="s">
        <v>3340</v>
      </c>
      <c r="B1151" s="2" t="s">
        <v>27</v>
      </c>
      <c r="C1151" s="2" t="s">
        <v>28</v>
      </c>
      <c r="D1151" s="2" t="s">
        <v>3341</v>
      </c>
      <c r="E1151" s="3" t="s">
        <v>3342</v>
      </c>
      <c r="F1151" s="4" t="s">
        <v>38</v>
      </c>
      <c r="G1151" s="4" t="s">
        <v>39</v>
      </c>
      <c r="H1151" s="14"/>
      <c r="I1151" s="4" t="s">
        <v>540</v>
      </c>
      <c r="J1151" s="6"/>
      <c r="K1151" s="7"/>
      <c r="L1151" s="8" t="str">
        <f t="shared" ref="L1151:L1152" si="143">UPPER(G1151)</f>
        <v>BUCARAMANGA</v>
      </c>
      <c r="O1151" s="10"/>
    </row>
    <row r="1152" ht="14.25" customHeight="1">
      <c r="A1152" s="1" t="s">
        <v>3343</v>
      </c>
      <c r="B1152" s="2" t="s">
        <v>27</v>
      </c>
      <c r="C1152" s="2" t="s">
        <v>28</v>
      </c>
      <c r="D1152" s="2" t="s">
        <v>3344</v>
      </c>
      <c r="E1152" s="3" t="s">
        <v>2710</v>
      </c>
      <c r="F1152" s="4" t="s">
        <v>105</v>
      </c>
      <c r="G1152" s="4" t="s">
        <v>2711</v>
      </c>
      <c r="H1152" s="4" t="s">
        <v>2712</v>
      </c>
      <c r="I1152" s="4" t="s">
        <v>32</v>
      </c>
      <c r="J1152" s="6"/>
      <c r="K1152" s="7"/>
      <c r="L1152" s="8" t="str">
        <f t="shared" si="143"/>
        <v>ENVIGADO</v>
      </c>
      <c r="O1152" s="10"/>
    </row>
    <row r="1153" ht="14.25" hidden="1" customHeight="1">
      <c r="A1153" s="13" t="s">
        <v>3345</v>
      </c>
      <c r="B1153" s="4" t="s">
        <v>27</v>
      </c>
      <c r="C1153" s="4" t="s">
        <v>28</v>
      </c>
      <c r="D1153" s="4" t="s">
        <v>3346</v>
      </c>
      <c r="E1153" s="4">
        <v>3.229457091E9</v>
      </c>
      <c r="F1153" s="4" t="s">
        <v>30</v>
      </c>
      <c r="G1153" s="4" t="s">
        <v>35</v>
      </c>
      <c r="H1153" s="14"/>
      <c r="I1153" s="4" t="s">
        <v>32</v>
      </c>
      <c r="J1153" s="14"/>
      <c r="K1153" s="14"/>
      <c r="L1153" s="14"/>
    </row>
    <row r="1154" ht="14.25" hidden="1" customHeight="1">
      <c r="A1154" s="13" t="s">
        <v>3347</v>
      </c>
      <c r="B1154" s="4" t="s">
        <v>27</v>
      </c>
      <c r="C1154" s="4" t="s">
        <v>28</v>
      </c>
      <c r="D1154" s="4" t="s">
        <v>3348</v>
      </c>
      <c r="E1154" s="4">
        <v>3.104858589E9</v>
      </c>
      <c r="F1154" s="4" t="s">
        <v>30</v>
      </c>
      <c r="G1154" s="4" t="s">
        <v>31</v>
      </c>
      <c r="H1154" s="14"/>
      <c r="I1154" s="4" t="s">
        <v>32</v>
      </c>
      <c r="J1154" s="14"/>
      <c r="K1154" s="14"/>
      <c r="L1154" s="14"/>
    </row>
    <row r="1155" ht="14.25" hidden="1" customHeight="1">
      <c r="A1155" s="13" t="s">
        <v>3349</v>
      </c>
      <c r="B1155" s="4" t="s">
        <v>27</v>
      </c>
      <c r="C1155" s="4" t="s">
        <v>28</v>
      </c>
      <c r="D1155" s="4" t="s">
        <v>3350</v>
      </c>
      <c r="E1155" s="4">
        <v>3.2122694E9</v>
      </c>
      <c r="F1155" s="4" t="s">
        <v>30</v>
      </c>
      <c r="G1155" s="4" t="s">
        <v>35</v>
      </c>
      <c r="H1155" s="14"/>
      <c r="I1155" s="4" t="s">
        <v>32</v>
      </c>
      <c r="J1155" s="14"/>
      <c r="K1155" s="14"/>
      <c r="L1155" s="14"/>
    </row>
    <row r="1156" ht="14.25" hidden="1" customHeight="1">
      <c r="A1156" s="13" t="s">
        <v>3351</v>
      </c>
      <c r="B1156" s="4" t="s">
        <v>27</v>
      </c>
      <c r="C1156" s="4" t="s">
        <v>28</v>
      </c>
      <c r="D1156" s="4" t="s">
        <v>3352</v>
      </c>
      <c r="E1156" s="4">
        <v>3.102211527E9</v>
      </c>
      <c r="F1156" s="4" t="s">
        <v>30</v>
      </c>
      <c r="G1156" s="4" t="s">
        <v>35</v>
      </c>
      <c r="H1156" s="14"/>
      <c r="I1156" s="4" t="s">
        <v>32</v>
      </c>
      <c r="J1156" s="14"/>
      <c r="K1156" s="14"/>
      <c r="L1156" s="14"/>
    </row>
    <row r="1157" ht="14.25" customHeight="1">
      <c r="A1157" s="1" t="s">
        <v>3353</v>
      </c>
      <c r="B1157" s="2" t="s">
        <v>27</v>
      </c>
      <c r="C1157" s="2" t="s">
        <v>28</v>
      </c>
      <c r="D1157" s="2" t="s">
        <v>3354</v>
      </c>
      <c r="E1157" s="3" t="s">
        <v>3355</v>
      </c>
      <c r="F1157" s="4" t="s">
        <v>38</v>
      </c>
      <c r="G1157" s="4" t="s">
        <v>39</v>
      </c>
      <c r="H1157" s="4" t="s">
        <v>40</v>
      </c>
      <c r="I1157" s="4" t="s">
        <v>561</v>
      </c>
      <c r="J1157" s="6"/>
      <c r="K1157" s="7"/>
      <c r="L1157" s="8" t="str">
        <f>UPPER(G1157)</f>
        <v>BUCARAMANGA</v>
      </c>
      <c r="O1157" s="10"/>
    </row>
    <row r="1158" ht="14.25" hidden="1" customHeight="1">
      <c r="A1158" s="13" t="s">
        <v>3356</v>
      </c>
      <c r="B1158" s="4" t="s">
        <v>27</v>
      </c>
      <c r="C1158" s="4" t="s">
        <v>28</v>
      </c>
      <c r="D1158" s="4" t="s">
        <v>3357</v>
      </c>
      <c r="E1158" s="4">
        <v>3.102211527E9</v>
      </c>
      <c r="F1158" s="4" t="s">
        <v>30</v>
      </c>
      <c r="G1158" s="4" t="s">
        <v>35</v>
      </c>
      <c r="H1158" s="14"/>
      <c r="I1158" s="4" t="s">
        <v>32</v>
      </c>
      <c r="J1158" s="14"/>
      <c r="K1158" s="14"/>
      <c r="L1158" s="14"/>
    </row>
    <row r="1159" ht="14.25" customHeight="1">
      <c r="A1159" s="1" t="s">
        <v>3358</v>
      </c>
      <c r="B1159" s="2" t="s">
        <v>27</v>
      </c>
      <c r="C1159" s="2" t="s">
        <v>28</v>
      </c>
      <c r="D1159" s="2" t="s">
        <v>3359</v>
      </c>
      <c r="E1159" s="3" t="s">
        <v>975</v>
      </c>
      <c r="F1159" s="4" t="s">
        <v>69</v>
      </c>
      <c r="G1159" s="4" t="s">
        <v>69</v>
      </c>
      <c r="H1159" s="14"/>
      <c r="I1159" s="4" t="s">
        <v>51</v>
      </c>
      <c r="J1159" s="6"/>
      <c r="K1159" s="7"/>
      <c r="L1159" s="8" t="str">
        <f t="shared" ref="L1159:L1160" si="144">UPPER(G1159)</f>
        <v>BOGOTA</v>
      </c>
      <c r="O1159" s="10"/>
    </row>
    <row r="1160" ht="14.25" customHeight="1">
      <c r="A1160" s="1" t="s">
        <v>3360</v>
      </c>
      <c r="B1160" s="2" t="s">
        <v>27</v>
      </c>
      <c r="C1160" s="2" t="s">
        <v>28</v>
      </c>
      <c r="D1160" s="2" t="s">
        <v>3361</v>
      </c>
      <c r="E1160" s="3" t="s">
        <v>3362</v>
      </c>
      <c r="F1160" s="4" t="s">
        <v>38</v>
      </c>
      <c r="G1160" s="4" t="s">
        <v>39</v>
      </c>
      <c r="H1160" s="14"/>
      <c r="I1160" s="4" t="s">
        <v>164</v>
      </c>
      <c r="J1160" s="6"/>
      <c r="K1160" s="7"/>
      <c r="L1160" s="8" t="str">
        <f t="shared" si="144"/>
        <v>BUCARAMANGA</v>
      </c>
      <c r="O1160" s="10"/>
    </row>
    <row r="1161" ht="14.25" hidden="1" customHeight="1">
      <c r="A1161" s="13" t="s">
        <v>3363</v>
      </c>
      <c r="B1161" s="4" t="s">
        <v>27</v>
      </c>
      <c r="C1161" s="4" t="s">
        <v>28</v>
      </c>
      <c r="D1161" s="4" t="s">
        <v>3364</v>
      </c>
      <c r="E1161" s="4">
        <v>3.113867755E9</v>
      </c>
      <c r="F1161" s="4" t="s">
        <v>30</v>
      </c>
      <c r="G1161" s="4" t="s">
        <v>35</v>
      </c>
      <c r="H1161" s="14"/>
      <c r="I1161" s="4" t="s">
        <v>32</v>
      </c>
      <c r="J1161" s="14"/>
      <c r="K1161" s="14"/>
      <c r="L1161" s="14"/>
    </row>
    <row r="1162" ht="14.25" hidden="1" customHeight="1">
      <c r="A1162" s="13" t="s">
        <v>3365</v>
      </c>
      <c r="B1162" s="4" t="s">
        <v>27</v>
      </c>
      <c r="C1162" s="4" t="s">
        <v>28</v>
      </c>
      <c r="D1162" s="4" t="s">
        <v>3366</v>
      </c>
      <c r="E1162" s="4">
        <v>3.22292338E9</v>
      </c>
      <c r="F1162" s="4" t="s">
        <v>30</v>
      </c>
      <c r="G1162" s="4" t="s">
        <v>31</v>
      </c>
      <c r="H1162" s="14"/>
      <c r="I1162" s="4" t="s">
        <v>32</v>
      </c>
      <c r="J1162" s="14"/>
      <c r="K1162" s="14"/>
      <c r="L1162" s="14"/>
    </row>
    <row r="1163" ht="14.25" hidden="1" customHeight="1">
      <c r="A1163" s="13" t="s">
        <v>3367</v>
      </c>
      <c r="B1163" s="4" t="s">
        <v>27</v>
      </c>
      <c r="C1163" s="4" t="s">
        <v>28</v>
      </c>
      <c r="D1163" s="4" t="s">
        <v>3368</v>
      </c>
      <c r="E1163" s="4">
        <v>3.113867755E9</v>
      </c>
      <c r="F1163" s="4" t="s">
        <v>30</v>
      </c>
      <c r="G1163" s="4" t="s">
        <v>35</v>
      </c>
      <c r="H1163" s="14"/>
      <c r="I1163" s="4" t="s">
        <v>32</v>
      </c>
      <c r="J1163" s="14"/>
      <c r="K1163" s="14"/>
      <c r="L1163" s="14"/>
    </row>
    <row r="1164" ht="14.25" customHeight="1">
      <c r="A1164" s="1" t="s">
        <v>3369</v>
      </c>
      <c r="B1164" s="2" t="s">
        <v>27</v>
      </c>
      <c r="C1164" s="2" t="s">
        <v>28</v>
      </c>
      <c r="D1164" s="2" t="s">
        <v>3370</v>
      </c>
      <c r="E1164" s="3" t="s">
        <v>3371</v>
      </c>
      <c r="F1164" s="4" t="s">
        <v>38</v>
      </c>
      <c r="G1164" s="4" t="s">
        <v>113</v>
      </c>
      <c r="H1164" s="4" t="s">
        <v>357</v>
      </c>
      <c r="I1164" s="4" t="s">
        <v>358</v>
      </c>
      <c r="J1164" s="6"/>
      <c r="K1164" s="7"/>
      <c r="L1164" s="8" t="str">
        <f>UPPER(G1164)</f>
        <v>BARRANCABERMEJA</v>
      </c>
      <c r="O1164" s="10"/>
    </row>
    <row r="1165" ht="14.25" hidden="1" customHeight="1">
      <c r="A1165" s="13" t="s">
        <v>3372</v>
      </c>
      <c r="B1165" s="4" t="s">
        <v>27</v>
      </c>
      <c r="C1165" s="4" t="s">
        <v>28</v>
      </c>
      <c r="D1165" s="4" t="s">
        <v>3370</v>
      </c>
      <c r="E1165" s="4">
        <v>3.118713141E9</v>
      </c>
      <c r="F1165" s="4" t="s">
        <v>30</v>
      </c>
      <c r="G1165" s="4" t="s">
        <v>35</v>
      </c>
      <c r="H1165" s="14"/>
      <c r="I1165" s="4" t="s">
        <v>32</v>
      </c>
      <c r="J1165" s="14"/>
      <c r="K1165" s="14"/>
      <c r="L1165" s="14"/>
    </row>
    <row r="1166" ht="14.25" hidden="1" customHeight="1">
      <c r="A1166" s="13" t="s">
        <v>3373</v>
      </c>
      <c r="B1166" s="4" t="s">
        <v>27</v>
      </c>
      <c r="C1166" s="4" t="s">
        <v>28</v>
      </c>
      <c r="D1166" s="4" t="s">
        <v>3374</v>
      </c>
      <c r="E1166" s="4">
        <v>3.102211527E9</v>
      </c>
      <c r="F1166" s="4" t="s">
        <v>30</v>
      </c>
      <c r="G1166" s="4" t="s">
        <v>35</v>
      </c>
      <c r="H1166" s="14"/>
      <c r="I1166" s="4" t="s">
        <v>32</v>
      </c>
      <c r="J1166" s="14"/>
      <c r="K1166" s="14"/>
      <c r="L1166" s="14"/>
    </row>
    <row r="1167" ht="14.25" customHeight="1">
      <c r="A1167" s="1" t="s">
        <v>3375</v>
      </c>
      <c r="B1167" s="2" t="s">
        <v>27</v>
      </c>
      <c r="C1167" s="2" t="s">
        <v>66</v>
      </c>
      <c r="D1167" s="2" t="s">
        <v>3376</v>
      </c>
      <c r="E1167" s="3" t="s">
        <v>3377</v>
      </c>
      <c r="F1167" s="4" t="s">
        <v>38</v>
      </c>
      <c r="G1167" s="4" t="s">
        <v>1839</v>
      </c>
      <c r="H1167" s="14"/>
      <c r="I1167" s="4" t="s">
        <v>164</v>
      </c>
      <c r="J1167" s="6"/>
      <c r="K1167" s="7"/>
      <c r="L1167" s="8" t="str">
        <f t="shared" ref="L1167:L1169" si="145">UPPER(G1167)</f>
        <v>SOCORRO</v>
      </c>
      <c r="O1167" s="10"/>
    </row>
    <row r="1168" ht="14.25" customHeight="1">
      <c r="A1168" s="1" t="s">
        <v>3378</v>
      </c>
      <c r="B1168" s="2" t="s">
        <v>27</v>
      </c>
      <c r="C1168" s="2" t="s">
        <v>28</v>
      </c>
      <c r="D1168" s="2" t="s">
        <v>3379</v>
      </c>
      <c r="E1168" s="3" t="s">
        <v>3380</v>
      </c>
      <c r="F1168" s="4" t="s">
        <v>38</v>
      </c>
      <c r="G1168" s="4" t="s">
        <v>39</v>
      </c>
      <c r="H1168" s="14"/>
      <c r="I1168" s="4" t="s">
        <v>76</v>
      </c>
      <c r="J1168" s="6"/>
      <c r="K1168" s="7"/>
      <c r="L1168" s="8" t="str">
        <f t="shared" si="145"/>
        <v>BUCARAMANGA</v>
      </c>
      <c r="O1168" s="10"/>
    </row>
    <row r="1169" ht="14.25" customHeight="1">
      <c r="A1169" s="1" t="s">
        <v>3381</v>
      </c>
      <c r="B1169" s="2" t="s">
        <v>27</v>
      </c>
      <c r="C1169" s="2" t="s">
        <v>28</v>
      </c>
      <c r="D1169" s="2" t="s">
        <v>3382</v>
      </c>
      <c r="E1169" s="3" t="s">
        <v>3383</v>
      </c>
      <c r="F1169" s="4" t="s">
        <v>38</v>
      </c>
      <c r="G1169" s="4" t="s">
        <v>39</v>
      </c>
      <c r="H1169" s="4" t="s">
        <v>40</v>
      </c>
      <c r="I1169" s="4" t="s">
        <v>561</v>
      </c>
      <c r="J1169" s="6"/>
      <c r="K1169" s="7"/>
      <c r="L1169" s="8" t="str">
        <f t="shared" si="145"/>
        <v>BUCARAMANGA</v>
      </c>
      <c r="O1169" s="10"/>
    </row>
    <row r="1170" ht="14.25" hidden="1" customHeight="1">
      <c r="A1170" s="13" t="s">
        <v>3384</v>
      </c>
      <c r="B1170" s="4" t="s">
        <v>27</v>
      </c>
      <c r="C1170" s="4" t="s">
        <v>28</v>
      </c>
      <c r="D1170" s="4" t="s">
        <v>3385</v>
      </c>
      <c r="E1170" s="4">
        <v>3.102210527E9</v>
      </c>
      <c r="F1170" s="4" t="s">
        <v>30</v>
      </c>
      <c r="G1170" s="4" t="s">
        <v>35</v>
      </c>
      <c r="H1170" s="14"/>
      <c r="I1170" s="4" t="s">
        <v>32</v>
      </c>
      <c r="J1170" s="14"/>
      <c r="K1170" s="14"/>
      <c r="L1170" s="14"/>
    </row>
    <row r="1171" ht="14.25" hidden="1" customHeight="1">
      <c r="A1171" s="13" t="s">
        <v>3386</v>
      </c>
      <c r="B1171" s="4" t="s">
        <v>27</v>
      </c>
      <c r="C1171" s="4" t="s">
        <v>28</v>
      </c>
      <c r="D1171" s="4" t="s">
        <v>3387</v>
      </c>
      <c r="E1171" s="4">
        <v>3.118713141E9</v>
      </c>
      <c r="F1171" s="4" t="s">
        <v>30</v>
      </c>
      <c r="G1171" s="4" t="s">
        <v>35</v>
      </c>
      <c r="H1171" s="14"/>
      <c r="I1171" s="4" t="s">
        <v>32</v>
      </c>
      <c r="J1171" s="14"/>
      <c r="K1171" s="14"/>
      <c r="L1171" s="14"/>
    </row>
    <row r="1172" ht="14.25" customHeight="1">
      <c r="A1172" s="1" t="s">
        <v>3388</v>
      </c>
      <c r="B1172" s="2" t="s">
        <v>27</v>
      </c>
      <c r="C1172" s="2" t="s">
        <v>28</v>
      </c>
      <c r="D1172" s="2" t="s">
        <v>3389</v>
      </c>
      <c r="E1172" s="3" t="s">
        <v>3390</v>
      </c>
      <c r="F1172" s="4" t="s">
        <v>38</v>
      </c>
      <c r="G1172" s="4" t="s">
        <v>81</v>
      </c>
      <c r="H1172" s="36"/>
      <c r="I1172" s="4" t="s">
        <v>164</v>
      </c>
      <c r="J1172" s="6" t="s">
        <v>3391</v>
      </c>
      <c r="K1172" s="7">
        <v>2.0</v>
      </c>
      <c r="L1172" s="8" t="str">
        <f t="shared" ref="L1172:L1173" si="146">UPPER(G1172)</f>
        <v>FLORIDABLANCA</v>
      </c>
      <c r="O1172" s="10"/>
    </row>
    <row r="1173" ht="14.25" customHeight="1">
      <c r="A1173" s="1" t="s">
        <v>3392</v>
      </c>
      <c r="B1173" s="2" t="s">
        <v>27</v>
      </c>
      <c r="C1173" s="2" t="s">
        <v>28</v>
      </c>
      <c r="D1173" s="2" t="s">
        <v>3393</v>
      </c>
      <c r="E1173" s="3" t="s">
        <v>3394</v>
      </c>
      <c r="F1173" s="4" t="s">
        <v>69</v>
      </c>
      <c r="G1173" s="4" t="s">
        <v>69</v>
      </c>
      <c r="H1173" s="36"/>
      <c r="I1173" s="4" t="s">
        <v>51</v>
      </c>
      <c r="J1173" s="6" t="s">
        <v>3395</v>
      </c>
      <c r="K1173" s="7">
        <v>17.0</v>
      </c>
      <c r="L1173" s="8" t="str">
        <f t="shared" si="146"/>
        <v>BOGOTA</v>
      </c>
      <c r="O1173" s="10"/>
    </row>
    <row r="1174" ht="14.25" hidden="1" customHeight="1">
      <c r="A1174" s="13" t="s">
        <v>3396</v>
      </c>
      <c r="B1174" s="4" t="s">
        <v>27</v>
      </c>
      <c r="C1174" s="4" t="s">
        <v>28</v>
      </c>
      <c r="D1174" s="4" t="s">
        <v>3397</v>
      </c>
      <c r="E1174" s="4">
        <v>3.22292338E9</v>
      </c>
      <c r="F1174" s="4" t="s">
        <v>30</v>
      </c>
      <c r="G1174" s="4" t="s">
        <v>31</v>
      </c>
      <c r="H1174" s="14"/>
      <c r="I1174" s="4" t="s">
        <v>32</v>
      </c>
      <c r="J1174" s="14"/>
      <c r="K1174" s="14"/>
      <c r="L1174" s="14"/>
    </row>
    <row r="1175" ht="14.25" customHeight="1">
      <c r="A1175" s="1" t="s">
        <v>3398</v>
      </c>
      <c r="B1175" s="2" t="s">
        <v>27</v>
      </c>
      <c r="C1175" s="2" t="s">
        <v>28</v>
      </c>
      <c r="D1175" s="2" t="s">
        <v>3399</v>
      </c>
      <c r="E1175" s="3" t="s">
        <v>3400</v>
      </c>
      <c r="F1175" s="4" t="s">
        <v>38</v>
      </c>
      <c r="G1175" s="4" t="s">
        <v>39</v>
      </c>
      <c r="H1175" s="37"/>
      <c r="I1175" s="4" t="s">
        <v>76</v>
      </c>
      <c r="J1175" s="6"/>
      <c r="K1175" s="7"/>
      <c r="L1175" s="8" t="str">
        <f t="shared" ref="L1175:L1177" si="147">UPPER(G1175)</f>
        <v>BUCARAMANGA</v>
      </c>
      <c r="O1175" s="10"/>
    </row>
    <row r="1176" ht="14.25" customHeight="1">
      <c r="A1176" s="1" t="s">
        <v>3401</v>
      </c>
      <c r="B1176" s="2" t="s">
        <v>27</v>
      </c>
      <c r="C1176" s="2" t="s">
        <v>28</v>
      </c>
      <c r="D1176" s="2" t="s">
        <v>3402</v>
      </c>
      <c r="E1176" s="3" t="s">
        <v>3403</v>
      </c>
      <c r="F1176" s="4" t="s">
        <v>38</v>
      </c>
      <c r="G1176" s="4" t="s">
        <v>113</v>
      </c>
      <c r="H1176" s="36"/>
      <c r="I1176" s="4" t="s">
        <v>76</v>
      </c>
      <c r="J1176" s="6" t="s">
        <v>3404</v>
      </c>
      <c r="K1176" s="7">
        <v>6.0</v>
      </c>
      <c r="L1176" s="8" t="str">
        <f t="shared" si="147"/>
        <v>BARRANCABERMEJA</v>
      </c>
      <c r="O1176" s="10"/>
    </row>
    <row r="1177" ht="14.25" customHeight="1">
      <c r="A1177" s="1" t="s">
        <v>3405</v>
      </c>
      <c r="B1177" s="2" t="s">
        <v>27</v>
      </c>
      <c r="C1177" s="2" t="s">
        <v>28</v>
      </c>
      <c r="D1177" s="2" t="s">
        <v>3406</v>
      </c>
      <c r="E1177" s="3" t="s">
        <v>3249</v>
      </c>
      <c r="F1177" s="4" t="s">
        <v>38</v>
      </c>
      <c r="G1177" s="4" t="s">
        <v>39</v>
      </c>
      <c r="H1177" s="36"/>
      <c r="I1177" s="4" t="s">
        <v>76</v>
      </c>
      <c r="J1177" s="6" t="s">
        <v>243</v>
      </c>
      <c r="K1177" s="7">
        <v>33.0</v>
      </c>
      <c r="L1177" s="8" t="str">
        <f t="shared" si="147"/>
        <v>BUCARAMANGA</v>
      </c>
      <c r="O1177" s="10"/>
    </row>
    <row r="1178" ht="14.25" hidden="1" customHeight="1">
      <c r="A1178" s="13" t="s">
        <v>3407</v>
      </c>
      <c r="B1178" s="4" t="s">
        <v>27</v>
      </c>
      <c r="C1178" s="4" t="s">
        <v>28</v>
      </c>
      <c r="D1178" s="4" t="s">
        <v>3408</v>
      </c>
      <c r="E1178" s="4">
        <v>3.112886292E9</v>
      </c>
      <c r="F1178" s="4" t="s">
        <v>30</v>
      </c>
      <c r="G1178" s="4" t="s">
        <v>35</v>
      </c>
      <c r="H1178" s="14"/>
      <c r="I1178" s="4" t="s">
        <v>32</v>
      </c>
      <c r="J1178" s="14"/>
      <c r="K1178" s="14"/>
      <c r="L1178" s="14"/>
    </row>
    <row r="1179" ht="14.25" customHeight="1">
      <c r="A1179" s="1" t="s">
        <v>3409</v>
      </c>
      <c r="B1179" s="2" t="s">
        <v>27</v>
      </c>
      <c r="C1179" s="2" t="s">
        <v>28</v>
      </c>
      <c r="D1179" s="2" t="s">
        <v>3410</v>
      </c>
      <c r="E1179" s="3" t="s">
        <v>3411</v>
      </c>
      <c r="F1179" s="4" t="s">
        <v>2317</v>
      </c>
      <c r="G1179" s="4" t="s">
        <v>3412</v>
      </c>
      <c r="H1179" s="36"/>
      <c r="I1179" s="4" t="s">
        <v>164</v>
      </c>
      <c r="J1179" s="6" t="s">
        <v>171</v>
      </c>
      <c r="K1179" s="7">
        <v>12.0</v>
      </c>
      <c r="L1179" s="8" t="str">
        <f>UPPER(G1179)</f>
        <v>CUMARIBO</v>
      </c>
      <c r="O1179" s="10"/>
    </row>
    <row r="1180" ht="14.25" hidden="1" customHeight="1">
      <c r="A1180" s="13" t="s">
        <v>3413</v>
      </c>
      <c r="B1180" s="4" t="s">
        <v>27</v>
      </c>
      <c r="C1180" s="4" t="s">
        <v>28</v>
      </c>
      <c r="D1180" s="4" t="s">
        <v>3414</v>
      </c>
      <c r="E1180" s="4">
        <v>3.22292338E9</v>
      </c>
      <c r="F1180" s="4" t="s">
        <v>30</v>
      </c>
      <c r="G1180" s="4" t="s">
        <v>31</v>
      </c>
      <c r="H1180" s="14"/>
      <c r="I1180" s="4" t="s">
        <v>32</v>
      </c>
      <c r="J1180" s="14"/>
      <c r="K1180" s="14"/>
      <c r="L1180" s="14"/>
    </row>
    <row r="1181" ht="14.25" hidden="1" customHeight="1">
      <c r="A1181" s="13" t="s">
        <v>3415</v>
      </c>
      <c r="B1181" s="4" t="s">
        <v>27</v>
      </c>
      <c r="C1181" s="4" t="s">
        <v>28</v>
      </c>
      <c r="D1181" s="4" t="s">
        <v>3416</v>
      </c>
      <c r="E1181" s="4">
        <v>3.118713141E9</v>
      </c>
      <c r="F1181" s="4" t="s">
        <v>30</v>
      </c>
      <c r="G1181" s="4" t="s">
        <v>35</v>
      </c>
      <c r="H1181" s="14"/>
      <c r="I1181" s="4" t="s">
        <v>32</v>
      </c>
      <c r="J1181" s="14"/>
      <c r="K1181" s="14"/>
      <c r="L1181" s="14"/>
    </row>
    <row r="1182" ht="14.25" customHeight="1">
      <c r="A1182" s="1" t="s">
        <v>3417</v>
      </c>
      <c r="B1182" s="2" t="s">
        <v>27</v>
      </c>
      <c r="C1182" s="2" t="s">
        <v>28</v>
      </c>
      <c r="D1182" s="2" t="s">
        <v>3418</v>
      </c>
      <c r="E1182" s="3" t="s">
        <v>3419</v>
      </c>
      <c r="F1182" s="4" t="s">
        <v>38</v>
      </c>
      <c r="G1182" s="4" t="s">
        <v>39</v>
      </c>
      <c r="H1182" s="37" t="s">
        <v>58</v>
      </c>
      <c r="I1182" s="4" t="s">
        <v>182</v>
      </c>
      <c r="J1182" s="6" t="s">
        <v>3420</v>
      </c>
      <c r="K1182" s="7">
        <v>3.0</v>
      </c>
      <c r="L1182" s="8" t="str">
        <f>UPPER(G1182)</f>
        <v>BUCARAMANGA</v>
      </c>
      <c r="O1182" s="10"/>
    </row>
    <row r="1183" ht="14.25" hidden="1" customHeight="1">
      <c r="A1183" s="13" t="s">
        <v>3421</v>
      </c>
      <c r="B1183" s="4" t="s">
        <v>27</v>
      </c>
      <c r="C1183" s="4" t="s">
        <v>28</v>
      </c>
      <c r="D1183" s="4" t="s">
        <v>3422</v>
      </c>
      <c r="E1183" s="4">
        <v>3.2246474E9</v>
      </c>
      <c r="F1183" s="4" t="s">
        <v>30</v>
      </c>
      <c r="G1183" s="4" t="s">
        <v>35</v>
      </c>
      <c r="H1183" s="14"/>
      <c r="I1183" s="4" t="s">
        <v>32</v>
      </c>
      <c r="J1183" s="14"/>
      <c r="K1183" s="14"/>
      <c r="L1183" s="14"/>
    </row>
    <row r="1184" ht="14.25" hidden="1" customHeight="1">
      <c r="A1184" s="13" t="s">
        <v>3423</v>
      </c>
      <c r="B1184" s="4" t="s">
        <v>27</v>
      </c>
      <c r="C1184" s="4" t="s">
        <v>28</v>
      </c>
      <c r="D1184" s="4" t="s">
        <v>3424</v>
      </c>
      <c r="E1184" s="4">
        <v>3.125540939E9</v>
      </c>
      <c r="F1184" s="4" t="s">
        <v>30</v>
      </c>
      <c r="G1184" s="4" t="s">
        <v>35</v>
      </c>
      <c r="H1184" s="14"/>
      <c r="I1184" s="4" t="s">
        <v>32</v>
      </c>
      <c r="J1184" s="14"/>
      <c r="K1184" s="14"/>
      <c r="L1184" s="14"/>
    </row>
    <row r="1185" ht="14.25" customHeight="1">
      <c r="A1185" s="1" t="s">
        <v>3425</v>
      </c>
      <c r="B1185" s="2" t="s">
        <v>27</v>
      </c>
      <c r="C1185" s="2" t="s">
        <v>28</v>
      </c>
      <c r="D1185" s="2" t="s">
        <v>3426</v>
      </c>
      <c r="E1185" s="3" t="s">
        <v>3427</v>
      </c>
      <c r="F1185" s="4" t="s">
        <v>38</v>
      </c>
      <c r="G1185" s="4" t="s">
        <v>113</v>
      </c>
      <c r="H1185" s="37" t="s">
        <v>3428</v>
      </c>
      <c r="I1185" s="4" t="s">
        <v>540</v>
      </c>
      <c r="J1185" s="6" t="s">
        <v>3429</v>
      </c>
      <c r="K1185" s="7">
        <v>6.0</v>
      </c>
      <c r="L1185" s="8" t="str">
        <f>UPPER(G1185)</f>
        <v>BARRANCABERMEJA</v>
      </c>
      <c r="O1185" s="10"/>
    </row>
    <row r="1186" ht="14.25" hidden="1" customHeight="1">
      <c r="A1186" s="13" t="s">
        <v>3430</v>
      </c>
      <c r="B1186" s="4" t="s">
        <v>27</v>
      </c>
      <c r="C1186" s="4" t="s">
        <v>28</v>
      </c>
      <c r="D1186" s="4" t="s">
        <v>3431</v>
      </c>
      <c r="E1186" s="4">
        <v>3.22292338E9</v>
      </c>
      <c r="F1186" s="4" t="s">
        <v>30</v>
      </c>
      <c r="G1186" s="4" t="s">
        <v>31</v>
      </c>
      <c r="H1186" s="14"/>
      <c r="I1186" s="4" t="s">
        <v>32</v>
      </c>
      <c r="J1186" s="14"/>
      <c r="K1186" s="14"/>
      <c r="L1186" s="14"/>
    </row>
    <row r="1187" ht="14.25" hidden="1" customHeight="1">
      <c r="A1187" s="13" t="s">
        <v>3432</v>
      </c>
      <c r="B1187" s="4" t="s">
        <v>27</v>
      </c>
      <c r="C1187" s="4" t="s">
        <v>28</v>
      </c>
      <c r="D1187" s="4" t="s">
        <v>3433</v>
      </c>
      <c r="E1187" s="4">
        <v>3.119713141E9</v>
      </c>
      <c r="F1187" s="4" t="s">
        <v>30</v>
      </c>
      <c r="G1187" s="4" t="s">
        <v>31</v>
      </c>
      <c r="H1187" s="14"/>
      <c r="I1187" s="4" t="s">
        <v>32</v>
      </c>
      <c r="J1187" s="14"/>
      <c r="K1187" s="14"/>
      <c r="L1187" s="14"/>
    </row>
    <row r="1188" ht="14.25" customHeight="1">
      <c r="A1188" s="1" t="s">
        <v>3434</v>
      </c>
      <c r="B1188" s="2" t="s">
        <v>27</v>
      </c>
      <c r="C1188" s="2" t="s">
        <v>28</v>
      </c>
      <c r="D1188" s="2" t="s">
        <v>3435</v>
      </c>
      <c r="E1188" s="3" t="s">
        <v>3436</v>
      </c>
      <c r="F1188" s="4" t="s">
        <v>38</v>
      </c>
      <c r="G1188" s="4" t="s">
        <v>39</v>
      </c>
      <c r="H1188" s="37" t="s">
        <v>40</v>
      </c>
      <c r="I1188" s="4" t="s">
        <v>561</v>
      </c>
      <c r="J1188" s="6" t="s">
        <v>250</v>
      </c>
      <c r="K1188" s="7">
        <v>14.0</v>
      </c>
      <c r="L1188" s="8" t="str">
        <f t="shared" ref="L1188:L1194" si="148">UPPER(G1188)</f>
        <v>BUCARAMANGA</v>
      </c>
      <c r="O1188" s="10"/>
    </row>
    <row r="1189" ht="14.25" customHeight="1">
      <c r="A1189" s="1" t="s">
        <v>3437</v>
      </c>
      <c r="B1189" s="2" t="s">
        <v>27</v>
      </c>
      <c r="C1189" s="2" t="s">
        <v>28</v>
      </c>
      <c r="D1189" s="2" t="s">
        <v>3438</v>
      </c>
      <c r="E1189" s="3" t="s">
        <v>3439</v>
      </c>
      <c r="F1189" s="4" t="s">
        <v>38</v>
      </c>
      <c r="G1189" s="4" t="s">
        <v>39</v>
      </c>
      <c r="H1189" s="37" t="s">
        <v>40</v>
      </c>
      <c r="I1189" s="4" t="s">
        <v>561</v>
      </c>
      <c r="J1189" s="6" t="s">
        <v>328</v>
      </c>
      <c r="K1189" s="7">
        <v>28.0</v>
      </c>
      <c r="L1189" s="8" t="str">
        <f t="shared" si="148"/>
        <v>BUCARAMANGA</v>
      </c>
      <c r="O1189" s="10"/>
    </row>
    <row r="1190" ht="14.25" customHeight="1">
      <c r="A1190" s="1" t="s">
        <v>3440</v>
      </c>
      <c r="B1190" s="2" t="s">
        <v>27</v>
      </c>
      <c r="C1190" s="2" t="s">
        <v>28</v>
      </c>
      <c r="D1190" s="2" t="s">
        <v>3441</v>
      </c>
      <c r="E1190" s="3" t="s">
        <v>3442</v>
      </c>
      <c r="F1190" s="4" t="s">
        <v>38</v>
      </c>
      <c r="G1190" s="4" t="s">
        <v>39</v>
      </c>
      <c r="H1190" s="36"/>
      <c r="I1190" s="4" t="s">
        <v>76</v>
      </c>
      <c r="J1190" s="6" t="s">
        <v>99</v>
      </c>
      <c r="K1190" s="7">
        <v>21.0</v>
      </c>
      <c r="L1190" s="8" t="str">
        <f t="shared" si="148"/>
        <v>BUCARAMANGA</v>
      </c>
      <c r="O1190" s="10"/>
    </row>
    <row r="1191" ht="14.25" customHeight="1">
      <c r="A1191" s="1" t="s">
        <v>3443</v>
      </c>
      <c r="B1191" s="2" t="s">
        <v>27</v>
      </c>
      <c r="C1191" s="2" t="s">
        <v>28</v>
      </c>
      <c r="D1191" s="2" t="s">
        <v>3444</v>
      </c>
      <c r="E1191" s="3" t="s">
        <v>3445</v>
      </c>
      <c r="F1191" s="4" t="s">
        <v>38</v>
      </c>
      <c r="G1191" s="4" t="s">
        <v>81</v>
      </c>
      <c r="H1191" s="37" t="s">
        <v>308</v>
      </c>
      <c r="I1191" s="4" t="s">
        <v>561</v>
      </c>
      <c r="J1191" s="6" t="s">
        <v>3446</v>
      </c>
      <c r="K1191" s="7">
        <v>9.0</v>
      </c>
      <c r="L1191" s="8" t="str">
        <f t="shared" si="148"/>
        <v>FLORIDABLANCA</v>
      </c>
      <c r="O1191" s="10"/>
    </row>
    <row r="1192" ht="14.25" customHeight="1">
      <c r="A1192" s="1" t="s">
        <v>3447</v>
      </c>
      <c r="B1192" s="2" t="s">
        <v>27</v>
      </c>
      <c r="C1192" s="2" t="s">
        <v>28</v>
      </c>
      <c r="D1192" s="2" t="s">
        <v>3448</v>
      </c>
      <c r="E1192" s="3" t="s">
        <v>3449</v>
      </c>
      <c r="F1192" s="4" t="s">
        <v>455</v>
      </c>
      <c r="G1192" s="4" t="s">
        <v>3450</v>
      </c>
      <c r="H1192" s="36"/>
      <c r="I1192" s="4" t="s">
        <v>76</v>
      </c>
      <c r="J1192" s="6" t="s">
        <v>3451</v>
      </c>
      <c r="K1192" s="7">
        <v>20.0</v>
      </c>
      <c r="L1192" s="8" t="str">
        <f t="shared" si="148"/>
        <v>VALLEDUP¿AR</v>
      </c>
      <c r="O1192" s="10"/>
    </row>
    <row r="1193" ht="14.25" customHeight="1">
      <c r="A1193" s="1" t="s">
        <v>3452</v>
      </c>
      <c r="B1193" s="2" t="s">
        <v>27</v>
      </c>
      <c r="C1193" s="2" t="s">
        <v>28</v>
      </c>
      <c r="D1193" s="2" t="s">
        <v>3453</v>
      </c>
      <c r="E1193" s="3" t="s">
        <v>3454</v>
      </c>
      <c r="F1193" s="4" t="s">
        <v>38</v>
      </c>
      <c r="G1193" s="4" t="s">
        <v>39</v>
      </c>
      <c r="H1193" s="36"/>
      <c r="I1193" s="4" t="s">
        <v>76</v>
      </c>
      <c r="J1193" s="6" t="s">
        <v>481</v>
      </c>
      <c r="K1193" s="7">
        <v>12.0</v>
      </c>
      <c r="L1193" s="8" t="str">
        <f t="shared" si="148"/>
        <v>BUCARAMANGA</v>
      </c>
      <c r="O1193" s="10"/>
    </row>
    <row r="1194" ht="14.25" customHeight="1">
      <c r="A1194" s="1" t="s">
        <v>3455</v>
      </c>
      <c r="B1194" s="2" t="s">
        <v>27</v>
      </c>
      <c r="C1194" s="2" t="s">
        <v>28</v>
      </c>
      <c r="D1194" s="2" t="s">
        <v>3456</v>
      </c>
      <c r="E1194" s="3" t="s">
        <v>3457</v>
      </c>
      <c r="F1194" s="4" t="s">
        <v>38</v>
      </c>
      <c r="G1194" s="4" t="s">
        <v>113</v>
      </c>
      <c r="H1194" s="36"/>
      <c r="I1194" s="4" t="s">
        <v>358</v>
      </c>
      <c r="J1194" s="6" t="s">
        <v>3458</v>
      </c>
      <c r="K1194" s="7">
        <v>4.0</v>
      </c>
      <c r="L1194" s="8" t="str">
        <f t="shared" si="148"/>
        <v>BARRANCABERMEJA</v>
      </c>
      <c r="O1194" s="10"/>
    </row>
    <row r="1195" ht="14.25" hidden="1" customHeight="1">
      <c r="A1195" s="13" t="s">
        <v>3459</v>
      </c>
      <c r="B1195" s="4" t="s">
        <v>27</v>
      </c>
      <c r="C1195" s="4" t="s">
        <v>28</v>
      </c>
      <c r="D1195" s="4" t="s">
        <v>3460</v>
      </c>
      <c r="E1195" s="4">
        <v>3.118713141E9</v>
      </c>
      <c r="F1195" s="4" t="s">
        <v>30</v>
      </c>
      <c r="G1195" s="4" t="s">
        <v>31</v>
      </c>
      <c r="H1195" s="14"/>
      <c r="I1195" s="4" t="s">
        <v>32</v>
      </c>
      <c r="J1195" s="14"/>
      <c r="K1195" s="14"/>
      <c r="L1195" s="14"/>
    </row>
    <row r="1196" ht="14.25" hidden="1" customHeight="1">
      <c r="A1196" s="13" t="s">
        <v>3461</v>
      </c>
      <c r="B1196" s="4" t="s">
        <v>27</v>
      </c>
      <c r="C1196" s="4" t="s">
        <v>28</v>
      </c>
      <c r="D1196" s="4" t="s">
        <v>3462</v>
      </c>
      <c r="E1196" s="4">
        <v>3.118713141E9</v>
      </c>
      <c r="F1196" s="4" t="s">
        <v>30</v>
      </c>
      <c r="G1196" s="4" t="s">
        <v>35</v>
      </c>
      <c r="H1196" s="14"/>
      <c r="I1196" s="4" t="s">
        <v>32</v>
      </c>
      <c r="J1196" s="14"/>
      <c r="K1196" s="14"/>
      <c r="L1196" s="14"/>
    </row>
    <row r="1197" ht="14.25" customHeight="1">
      <c r="A1197" s="1" t="s">
        <v>3463</v>
      </c>
      <c r="B1197" s="2" t="s">
        <v>27</v>
      </c>
      <c r="C1197" s="2" t="s">
        <v>28</v>
      </c>
      <c r="D1197" s="2" t="s">
        <v>3464</v>
      </c>
      <c r="E1197" s="3" t="s">
        <v>3465</v>
      </c>
      <c r="F1197" s="4" t="s">
        <v>38</v>
      </c>
      <c r="G1197" s="4" t="s">
        <v>81</v>
      </c>
      <c r="H1197" s="37" t="s">
        <v>1342</v>
      </c>
      <c r="I1197" s="4" t="s">
        <v>561</v>
      </c>
      <c r="J1197" s="6" t="s">
        <v>253</v>
      </c>
      <c r="K1197" s="7">
        <v>2.0</v>
      </c>
      <c r="L1197" s="8" t="str">
        <f t="shared" ref="L1197:L1198" si="149">UPPER(G1197)</f>
        <v>FLORIDABLANCA</v>
      </c>
      <c r="O1197" s="10"/>
    </row>
    <row r="1198" ht="14.25" customHeight="1">
      <c r="A1198" s="1" t="s">
        <v>3466</v>
      </c>
      <c r="B1198" s="2" t="s">
        <v>27</v>
      </c>
      <c r="C1198" s="2" t="s">
        <v>28</v>
      </c>
      <c r="D1198" s="2" t="s">
        <v>3467</v>
      </c>
      <c r="E1198" s="3" t="s">
        <v>3468</v>
      </c>
      <c r="F1198" s="4" t="s">
        <v>38</v>
      </c>
      <c r="G1198" s="4" t="s">
        <v>75</v>
      </c>
      <c r="H1198" s="37" t="s">
        <v>2163</v>
      </c>
      <c r="I1198" s="4" t="s">
        <v>561</v>
      </c>
      <c r="J1198" s="6" t="s">
        <v>3469</v>
      </c>
      <c r="K1198" s="7">
        <v>18.0</v>
      </c>
      <c r="L1198" s="8" t="str">
        <f t="shared" si="149"/>
        <v>GIRON</v>
      </c>
      <c r="O1198" s="10"/>
    </row>
    <row r="1199" ht="14.25" hidden="1" customHeight="1">
      <c r="A1199" s="13" t="s">
        <v>3470</v>
      </c>
      <c r="B1199" s="4" t="s">
        <v>27</v>
      </c>
      <c r="C1199" s="4" t="s">
        <v>28</v>
      </c>
      <c r="D1199" s="4" t="s">
        <v>3471</v>
      </c>
      <c r="E1199" s="4">
        <v>3.22292338E9</v>
      </c>
      <c r="F1199" s="4" t="s">
        <v>30</v>
      </c>
      <c r="G1199" s="4" t="s">
        <v>31</v>
      </c>
      <c r="H1199" s="14"/>
      <c r="I1199" s="4" t="s">
        <v>32</v>
      </c>
      <c r="J1199" s="14"/>
      <c r="K1199" s="14"/>
      <c r="L1199" s="14"/>
    </row>
    <row r="1200" ht="14.25" hidden="1" customHeight="1">
      <c r="A1200" s="13" t="s">
        <v>3472</v>
      </c>
      <c r="B1200" s="4" t="s">
        <v>27</v>
      </c>
      <c r="C1200" s="4" t="s">
        <v>28</v>
      </c>
      <c r="D1200" s="4" t="s">
        <v>3473</v>
      </c>
      <c r="E1200" s="4">
        <v>3.016379406E9</v>
      </c>
      <c r="F1200" s="4" t="s">
        <v>30</v>
      </c>
      <c r="G1200" s="4" t="s">
        <v>31</v>
      </c>
      <c r="H1200" s="14"/>
      <c r="I1200" s="4" t="s">
        <v>32</v>
      </c>
      <c r="J1200" s="14"/>
      <c r="K1200" s="14"/>
      <c r="L1200" s="14"/>
    </row>
    <row r="1201" ht="14.25" customHeight="1">
      <c r="A1201" s="1" t="s">
        <v>3474</v>
      </c>
      <c r="B1201" s="2" t="s">
        <v>27</v>
      </c>
      <c r="C1201" s="2" t="s">
        <v>28</v>
      </c>
      <c r="D1201" s="2" t="s">
        <v>3475</v>
      </c>
      <c r="E1201" s="3" t="s">
        <v>3476</v>
      </c>
      <c r="F1201" s="4" t="s">
        <v>38</v>
      </c>
      <c r="G1201" s="4" t="s">
        <v>39</v>
      </c>
      <c r="H1201" s="36"/>
      <c r="I1201" s="4" t="s">
        <v>561</v>
      </c>
      <c r="J1201" s="6" t="s">
        <v>3477</v>
      </c>
      <c r="K1201" s="7">
        <v>13.0</v>
      </c>
      <c r="L1201" s="8" t="str">
        <f>UPPER(G1201)</f>
        <v>BUCARAMANGA</v>
      </c>
      <c r="O1201" s="10"/>
    </row>
    <row r="1202" ht="14.25" hidden="1" customHeight="1">
      <c r="A1202" s="13" t="s">
        <v>3478</v>
      </c>
      <c r="B1202" s="4" t="s">
        <v>27</v>
      </c>
      <c r="C1202" s="4" t="s">
        <v>28</v>
      </c>
      <c r="D1202" s="4" t="s">
        <v>3479</v>
      </c>
      <c r="E1202" s="4">
        <v>3.22292338E9</v>
      </c>
      <c r="F1202" s="4" t="s">
        <v>30</v>
      </c>
      <c r="G1202" s="4" t="s">
        <v>31</v>
      </c>
      <c r="H1202" s="14"/>
      <c r="I1202" s="4" t="s">
        <v>32</v>
      </c>
      <c r="J1202" s="14"/>
      <c r="K1202" s="14"/>
      <c r="L1202" s="14"/>
    </row>
    <row r="1203" ht="14.25" customHeight="1">
      <c r="A1203" s="1" t="s">
        <v>3480</v>
      </c>
      <c r="B1203" s="2" t="s">
        <v>27</v>
      </c>
      <c r="C1203" s="2" t="s">
        <v>28</v>
      </c>
      <c r="D1203" s="2" t="s">
        <v>3481</v>
      </c>
      <c r="E1203" s="3" t="s">
        <v>3482</v>
      </c>
      <c r="F1203" s="4" t="s">
        <v>38</v>
      </c>
      <c r="G1203" s="4" t="s">
        <v>81</v>
      </c>
      <c r="H1203" s="36"/>
      <c r="I1203" s="4" t="s">
        <v>561</v>
      </c>
      <c r="J1203" s="6" t="s">
        <v>1115</v>
      </c>
      <c r="K1203" s="7">
        <v>8.0</v>
      </c>
      <c r="L1203" s="8" t="str">
        <f t="shared" ref="L1203:L1205" si="150">UPPER(G1203)</f>
        <v>FLORIDABLANCA</v>
      </c>
      <c r="O1203" s="10"/>
    </row>
    <row r="1204" ht="14.25" customHeight="1">
      <c r="A1204" s="1" t="s">
        <v>3483</v>
      </c>
      <c r="B1204" s="2" t="s">
        <v>27</v>
      </c>
      <c r="C1204" s="2" t="s">
        <v>28</v>
      </c>
      <c r="D1204" s="2" t="s">
        <v>3484</v>
      </c>
      <c r="E1204" s="3" t="s">
        <v>3485</v>
      </c>
      <c r="F1204" s="4" t="s">
        <v>69</v>
      </c>
      <c r="G1204" s="4" t="s">
        <v>69</v>
      </c>
      <c r="H1204" s="14"/>
      <c r="I1204" s="4" t="s">
        <v>51</v>
      </c>
      <c r="J1204" s="6"/>
      <c r="K1204" s="7"/>
      <c r="L1204" s="8" t="str">
        <f t="shared" si="150"/>
        <v>BOGOTA</v>
      </c>
      <c r="O1204" s="10"/>
    </row>
    <row r="1205" ht="14.25" customHeight="1">
      <c r="A1205" s="1" t="s">
        <v>3486</v>
      </c>
      <c r="B1205" s="2" t="s">
        <v>27</v>
      </c>
      <c r="C1205" s="2" t="s">
        <v>28</v>
      </c>
      <c r="D1205" s="2" t="s">
        <v>3487</v>
      </c>
      <c r="E1205" s="3" t="s">
        <v>3488</v>
      </c>
      <c r="F1205" s="4" t="s">
        <v>38</v>
      </c>
      <c r="G1205" s="4" t="s">
        <v>39</v>
      </c>
      <c r="H1205" s="14"/>
      <c r="I1205" s="4" t="s">
        <v>561</v>
      </c>
      <c r="J1205" s="6"/>
      <c r="K1205" s="7"/>
      <c r="L1205" s="8" t="str">
        <f t="shared" si="150"/>
        <v>BUCARAMANGA</v>
      </c>
      <c r="O1205" s="10"/>
    </row>
    <row r="1206" ht="14.25" hidden="1" customHeight="1">
      <c r="A1206" s="13" t="s">
        <v>3489</v>
      </c>
      <c r="B1206" s="4" t="s">
        <v>27</v>
      </c>
      <c r="C1206" s="4" t="s">
        <v>28</v>
      </c>
      <c r="D1206" s="4" t="s">
        <v>3490</v>
      </c>
      <c r="E1206" s="4">
        <v>3.102211527E9</v>
      </c>
      <c r="F1206" s="4" t="s">
        <v>30</v>
      </c>
      <c r="G1206" s="4" t="s">
        <v>35</v>
      </c>
      <c r="H1206" s="14"/>
      <c r="I1206" s="4" t="s">
        <v>32</v>
      </c>
      <c r="J1206" s="14"/>
      <c r="K1206" s="14"/>
      <c r="L1206" s="14"/>
    </row>
    <row r="1207" ht="14.25" customHeight="1">
      <c r="A1207" s="1" t="s">
        <v>3491</v>
      </c>
      <c r="B1207" s="2" t="s">
        <v>27</v>
      </c>
      <c r="C1207" s="2" t="s">
        <v>28</v>
      </c>
      <c r="D1207" s="2" t="s">
        <v>3492</v>
      </c>
      <c r="E1207" s="3" t="s">
        <v>3493</v>
      </c>
      <c r="F1207" s="4" t="s">
        <v>38</v>
      </c>
      <c r="G1207" s="4" t="s">
        <v>159</v>
      </c>
      <c r="H1207" s="4" t="s">
        <v>579</v>
      </c>
      <c r="I1207" s="4" t="s">
        <v>561</v>
      </c>
      <c r="J1207" s="6"/>
      <c r="K1207" s="7"/>
      <c r="L1207" s="8" t="str">
        <f t="shared" ref="L1207:L1209" si="151">UPPER(G1207)</f>
        <v>PIEDECUESTA</v>
      </c>
      <c r="O1207" s="10"/>
    </row>
    <row r="1208" ht="14.25" customHeight="1">
      <c r="A1208" s="1" t="s">
        <v>3494</v>
      </c>
      <c r="B1208" s="2" t="s">
        <v>27</v>
      </c>
      <c r="C1208" s="2" t="s">
        <v>28</v>
      </c>
      <c r="D1208" s="2" t="s">
        <v>3495</v>
      </c>
      <c r="E1208" s="3" t="s">
        <v>3496</v>
      </c>
      <c r="F1208" s="4" t="s">
        <v>38</v>
      </c>
      <c r="G1208" s="4" t="s">
        <v>39</v>
      </c>
      <c r="H1208" s="14"/>
      <c r="I1208" s="4" t="s">
        <v>561</v>
      </c>
      <c r="J1208" s="6"/>
      <c r="K1208" s="7"/>
      <c r="L1208" s="8" t="str">
        <f t="shared" si="151"/>
        <v>BUCARAMANGA</v>
      </c>
      <c r="O1208" s="10"/>
    </row>
    <row r="1209" ht="14.25" customHeight="1">
      <c r="A1209" s="1" t="s">
        <v>3497</v>
      </c>
      <c r="B1209" s="2" t="s">
        <v>27</v>
      </c>
      <c r="C1209" s="2" t="s">
        <v>551</v>
      </c>
      <c r="D1209" s="2" t="s">
        <v>3498</v>
      </c>
      <c r="E1209" s="3" t="s">
        <v>2682</v>
      </c>
      <c r="F1209" s="4" t="s">
        <v>38</v>
      </c>
      <c r="G1209" s="4" t="s">
        <v>113</v>
      </c>
      <c r="H1209" s="14"/>
      <c r="I1209" s="4" t="s">
        <v>1373</v>
      </c>
      <c r="J1209" s="6" t="s">
        <v>3499</v>
      </c>
      <c r="K1209" s="7">
        <v>2.0</v>
      </c>
      <c r="L1209" s="8" t="str">
        <f t="shared" si="151"/>
        <v>BARRANCABERMEJA</v>
      </c>
      <c r="O1209" s="10"/>
    </row>
    <row r="1210" ht="14.25" hidden="1" customHeight="1">
      <c r="A1210" s="13" t="s">
        <v>3500</v>
      </c>
      <c r="B1210" s="4" t="s">
        <v>27</v>
      </c>
      <c r="C1210" s="4" t="s">
        <v>28</v>
      </c>
      <c r="D1210" s="4" t="s">
        <v>3501</v>
      </c>
      <c r="E1210" s="4">
        <v>3.102211527E9</v>
      </c>
      <c r="F1210" s="4" t="s">
        <v>30</v>
      </c>
      <c r="G1210" s="4" t="s">
        <v>35</v>
      </c>
      <c r="H1210" s="14"/>
      <c r="I1210" s="4" t="s">
        <v>32</v>
      </c>
      <c r="J1210" s="14"/>
      <c r="K1210" s="14"/>
      <c r="L1210" s="14"/>
    </row>
    <row r="1211" ht="14.25" hidden="1" customHeight="1">
      <c r="A1211" s="13" t="s">
        <v>3502</v>
      </c>
      <c r="B1211" s="4" t="s">
        <v>27</v>
      </c>
      <c r="C1211" s="4" t="s">
        <v>28</v>
      </c>
      <c r="D1211" s="4" t="s">
        <v>3503</v>
      </c>
      <c r="E1211" s="4">
        <v>3.118713141E9</v>
      </c>
      <c r="F1211" s="4" t="s">
        <v>30</v>
      </c>
      <c r="G1211" s="4" t="s">
        <v>31</v>
      </c>
      <c r="H1211" s="14"/>
      <c r="I1211" s="4" t="s">
        <v>32</v>
      </c>
      <c r="J1211" s="14"/>
      <c r="K1211" s="14"/>
      <c r="L1211" s="14"/>
    </row>
    <row r="1212" ht="14.25" customHeight="1">
      <c r="A1212" s="1" t="s">
        <v>3504</v>
      </c>
      <c r="B1212" s="2" t="s">
        <v>27</v>
      </c>
      <c r="C1212" s="2" t="s">
        <v>28</v>
      </c>
      <c r="D1212" s="2" t="s">
        <v>3505</v>
      </c>
      <c r="E1212" s="3" t="s">
        <v>3506</v>
      </c>
      <c r="F1212" s="4" t="s">
        <v>38</v>
      </c>
      <c r="G1212" s="4" t="s">
        <v>39</v>
      </c>
      <c r="H1212" s="14"/>
      <c r="I1212" s="4" t="s">
        <v>540</v>
      </c>
      <c r="J1212" s="6"/>
      <c r="K1212" s="7"/>
      <c r="L1212" s="8" t="str">
        <f>UPPER(G1212)</f>
        <v>BUCARAMANGA</v>
      </c>
      <c r="O1212" s="10"/>
    </row>
    <row r="1213" ht="14.25" hidden="1" customHeight="1">
      <c r="A1213" s="13" t="s">
        <v>3507</v>
      </c>
      <c r="B1213" s="4" t="s">
        <v>27</v>
      </c>
      <c r="C1213" s="4" t="s">
        <v>28</v>
      </c>
      <c r="D1213" s="4" t="s">
        <v>3508</v>
      </c>
      <c r="E1213" s="4">
        <v>3.118713141E9</v>
      </c>
      <c r="F1213" s="4" t="s">
        <v>30</v>
      </c>
      <c r="G1213" s="4" t="s">
        <v>31</v>
      </c>
      <c r="H1213" s="14"/>
      <c r="I1213" s="4" t="s">
        <v>32</v>
      </c>
      <c r="J1213" s="14"/>
      <c r="K1213" s="14"/>
      <c r="L1213" s="14"/>
    </row>
    <row r="1214" ht="14.25" customHeight="1">
      <c r="A1214" s="1" t="s">
        <v>3509</v>
      </c>
      <c r="B1214" s="2" t="s">
        <v>27</v>
      </c>
      <c r="C1214" s="2" t="s">
        <v>28</v>
      </c>
      <c r="D1214" s="2" t="s">
        <v>3510</v>
      </c>
      <c r="E1214" s="3" t="s">
        <v>2933</v>
      </c>
      <c r="F1214" s="4" t="s">
        <v>69</v>
      </c>
      <c r="G1214" s="4" t="s">
        <v>69</v>
      </c>
      <c r="H1214" s="14"/>
      <c r="I1214" s="4" t="s">
        <v>51</v>
      </c>
      <c r="J1214" s="6"/>
      <c r="K1214" s="7"/>
      <c r="L1214" s="8" t="str">
        <f t="shared" ref="L1214:L1215" si="152">UPPER(G1214)</f>
        <v>BOGOTA</v>
      </c>
      <c r="O1214" s="10"/>
    </row>
    <row r="1215" ht="14.25" customHeight="1">
      <c r="A1215" s="1" t="s">
        <v>3511</v>
      </c>
      <c r="B1215" s="2" t="s">
        <v>27</v>
      </c>
      <c r="C1215" s="2" t="s">
        <v>28</v>
      </c>
      <c r="D1215" s="2" t="s">
        <v>3512</v>
      </c>
      <c r="E1215" s="3" t="s">
        <v>3513</v>
      </c>
      <c r="F1215" s="4" t="s">
        <v>38</v>
      </c>
      <c r="G1215" s="4" t="s">
        <v>159</v>
      </c>
      <c r="H1215" s="4" t="s">
        <v>579</v>
      </c>
      <c r="I1215" s="4" t="s">
        <v>561</v>
      </c>
      <c r="J1215" s="6"/>
      <c r="K1215" s="7"/>
      <c r="L1215" s="8" t="str">
        <f t="shared" si="152"/>
        <v>PIEDECUESTA</v>
      </c>
      <c r="O1215" s="10"/>
    </row>
    <row r="1216" ht="14.25" hidden="1" customHeight="1">
      <c r="A1216" s="13" t="s">
        <v>3514</v>
      </c>
      <c r="B1216" s="4" t="s">
        <v>27</v>
      </c>
      <c r="C1216" s="4" t="s">
        <v>28</v>
      </c>
      <c r="D1216" s="4" t="s">
        <v>3515</v>
      </c>
      <c r="E1216" s="4">
        <v>3.209920415E9</v>
      </c>
      <c r="F1216" s="4" t="s">
        <v>30</v>
      </c>
      <c r="G1216" s="4" t="s">
        <v>35</v>
      </c>
      <c r="H1216" s="14"/>
      <c r="I1216" s="4" t="s">
        <v>32</v>
      </c>
      <c r="J1216" s="14"/>
      <c r="K1216" s="14"/>
      <c r="L1216" s="14"/>
    </row>
    <row r="1217" ht="14.25" customHeight="1">
      <c r="A1217" s="1" t="s">
        <v>3516</v>
      </c>
      <c r="B1217" s="2" t="s">
        <v>27</v>
      </c>
      <c r="C1217" s="2" t="s">
        <v>28</v>
      </c>
      <c r="D1217" s="2" t="s">
        <v>3517</v>
      </c>
      <c r="E1217" s="3" t="s">
        <v>3518</v>
      </c>
      <c r="F1217" s="4" t="s">
        <v>38</v>
      </c>
      <c r="G1217" s="4" t="s">
        <v>39</v>
      </c>
      <c r="H1217" s="14"/>
      <c r="I1217" s="4" t="s">
        <v>540</v>
      </c>
      <c r="J1217" s="6"/>
      <c r="K1217" s="7"/>
      <c r="L1217" s="8" t="str">
        <f t="shared" ref="L1217:L1225" si="153">UPPER(G1217)</f>
        <v>BUCARAMANGA</v>
      </c>
      <c r="O1217" s="10"/>
    </row>
    <row r="1218" ht="14.25" customHeight="1">
      <c r="A1218" s="1" t="s">
        <v>3519</v>
      </c>
      <c r="B1218" s="2" t="s">
        <v>27</v>
      </c>
      <c r="C1218" s="2" t="s">
        <v>28</v>
      </c>
      <c r="D1218" s="2" t="s">
        <v>3520</v>
      </c>
      <c r="E1218" s="3" t="s">
        <v>3521</v>
      </c>
      <c r="F1218" s="4" t="s">
        <v>38</v>
      </c>
      <c r="G1218" s="4" t="s">
        <v>39</v>
      </c>
      <c r="H1218" s="14"/>
      <c r="I1218" s="4" t="s">
        <v>76</v>
      </c>
      <c r="J1218" s="6"/>
      <c r="K1218" s="7"/>
      <c r="L1218" s="8" t="str">
        <f t="shared" si="153"/>
        <v>BUCARAMANGA</v>
      </c>
      <c r="O1218" s="10"/>
    </row>
    <row r="1219" ht="14.25" customHeight="1">
      <c r="A1219" s="1" t="s">
        <v>3522</v>
      </c>
      <c r="B1219" s="2" t="s">
        <v>27</v>
      </c>
      <c r="C1219" s="2" t="s">
        <v>28</v>
      </c>
      <c r="D1219" s="2" t="s">
        <v>3523</v>
      </c>
      <c r="E1219" s="3" t="s">
        <v>3524</v>
      </c>
      <c r="F1219" s="4" t="s">
        <v>38</v>
      </c>
      <c r="G1219" s="4" t="s">
        <v>81</v>
      </c>
      <c r="H1219" s="14"/>
      <c r="I1219" s="4" t="s">
        <v>164</v>
      </c>
      <c r="J1219" s="6"/>
      <c r="K1219" s="7"/>
      <c r="L1219" s="8" t="str">
        <f t="shared" si="153"/>
        <v>FLORIDABLANCA</v>
      </c>
      <c r="O1219" s="10"/>
    </row>
    <row r="1220" ht="14.25" customHeight="1">
      <c r="A1220" s="1" t="s">
        <v>3525</v>
      </c>
      <c r="B1220" s="2" t="s">
        <v>27</v>
      </c>
      <c r="C1220" s="2" t="s">
        <v>28</v>
      </c>
      <c r="D1220" s="2" t="s">
        <v>3526</v>
      </c>
      <c r="E1220" s="3" t="s">
        <v>3527</v>
      </c>
      <c r="F1220" s="4" t="s">
        <v>38</v>
      </c>
      <c r="G1220" s="4" t="s">
        <v>81</v>
      </c>
      <c r="H1220" s="14"/>
      <c r="I1220" s="4" t="s">
        <v>561</v>
      </c>
      <c r="J1220" s="6"/>
      <c r="K1220" s="7"/>
      <c r="L1220" s="8" t="str">
        <f t="shared" si="153"/>
        <v>FLORIDABLANCA</v>
      </c>
      <c r="O1220" s="10"/>
    </row>
    <row r="1221" ht="14.25" customHeight="1">
      <c r="A1221" s="1" t="s">
        <v>3528</v>
      </c>
      <c r="B1221" s="2" t="s">
        <v>27</v>
      </c>
      <c r="C1221" s="2" t="s">
        <v>28</v>
      </c>
      <c r="D1221" s="2" t="s">
        <v>3529</v>
      </c>
      <c r="E1221" s="3" t="s">
        <v>3530</v>
      </c>
      <c r="F1221" s="4" t="s">
        <v>38</v>
      </c>
      <c r="G1221" s="4" t="s">
        <v>81</v>
      </c>
      <c r="H1221" s="14"/>
      <c r="I1221" s="4" t="s">
        <v>561</v>
      </c>
      <c r="J1221" s="6"/>
      <c r="K1221" s="7"/>
      <c r="L1221" s="8" t="str">
        <f t="shared" si="153"/>
        <v>FLORIDABLANCA</v>
      </c>
      <c r="O1221" s="10"/>
    </row>
    <row r="1222" ht="14.25" customHeight="1">
      <c r="A1222" s="1" t="s">
        <v>3531</v>
      </c>
      <c r="B1222" s="2" t="s">
        <v>27</v>
      </c>
      <c r="C1222" s="2" t="s">
        <v>28</v>
      </c>
      <c r="D1222" s="2" t="s">
        <v>3532</v>
      </c>
      <c r="E1222" s="3" t="s">
        <v>3533</v>
      </c>
      <c r="F1222" s="4" t="s">
        <v>38</v>
      </c>
      <c r="G1222" s="4" t="s">
        <v>39</v>
      </c>
      <c r="H1222" s="30"/>
      <c r="I1222" s="4" t="s">
        <v>164</v>
      </c>
      <c r="J1222" s="6"/>
      <c r="K1222" s="7"/>
      <c r="L1222" s="8" t="str">
        <f t="shared" si="153"/>
        <v>BUCARAMANGA</v>
      </c>
      <c r="O1222" s="10"/>
    </row>
    <row r="1223" ht="14.25" customHeight="1">
      <c r="A1223" s="1" t="s">
        <v>3534</v>
      </c>
      <c r="B1223" s="2" t="s">
        <v>27</v>
      </c>
      <c r="C1223" s="2" t="s">
        <v>28</v>
      </c>
      <c r="D1223" s="2" t="s">
        <v>3535</v>
      </c>
      <c r="E1223" s="3" t="s">
        <v>3536</v>
      </c>
      <c r="F1223" s="4" t="s">
        <v>38</v>
      </c>
      <c r="G1223" s="4" t="s">
        <v>39</v>
      </c>
      <c r="H1223" s="4" t="s">
        <v>229</v>
      </c>
      <c r="I1223" s="4" t="s">
        <v>540</v>
      </c>
      <c r="J1223" s="6"/>
      <c r="K1223" s="7"/>
      <c r="L1223" s="8" t="str">
        <f t="shared" si="153"/>
        <v>BUCARAMANGA</v>
      </c>
      <c r="O1223" s="10"/>
    </row>
    <row r="1224" ht="14.25" customHeight="1">
      <c r="A1224" s="1" t="s">
        <v>3537</v>
      </c>
      <c r="B1224" s="2" t="s">
        <v>27</v>
      </c>
      <c r="C1224" s="2" t="s">
        <v>28</v>
      </c>
      <c r="D1224" s="2" t="s">
        <v>3538</v>
      </c>
      <c r="E1224" s="3" t="s">
        <v>3539</v>
      </c>
      <c r="F1224" s="4" t="s">
        <v>38</v>
      </c>
      <c r="G1224" s="4" t="s">
        <v>39</v>
      </c>
      <c r="H1224" s="4" t="s">
        <v>229</v>
      </c>
      <c r="I1224" s="4" t="s">
        <v>76</v>
      </c>
      <c r="J1224" s="6"/>
      <c r="K1224" s="7"/>
      <c r="L1224" s="8" t="str">
        <f t="shared" si="153"/>
        <v>BUCARAMANGA</v>
      </c>
      <c r="O1224" s="10"/>
    </row>
    <row r="1225" ht="14.25" customHeight="1">
      <c r="A1225" s="1" t="s">
        <v>3540</v>
      </c>
      <c r="B1225" s="2" t="s">
        <v>27</v>
      </c>
      <c r="C1225" s="2" t="s">
        <v>28</v>
      </c>
      <c r="D1225" s="2" t="s">
        <v>3541</v>
      </c>
      <c r="E1225" s="3" t="s">
        <v>3542</v>
      </c>
      <c r="F1225" s="4" t="s">
        <v>38</v>
      </c>
      <c r="G1225" s="4" t="s">
        <v>39</v>
      </c>
      <c r="H1225" s="14"/>
      <c r="I1225" s="4" t="s">
        <v>76</v>
      </c>
      <c r="J1225" s="6"/>
      <c r="K1225" s="7"/>
      <c r="L1225" s="8" t="str">
        <f t="shared" si="153"/>
        <v>BUCARAMANGA</v>
      </c>
      <c r="O1225" s="10"/>
    </row>
    <row r="1226" ht="14.25" hidden="1" customHeight="1">
      <c r="A1226" s="13" t="s">
        <v>3543</v>
      </c>
      <c r="B1226" s="4" t="s">
        <v>27</v>
      </c>
      <c r="C1226" s="4" t="s">
        <v>28</v>
      </c>
      <c r="D1226" s="4" t="s">
        <v>3544</v>
      </c>
      <c r="E1226" s="4">
        <v>3.112822716E9</v>
      </c>
      <c r="F1226" s="4" t="s">
        <v>30</v>
      </c>
      <c r="G1226" s="4" t="s">
        <v>35</v>
      </c>
      <c r="H1226" s="14"/>
      <c r="I1226" s="4" t="s">
        <v>32</v>
      </c>
      <c r="J1226" s="14"/>
      <c r="K1226" s="14"/>
      <c r="L1226" s="14"/>
    </row>
    <row r="1227" ht="14.25" customHeight="1">
      <c r="A1227" s="1" t="s">
        <v>3545</v>
      </c>
      <c r="B1227" s="2" t="s">
        <v>27</v>
      </c>
      <c r="C1227" s="2" t="s">
        <v>28</v>
      </c>
      <c r="D1227" s="2" t="s">
        <v>3546</v>
      </c>
      <c r="E1227" s="3" t="s">
        <v>3547</v>
      </c>
      <c r="F1227" s="4" t="s">
        <v>69</v>
      </c>
      <c r="G1227" s="4" t="s">
        <v>69</v>
      </c>
      <c r="H1227" s="14"/>
      <c r="I1227" s="4" t="s">
        <v>51</v>
      </c>
      <c r="J1227" s="6"/>
      <c r="K1227" s="7"/>
      <c r="L1227" s="8" t="str">
        <f t="shared" ref="L1227:L1228" si="154">UPPER(G1227)</f>
        <v>BOGOTA</v>
      </c>
      <c r="O1227" s="10"/>
    </row>
    <row r="1228" ht="14.25" customHeight="1">
      <c r="A1228" s="1" t="s">
        <v>3548</v>
      </c>
      <c r="B1228" s="2" t="s">
        <v>27</v>
      </c>
      <c r="C1228" s="2" t="s">
        <v>28</v>
      </c>
      <c r="D1228" s="2" t="s">
        <v>3549</v>
      </c>
      <c r="E1228" s="3" t="s">
        <v>3550</v>
      </c>
      <c r="F1228" s="4" t="s">
        <v>922</v>
      </c>
      <c r="G1228" s="4" t="s">
        <v>3551</v>
      </c>
      <c r="H1228" s="14"/>
      <c r="I1228" s="4" t="s">
        <v>51</v>
      </c>
      <c r="J1228" s="6"/>
      <c r="K1228" s="7"/>
      <c r="L1228" s="8" t="str">
        <f t="shared" si="154"/>
        <v>ZIPAQUIRA</v>
      </c>
      <c r="O1228" s="10"/>
    </row>
    <row r="1229" ht="14.25" hidden="1" customHeight="1">
      <c r="A1229" s="13" t="s">
        <v>3552</v>
      </c>
      <c r="B1229" s="4" t="s">
        <v>27</v>
      </c>
      <c r="C1229" s="4" t="s">
        <v>28</v>
      </c>
      <c r="D1229" s="4" t="s">
        <v>3553</v>
      </c>
      <c r="E1229" s="4">
        <v>3.166026011E9</v>
      </c>
      <c r="F1229" s="4" t="s">
        <v>30</v>
      </c>
      <c r="G1229" s="4" t="s">
        <v>35</v>
      </c>
      <c r="H1229" s="14"/>
      <c r="I1229" s="4" t="s">
        <v>32</v>
      </c>
      <c r="J1229" s="14"/>
      <c r="K1229" s="14"/>
      <c r="L1229" s="14"/>
    </row>
    <row r="1230" ht="14.25" customHeight="1">
      <c r="A1230" s="1" t="s">
        <v>3554</v>
      </c>
      <c r="B1230" s="2" t="s">
        <v>27</v>
      </c>
      <c r="C1230" s="2" t="s">
        <v>28</v>
      </c>
      <c r="D1230" s="2" t="s">
        <v>3555</v>
      </c>
      <c r="E1230" s="3" t="s">
        <v>3556</v>
      </c>
      <c r="F1230" s="4" t="s">
        <v>655</v>
      </c>
      <c r="G1230" s="4" t="s">
        <v>656</v>
      </c>
      <c r="H1230" s="14"/>
      <c r="I1230" s="4" t="s">
        <v>51</v>
      </c>
      <c r="J1230" s="6"/>
      <c r="K1230" s="7"/>
      <c r="L1230" s="8" t="str">
        <f>UPPER(G1230)</f>
        <v>VILLA DEL ROSARIO</v>
      </c>
      <c r="O1230" s="10"/>
    </row>
    <row r="1231" ht="14.25" hidden="1" customHeight="1">
      <c r="A1231" s="13" t="s">
        <v>3557</v>
      </c>
      <c r="B1231" s="4" t="s">
        <v>27</v>
      </c>
      <c r="C1231" s="4" t="s">
        <v>28</v>
      </c>
      <c r="D1231" s="4" t="s">
        <v>3558</v>
      </c>
      <c r="E1231" s="4">
        <v>3.118713141E9</v>
      </c>
      <c r="F1231" s="4" t="s">
        <v>30</v>
      </c>
      <c r="G1231" s="4" t="s">
        <v>31</v>
      </c>
      <c r="H1231" s="14"/>
      <c r="I1231" s="4" t="s">
        <v>32</v>
      </c>
      <c r="J1231" s="14"/>
      <c r="K1231" s="14"/>
      <c r="L1231" s="14"/>
    </row>
    <row r="1232" ht="14.25" customHeight="1">
      <c r="A1232" s="1" t="s">
        <v>3559</v>
      </c>
      <c r="B1232" s="2" t="s">
        <v>27</v>
      </c>
      <c r="C1232" s="2" t="s">
        <v>28</v>
      </c>
      <c r="D1232" s="2" t="s">
        <v>3558</v>
      </c>
      <c r="E1232" s="3" t="s">
        <v>3560</v>
      </c>
      <c r="F1232" s="4" t="s">
        <v>38</v>
      </c>
      <c r="G1232" s="4" t="s">
        <v>39</v>
      </c>
      <c r="H1232" s="4" t="s">
        <v>40</v>
      </c>
      <c r="I1232" s="4" t="s">
        <v>561</v>
      </c>
      <c r="J1232" s="6"/>
      <c r="K1232" s="7"/>
      <c r="L1232" s="8" t="str">
        <f t="shared" ref="L1232:L1233" si="155">UPPER(G1232)</f>
        <v>BUCARAMANGA</v>
      </c>
      <c r="O1232" s="10"/>
    </row>
    <row r="1233" ht="14.25" customHeight="1">
      <c r="A1233" s="1" t="s">
        <v>3561</v>
      </c>
      <c r="B1233" s="2" t="s">
        <v>27</v>
      </c>
      <c r="C1233" s="2" t="s">
        <v>28</v>
      </c>
      <c r="D1233" s="2" t="s">
        <v>3562</v>
      </c>
      <c r="E1233" s="3" t="s">
        <v>3563</v>
      </c>
      <c r="F1233" s="4" t="s">
        <v>38</v>
      </c>
      <c r="G1233" s="4" t="s">
        <v>39</v>
      </c>
      <c r="H1233" s="14"/>
      <c r="I1233" s="4" t="s">
        <v>76</v>
      </c>
      <c r="J1233" s="6"/>
      <c r="K1233" s="7"/>
      <c r="L1233" s="8" t="str">
        <f t="shared" si="155"/>
        <v>BUCARAMANGA</v>
      </c>
      <c r="O1233" s="10"/>
    </row>
    <row r="1234" ht="14.25" hidden="1" customHeight="1">
      <c r="A1234" s="13" t="s">
        <v>3564</v>
      </c>
      <c r="B1234" s="4" t="s">
        <v>27</v>
      </c>
      <c r="C1234" s="4" t="s">
        <v>28</v>
      </c>
      <c r="D1234" s="4" t="s">
        <v>3565</v>
      </c>
      <c r="E1234" s="4">
        <v>3.229457091E9</v>
      </c>
      <c r="F1234" s="4" t="s">
        <v>30</v>
      </c>
      <c r="G1234" s="4" t="s">
        <v>31</v>
      </c>
      <c r="H1234" s="14"/>
      <c r="I1234" s="4" t="s">
        <v>32</v>
      </c>
      <c r="J1234" s="14"/>
      <c r="K1234" s="14"/>
      <c r="L1234" s="14"/>
    </row>
    <row r="1235" ht="14.25" customHeight="1">
      <c r="A1235" s="1" t="s">
        <v>3566</v>
      </c>
      <c r="B1235" s="2" t="s">
        <v>27</v>
      </c>
      <c r="C1235" s="2" t="s">
        <v>28</v>
      </c>
      <c r="D1235" s="2" t="s">
        <v>3567</v>
      </c>
      <c r="E1235" s="3" t="s">
        <v>3568</v>
      </c>
      <c r="F1235" s="4" t="s">
        <v>69</v>
      </c>
      <c r="G1235" s="4" t="s">
        <v>69</v>
      </c>
      <c r="H1235" s="14"/>
      <c r="I1235" s="4" t="s">
        <v>51</v>
      </c>
      <c r="J1235" s="6"/>
      <c r="K1235" s="7"/>
      <c r="L1235" s="8" t="str">
        <f>UPPER(G1235)</f>
        <v>BOGOTA</v>
      </c>
      <c r="O1235" s="10"/>
    </row>
    <row r="1236" ht="14.25" hidden="1" customHeight="1">
      <c r="A1236" s="13" t="s">
        <v>3569</v>
      </c>
      <c r="B1236" s="4" t="s">
        <v>27</v>
      </c>
      <c r="C1236" s="4" t="s">
        <v>28</v>
      </c>
      <c r="D1236" s="4" t="s">
        <v>3570</v>
      </c>
      <c r="E1236" s="4">
        <v>3.102211527E9</v>
      </c>
      <c r="F1236" s="4" t="s">
        <v>30</v>
      </c>
      <c r="G1236" s="4" t="s">
        <v>35</v>
      </c>
      <c r="H1236" s="14"/>
      <c r="I1236" s="4" t="s">
        <v>32</v>
      </c>
      <c r="J1236" s="14"/>
      <c r="K1236" s="14"/>
      <c r="L1236" s="14"/>
    </row>
    <row r="1237" ht="14.25" hidden="1" customHeight="1">
      <c r="A1237" s="13" t="s">
        <v>3571</v>
      </c>
      <c r="B1237" s="4" t="s">
        <v>27</v>
      </c>
      <c r="C1237" s="4" t="s">
        <v>28</v>
      </c>
      <c r="D1237" s="4" t="s">
        <v>3572</v>
      </c>
      <c r="E1237" s="4">
        <v>3.132541018E9</v>
      </c>
      <c r="F1237" s="4" t="s">
        <v>30</v>
      </c>
      <c r="G1237" s="4" t="s">
        <v>31</v>
      </c>
      <c r="H1237" s="14"/>
      <c r="I1237" s="4" t="s">
        <v>32</v>
      </c>
      <c r="J1237" s="14"/>
      <c r="K1237" s="14"/>
      <c r="L1237" s="14"/>
    </row>
    <row r="1238" ht="14.25" hidden="1" customHeight="1">
      <c r="A1238" s="13" t="s">
        <v>3573</v>
      </c>
      <c r="B1238" s="4" t="s">
        <v>27</v>
      </c>
      <c r="C1238" s="4" t="s">
        <v>28</v>
      </c>
      <c r="D1238" s="4" t="s">
        <v>3574</v>
      </c>
      <c r="E1238" s="4">
        <v>3.125007711E9</v>
      </c>
      <c r="F1238" s="4" t="s">
        <v>30</v>
      </c>
      <c r="G1238" s="4" t="s">
        <v>35</v>
      </c>
      <c r="H1238" s="14"/>
      <c r="I1238" s="4" t="s">
        <v>32</v>
      </c>
      <c r="J1238" s="14"/>
      <c r="K1238" s="14"/>
      <c r="L1238" s="14"/>
    </row>
    <row r="1239" ht="14.25" customHeight="1">
      <c r="A1239" s="1" t="s">
        <v>3575</v>
      </c>
      <c r="B1239" s="2" t="s">
        <v>27</v>
      </c>
      <c r="C1239" s="2" t="s">
        <v>28</v>
      </c>
      <c r="D1239" s="2" t="s">
        <v>3576</v>
      </c>
      <c r="E1239" s="3" t="s">
        <v>3577</v>
      </c>
      <c r="F1239" s="4" t="s">
        <v>38</v>
      </c>
      <c r="G1239" s="4" t="s">
        <v>113</v>
      </c>
      <c r="H1239" s="4" t="s">
        <v>357</v>
      </c>
      <c r="I1239" s="4" t="s">
        <v>358</v>
      </c>
      <c r="J1239" s="6"/>
      <c r="K1239" s="7"/>
      <c r="L1239" s="8" t="str">
        <f t="shared" ref="L1239:L1240" si="156">UPPER(G1239)</f>
        <v>BARRANCABERMEJA</v>
      </c>
      <c r="O1239" s="10"/>
    </row>
    <row r="1240" ht="14.25" customHeight="1">
      <c r="A1240" s="1" t="s">
        <v>3578</v>
      </c>
      <c r="B1240" s="2" t="s">
        <v>27</v>
      </c>
      <c r="C1240" s="2" t="s">
        <v>28</v>
      </c>
      <c r="D1240" s="2" t="s">
        <v>3579</v>
      </c>
      <c r="E1240" s="3" t="s">
        <v>3580</v>
      </c>
      <c r="F1240" s="4" t="s">
        <v>38</v>
      </c>
      <c r="G1240" s="4" t="s">
        <v>81</v>
      </c>
      <c r="H1240" s="14"/>
      <c r="I1240" s="4" t="s">
        <v>76</v>
      </c>
      <c r="J1240" s="6"/>
      <c r="K1240" s="7"/>
      <c r="L1240" s="8" t="str">
        <f t="shared" si="156"/>
        <v>FLORIDABLANCA</v>
      </c>
      <c r="O1240" s="10"/>
    </row>
    <row r="1241" ht="14.25" hidden="1" customHeight="1">
      <c r="A1241" s="13" t="s">
        <v>3581</v>
      </c>
      <c r="B1241" s="4" t="s">
        <v>27</v>
      </c>
      <c r="C1241" s="4" t="s">
        <v>28</v>
      </c>
      <c r="D1241" s="4" t="s">
        <v>3582</v>
      </c>
      <c r="E1241" s="4">
        <v>3.126882431E9</v>
      </c>
      <c r="F1241" s="4" t="s">
        <v>30</v>
      </c>
      <c r="G1241" s="4" t="s">
        <v>35</v>
      </c>
      <c r="H1241" s="14"/>
      <c r="I1241" s="4" t="s">
        <v>32</v>
      </c>
      <c r="J1241" s="14"/>
      <c r="K1241" s="14"/>
      <c r="L1241" s="14"/>
    </row>
    <row r="1242" ht="14.25" customHeight="1">
      <c r="A1242" s="1" t="s">
        <v>3583</v>
      </c>
      <c r="B1242" s="2" t="s">
        <v>27</v>
      </c>
      <c r="C1242" s="2" t="s">
        <v>28</v>
      </c>
      <c r="D1242" s="2" t="s">
        <v>3584</v>
      </c>
      <c r="E1242" s="3" t="s">
        <v>2468</v>
      </c>
      <c r="F1242" s="4" t="s">
        <v>38</v>
      </c>
      <c r="G1242" s="4" t="s">
        <v>39</v>
      </c>
      <c r="H1242" s="4" t="s">
        <v>40</v>
      </c>
      <c r="I1242" s="4" t="s">
        <v>561</v>
      </c>
      <c r="J1242" s="6"/>
      <c r="K1242" s="7"/>
      <c r="L1242" s="8" t="str">
        <f>UPPER(G1242)</f>
        <v>BUCARAMANGA</v>
      </c>
      <c r="O1242" s="10"/>
    </row>
    <row r="1243" ht="14.25" hidden="1" customHeight="1">
      <c r="A1243" s="13" t="s">
        <v>3585</v>
      </c>
      <c r="B1243" s="4" t="s">
        <v>27</v>
      </c>
      <c r="C1243" s="4" t="s">
        <v>28</v>
      </c>
      <c r="D1243" s="4" t="s">
        <v>3586</v>
      </c>
      <c r="E1243" s="4">
        <v>3.118713141E9</v>
      </c>
      <c r="F1243" s="4" t="s">
        <v>30</v>
      </c>
      <c r="G1243" s="4" t="s">
        <v>35</v>
      </c>
      <c r="H1243" s="14"/>
      <c r="I1243" s="4" t="s">
        <v>32</v>
      </c>
      <c r="J1243" s="14"/>
      <c r="K1243" s="14"/>
      <c r="L1243" s="14"/>
    </row>
    <row r="1244" ht="14.25" hidden="1" customHeight="1">
      <c r="A1244" s="13" t="s">
        <v>3587</v>
      </c>
      <c r="B1244" s="4" t="s">
        <v>27</v>
      </c>
      <c r="C1244" s="4" t="s">
        <v>28</v>
      </c>
      <c r="D1244" s="4" t="s">
        <v>3588</v>
      </c>
      <c r="E1244" s="4">
        <v>3.125007711E9</v>
      </c>
      <c r="F1244" s="4" t="s">
        <v>30</v>
      </c>
      <c r="G1244" s="4" t="s">
        <v>35</v>
      </c>
      <c r="H1244" s="14"/>
      <c r="I1244" s="4" t="s">
        <v>32</v>
      </c>
      <c r="J1244" s="14"/>
      <c r="K1244" s="14"/>
      <c r="L1244" s="14"/>
    </row>
    <row r="1245" ht="14.25" hidden="1" customHeight="1">
      <c r="A1245" s="13" t="s">
        <v>3589</v>
      </c>
      <c r="B1245" s="4" t="s">
        <v>27</v>
      </c>
      <c r="C1245" s="4" t="s">
        <v>28</v>
      </c>
      <c r="D1245" s="4" t="s">
        <v>3590</v>
      </c>
      <c r="E1245" s="4">
        <v>3.213289711E9</v>
      </c>
      <c r="F1245" s="4" t="s">
        <v>30</v>
      </c>
      <c r="G1245" s="4" t="s">
        <v>35</v>
      </c>
      <c r="H1245" s="14"/>
      <c r="I1245" s="4" t="s">
        <v>32</v>
      </c>
      <c r="J1245" s="14"/>
      <c r="K1245" s="14"/>
      <c r="L1245" s="14"/>
    </row>
    <row r="1246" ht="14.25" customHeight="1">
      <c r="A1246" s="1" t="s">
        <v>3591</v>
      </c>
      <c r="B1246" s="2" t="s">
        <v>27</v>
      </c>
      <c r="C1246" s="2" t="s">
        <v>28</v>
      </c>
      <c r="D1246" s="2" t="s">
        <v>3592</v>
      </c>
      <c r="E1246" s="3" t="s">
        <v>3593</v>
      </c>
      <c r="F1246" s="4" t="s">
        <v>38</v>
      </c>
      <c r="G1246" s="4" t="s">
        <v>39</v>
      </c>
      <c r="H1246" s="14"/>
      <c r="I1246" s="4" t="s">
        <v>164</v>
      </c>
      <c r="J1246" s="6"/>
      <c r="K1246" s="7"/>
      <c r="L1246" s="8" t="str">
        <f t="shared" ref="L1246:L1248" si="157">UPPER(G1246)</f>
        <v>BUCARAMANGA</v>
      </c>
      <c r="O1246" s="10"/>
    </row>
    <row r="1247" ht="14.25" customHeight="1">
      <c r="A1247" s="1" t="s">
        <v>3594</v>
      </c>
      <c r="B1247" s="2" t="s">
        <v>27</v>
      </c>
      <c r="C1247" s="2" t="s">
        <v>28</v>
      </c>
      <c r="D1247" s="2" t="s">
        <v>3595</v>
      </c>
      <c r="E1247" s="3" t="s">
        <v>3596</v>
      </c>
      <c r="F1247" s="4" t="s">
        <v>69</v>
      </c>
      <c r="G1247" s="4" t="s">
        <v>69</v>
      </c>
      <c r="H1247" s="4" t="s">
        <v>133</v>
      </c>
      <c r="I1247" s="4" t="s">
        <v>51</v>
      </c>
      <c r="J1247" s="6"/>
      <c r="K1247" s="7"/>
      <c r="L1247" s="8" t="str">
        <f t="shared" si="157"/>
        <v>BOGOTA</v>
      </c>
      <c r="O1247" s="10"/>
    </row>
    <row r="1248" ht="14.25" customHeight="1">
      <c r="A1248" s="1" t="s">
        <v>3597</v>
      </c>
      <c r="B1248" s="2" t="s">
        <v>27</v>
      </c>
      <c r="C1248" s="2" t="s">
        <v>28</v>
      </c>
      <c r="D1248" s="2" t="s">
        <v>3598</v>
      </c>
      <c r="E1248" s="3" t="s">
        <v>3599</v>
      </c>
      <c r="F1248" s="4" t="s">
        <v>69</v>
      </c>
      <c r="G1248" s="4" t="s">
        <v>69</v>
      </c>
      <c r="H1248" s="14"/>
      <c r="I1248" s="4" t="s">
        <v>182</v>
      </c>
      <c r="J1248" s="6"/>
      <c r="K1248" s="7"/>
      <c r="L1248" s="8" t="str">
        <f t="shared" si="157"/>
        <v>BOGOTA</v>
      </c>
      <c r="O1248" s="10"/>
    </row>
    <row r="1249" ht="14.25" hidden="1" customHeight="1">
      <c r="A1249" s="13" t="s">
        <v>3600</v>
      </c>
      <c r="B1249" s="4" t="s">
        <v>27</v>
      </c>
      <c r="C1249" s="4" t="s">
        <v>28</v>
      </c>
      <c r="D1249" s="4" t="s">
        <v>3601</v>
      </c>
      <c r="E1249" s="4">
        <v>3.102211527E9</v>
      </c>
      <c r="F1249" s="4" t="s">
        <v>30</v>
      </c>
      <c r="G1249" s="4" t="s">
        <v>35</v>
      </c>
      <c r="H1249" s="14"/>
      <c r="I1249" s="4" t="s">
        <v>32</v>
      </c>
      <c r="J1249" s="14"/>
      <c r="K1249" s="14"/>
      <c r="L1249" s="14"/>
    </row>
    <row r="1250" ht="14.25" customHeight="1">
      <c r="A1250" s="1" t="s">
        <v>3602</v>
      </c>
      <c r="B1250" s="2" t="s">
        <v>27</v>
      </c>
      <c r="C1250" s="2" t="s">
        <v>28</v>
      </c>
      <c r="D1250" s="2" t="s">
        <v>3603</v>
      </c>
      <c r="E1250" s="3" t="s">
        <v>3604</v>
      </c>
      <c r="F1250" s="4" t="s">
        <v>38</v>
      </c>
      <c r="G1250" s="4" t="s">
        <v>39</v>
      </c>
      <c r="H1250" s="4" t="s">
        <v>40</v>
      </c>
      <c r="I1250" s="4" t="s">
        <v>561</v>
      </c>
      <c r="J1250" s="6"/>
      <c r="K1250" s="7"/>
      <c r="L1250" s="8" t="str">
        <f>UPPER(G1250)</f>
        <v>BUCARAMANGA</v>
      </c>
      <c r="O1250" s="10"/>
    </row>
    <row r="1251" ht="14.25" hidden="1" customHeight="1">
      <c r="A1251" s="13" t="s">
        <v>3605</v>
      </c>
      <c r="B1251" s="4" t="s">
        <v>27</v>
      </c>
      <c r="C1251" s="4" t="s">
        <v>28</v>
      </c>
      <c r="D1251" s="4" t="s">
        <v>3606</v>
      </c>
      <c r="E1251" s="4">
        <v>3.118713141E9</v>
      </c>
      <c r="F1251" s="4" t="s">
        <v>30</v>
      </c>
      <c r="G1251" s="4" t="s">
        <v>35</v>
      </c>
      <c r="H1251" s="14"/>
      <c r="I1251" s="4" t="s">
        <v>32</v>
      </c>
      <c r="J1251" s="14"/>
      <c r="K1251" s="14"/>
      <c r="L1251" s="14"/>
    </row>
    <row r="1252" ht="14.25" customHeight="1">
      <c r="A1252" s="1" t="s">
        <v>3607</v>
      </c>
      <c r="B1252" s="2" t="s">
        <v>27</v>
      </c>
      <c r="C1252" s="2" t="s">
        <v>28</v>
      </c>
      <c r="D1252" s="2" t="s">
        <v>3608</v>
      </c>
      <c r="E1252" s="3" t="s">
        <v>3609</v>
      </c>
      <c r="F1252" s="4" t="s">
        <v>38</v>
      </c>
      <c r="G1252" s="4" t="s">
        <v>39</v>
      </c>
      <c r="H1252" s="14"/>
      <c r="I1252" s="4" t="s">
        <v>561</v>
      </c>
      <c r="J1252" s="6"/>
      <c r="K1252" s="7"/>
      <c r="L1252" s="8" t="str">
        <f t="shared" ref="L1252:L1254" si="158">UPPER(G1252)</f>
        <v>BUCARAMANGA</v>
      </c>
      <c r="O1252" s="10"/>
    </row>
    <row r="1253" ht="14.25" customHeight="1">
      <c r="A1253" s="1" t="s">
        <v>3610</v>
      </c>
      <c r="B1253" s="2" t="s">
        <v>27</v>
      </c>
      <c r="C1253" s="2" t="s">
        <v>28</v>
      </c>
      <c r="D1253" s="2" t="s">
        <v>3611</v>
      </c>
      <c r="E1253" s="3" t="s">
        <v>3612</v>
      </c>
      <c r="F1253" s="4" t="s">
        <v>38</v>
      </c>
      <c r="G1253" s="4" t="s">
        <v>39</v>
      </c>
      <c r="H1253" s="4" t="s">
        <v>40</v>
      </c>
      <c r="I1253" s="4" t="s">
        <v>182</v>
      </c>
      <c r="J1253" s="6"/>
      <c r="K1253" s="7"/>
      <c r="L1253" s="8" t="str">
        <f t="shared" si="158"/>
        <v>BUCARAMANGA</v>
      </c>
      <c r="O1253" s="10"/>
    </row>
    <row r="1254" ht="14.25" customHeight="1">
      <c r="A1254" s="1" t="s">
        <v>3613</v>
      </c>
      <c r="B1254" s="2" t="s">
        <v>27</v>
      </c>
      <c r="C1254" s="2" t="s">
        <v>28</v>
      </c>
      <c r="D1254" s="2" t="s">
        <v>3614</v>
      </c>
      <c r="E1254" s="3" t="s">
        <v>3615</v>
      </c>
      <c r="F1254" s="4" t="s">
        <v>38</v>
      </c>
      <c r="G1254" s="4" t="s">
        <v>113</v>
      </c>
      <c r="H1254" s="14"/>
      <c r="I1254" s="4" t="s">
        <v>358</v>
      </c>
      <c r="J1254" s="6" t="s">
        <v>1851</v>
      </c>
      <c r="K1254" s="7"/>
      <c r="L1254" s="8" t="str">
        <f t="shared" si="158"/>
        <v>BARRANCABERMEJA</v>
      </c>
      <c r="O1254" s="10"/>
    </row>
    <row r="1255" ht="14.25" hidden="1" customHeight="1">
      <c r="A1255" s="13" t="s">
        <v>3616</v>
      </c>
      <c r="B1255" s="4" t="s">
        <v>27</v>
      </c>
      <c r="C1255" s="4" t="s">
        <v>28</v>
      </c>
      <c r="D1255" s="4" t="s">
        <v>3617</v>
      </c>
      <c r="E1255" s="4">
        <v>3.102211527E9</v>
      </c>
      <c r="F1255" s="4" t="s">
        <v>30</v>
      </c>
      <c r="G1255" s="4" t="s">
        <v>35</v>
      </c>
      <c r="H1255" s="14"/>
      <c r="I1255" s="4" t="s">
        <v>32</v>
      </c>
      <c r="J1255" s="14"/>
      <c r="K1255" s="14"/>
      <c r="L1255" s="14"/>
    </row>
    <row r="1256" ht="14.25" hidden="1" customHeight="1">
      <c r="A1256" s="13" t="s">
        <v>3618</v>
      </c>
      <c r="B1256" s="4" t="s">
        <v>27</v>
      </c>
      <c r="C1256" s="4" t="s">
        <v>28</v>
      </c>
      <c r="D1256" s="4" t="s">
        <v>3619</v>
      </c>
      <c r="E1256" s="4">
        <v>3.102211527E9</v>
      </c>
      <c r="F1256" s="4" t="s">
        <v>30</v>
      </c>
      <c r="G1256" s="4" t="s">
        <v>35</v>
      </c>
      <c r="H1256" s="14"/>
      <c r="I1256" s="4" t="s">
        <v>32</v>
      </c>
      <c r="J1256" s="14"/>
      <c r="K1256" s="14"/>
      <c r="L1256" s="14"/>
    </row>
    <row r="1257" ht="14.25" hidden="1" customHeight="1">
      <c r="A1257" s="13" t="s">
        <v>3620</v>
      </c>
      <c r="B1257" s="4" t="s">
        <v>27</v>
      </c>
      <c r="C1257" s="4" t="s">
        <v>28</v>
      </c>
      <c r="D1257" s="4" t="s">
        <v>3621</v>
      </c>
      <c r="E1257" s="4">
        <v>3.23450271E9</v>
      </c>
      <c r="F1257" s="4" t="s">
        <v>30</v>
      </c>
      <c r="G1257" s="4" t="s">
        <v>35</v>
      </c>
      <c r="H1257" s="14"/>
      <c r="I1257" s="4" t="s">
        <v>32</v>
      </c>
      <c r="J1257" s="14"/>
      <c r="K1257" s="14"/>
      <c r="L1257" s="14"/>
    </row>
    <row r="1258" ht="14.25" customHeight="1">
      <c r="A1258" s="1" t="s">
        <v>3622</v>
      </c>
      <c r="B1258" s="2" t="s">
        <v>27</v>
      </c>
      <c r="C1258" s="2" t="s">
        <v>28</v>
      </c>
      <c r="D1258" s="2" t="s">
        <v>3623</v>
      </c>
      <c r="E1258" s="3" t="s">
        <v>3624</v>
      </c>
      <c r="F1258" s="4" t="s">
        <v>105</v>
      </c>
      <c r="G1258" s="4" t="s">
        <v>225</v>
      </c>
      <c r="H1258" s="14"/>
      <c r="I1258" s="4" t="s">
        <v>51</v>
      </c>
      <c r="J1258" s="6"/>
      <c r="K1258" s="7"/>
      <c r="L1258" s="8" t="str">
        <f>UPPER(G1258)</f>
        <v>MEDELLIN</v>
      </c>
      <c r="O1258" s="10"/>
    </row>
    <row r="1259" ht="14.25" hidden="1" customHeight="1">
      <c r="A1259" s="13" t="s">
        <v>3625</v>
      </c>
      <c r="B1259" s="4" t="s">
        <v>27</v>
      </c>
      <c r="C1259" s="4" t="s">
        <v>28</v>
      </c>
      <c r="D1259" s="4" t="s">
        <v>3626</v>
      </c>
      <c r="E1259" s="4">
        <v>3.124295466E9</v>
      </c>
      <c r="F1259" s="4" t="s">
        <v>30</v>
      </c>
      <c r="G1259" s="4" t="s">
        <v>35</v>
      </c>
      <c r="H1259" s="14"/>
      <c r="I1259" s="4" t="s">
        <v>32</v>
      </c>
      <c r="J1259" s="14"/>
      <c r="K1259" s="14"/>
      <c r="L1259" s="14"/>
    </row>
    <row r="1260" ht="14.25" customHeight="1">
      <c r="A1260" s="1" t="s">
        <v>3627</v>
      </c>
      <c r="B1260" s="2" t="s">
        <v>27</v>
      </c>
      <c r="C1260" s="2" t="s">
        <v>28</v>
      </c>
      <c r="D1260" s="2" t="s">
        <v>3628</v>
      </c>
      <c r="E1260" s="3" t="s">
        <v>2419</v>
      </c>
      <c r="F1260" s="4" t="s">
        <v>69</v>
      </c>
      <c r="G1260" s="4" t="s">
        <v>69</v>
      </c>
      <c r="H1260" s="4" t="s">
        <v>133</v>
      </c>
      <c r="I1260" s="4" t="s">
        <v>51</v>
      </c>
      <c r="J1260" s="6"/>
      <c r="K1260" s="7"/>
      <c r="L1260" s="8" t="str">
        <f t="shared" ref="L1260:L1267" si="159">UPPER(G1260)</f>
        <v>BOGOTA</v>
      </c>
      <c r="O1260" s="10"/>
    </row>
    <row r="1261" ht="14.25" customHeight="1">
      <c r="A1261" s="1" t="s">
        <v>3629</v>
      </c>
      <c r="B1261" s="2" t="s">
        <v>27</v>
      </c>
      <c r="C1261" s="2" t="s">
        <v>28</v>
      </c>
      <c r="D1261" s="2" t="s">
        <v>3630</v>
      </c>
      <c r="E1261" s="3" t="s">
        <v>3631</v>
      </c>
      <c r="F1261" s="4" t="s">
        <v>38</v>
      </c>
      <c r="G1261" s="4" t="s">
        <v>39</v>
      </c>
      <c r="H1261" s="14"/>
      <c r="I1261" s="4" t="s">
        <v>51</v>
      </c>
      <c r="J1261" s="6"/>
      <c r="K1261" s="7"/>
      <c r="L1261" s="8" t="str">
        <f t="shared" si="159"/>
        <v>BUCARAMANGA</v>
      </c>
      <c r="O1261" s="10"/>
    </row>
    <row r="1262" ht="14.25" customHeight="1">
      <c r="A1262" s="1" t="s">
        <v>3632</v>
      </c>
      <c r="B1262" s="2" t="s">
        <v>27</v>
      </c>
      <c r="C1262" s="2" t="s">
        <v>28</v>
      </c>
      <c r="D1262" s="2" t="s">
        <v>3633</v>
      </c>
      <c r="E1262" s="3" t="s">
        <v>3634</v>
      </c>
      <c r="F1262" s="4" t="s">
        <v>38</v>
      </c>
      <c r="G1262" s="4" t="s">
        <v>113</v>
      </c>
      <c r="H1262" s="4" t="s">
        <v>3635</v>
      </c>
      <c r="I1262" s="4" t="s">
        <v>358</v>
      </c>
      <c r="J1262" s="6" t="s">
        <v>3636</v>
      </c>
      <c r="K1262" s="7"/>
      <c r="L1262" s="8" t="str">
        <f t="shared" si="159"/>
        <v>BARRANCABERMEJA</v>
      </c>
      <c r="O1262" s="10"/>
    </row>
    <row r="1263" ht="14.25" customHeight="1">
      <c r="A1263" s="1" t="s">
        <v>3637</v>
      </c>
      <c r="B1263" s="2" t="s">
        <v>27</v>
      </c>
      <c r="C1263" s="2" t="s">
        <v>28</v>
      </c>
      <c r="D1263" s="2" t="s">
        <v>3638</v>
      </c>
      <c r="E1263" s="3" t="s">
        <v>3639</v>
      </c>
      <c r="F1263" s="4" t="s">
        <v>38</v>
      </c>
      <c r="G1263" s="4" t="s">
        <v>39</v>
      </c>
      <c r="H1263" s="4" t="s">
        <v>3640</v>
      </c>
      <c r="I1263" s="4" t="s">
        <v>76</v>
      </c>
      <c r="J1263" s="6"/>
      <c r="K1263" s="7"/>
      <c r="L1263" s="8" t="str">
        <f t="shared" si="159"/>
        <v>BUCARAMANGA</v>
      </c>
      <c r="O1263" s="10"/>
    </row>
    <row r="1264" ht="14.25" customHeight="1">
      <c r="A1264" s="1" t="s">
        <v>3641</v>
      </c>
      <c r="B1264" s="2" t="s">
        <v>27</v>
      </c>
      <c r="C1264" s="2" t="s">
        <v>28</v>
      </c>
      <c r="D1264" s="2" t="s">
        <v>3642</v>
      </c>
      <c r="E1264" s="3" t="s">
        <v>3643</v>
      </c>
      <c r="F1264" s="4" t="s">
        <v>38</v>
      </c>
      <c r="G1264" s="4" t="s">
        <v>81</v>
      </c>
      <c r="H1264" s="4" t="s">
        <v>308</v>
      </c>
      <c r="I1264" s="4" t="s">
        <v>561</v>
      </c>
      <c r="J1264" s="6"/>
      <c r="K1264" s="7"/>
      <c r="L1264" s="8" t="str">
        <f t="shared" si="159"/>
        <v>FLORIDABLANCA</v>
      </c>
      <c r="O1264" s="10"/>
    </row>
    <row r="1265" ht="14.25" customHeight="1">
      <c r="A1265" s="1" t="s">
        <v>3644</v>
      </c>
      <c r="B1265" s="2" t="s">
        <v>27</v>
      </c>
      <c r="C1265" s="2" t="s">
        <v>28</v>
      </c>
      <c r="D1265" s="2" t="s">
        <v>3645</v>
      </c>
      <c r="E1265" s="3" t="s">
        <v>3646</v>
      </c>
      <c r="F1265" s="4" t="s">
        <v>38</v>
      </c>
      <c r="G1265" s="4" t="s">
        <v>39</v>
      </c>
      <c r="H1265" s="4" t="s">
        <v>58</v>
      </c>
      <c r="I1265" s="4" t="s">
        <v>561</v>
      </c>
      <c r="J1265" s="6"/>
      <c r="K1265" s="7"/>
      <c r="L1265" s="8" t="str">
        <f t="shared" si="159"/>
        <v>BUCARAMANGA</v>
      </c>
      <c r="O1265" s="10"/>
    </row>
    <row r="1266" ht="14.25" customHeight="1">
      <c r="A1266" s="1" t="s">
        <v>3647</v>
      </c>
      <c r="B1266" s="2" t="s">
        <v>27</v>
      </c>
      <c r="C1266" s="2" t="s">
        <v>28</v>
      </c>
      <c r="D1266" s="2" t="s">
        <v>3648</v>
      </c>
      <c r="E1266" s="3" t="s">
        <v>3649</v>
      </c>
      <c r="F1266" s="4" t="s">
        <v>38</v>
      </c>
      <c r="G1266" s="4" t="s">
        <v>75</v>
      </c>
      <c r="H1266" s="4" t="s">
        <v>855</v>
      </c>
      <c r="I1266" s="4" t="s">
        <v>561</v>
      </c>
      <c r="J1266" s="6"/>
      <c r="K1266" s="7"/>
      <c r="L1266" s="8" t="str">
        <f t="shared" si="159"/>
        <v>GIRON</v>
      </c>
      <c r="O1266" s="10"/>
    </row>
    <row r="1267" ht="14.25" customHeight="1">
      <c r="A1267" s="1" t="s">
        <v>3650</v>
      </c>
      <c r="B1267" s="2" t="s">
        <v>27</v>
      </c>
      <c r="C1267" s="2" t="s">
        <v>28</v>
      </c>
      <c r="D1267" s="2" t="s">
        <v>3651</v>
      </c>
      <c r="E1267" s="3" t="s">
        <v>3652</v>
      </c>
      <c r="F1267" s="4" t="s">
        <v>38</v>
      </c>
      <c r="G1267" s="4" t="s">
        <v>201</v>
      </c>
      <c r="H1267" s="14"/>
      <c r="I1267" s="4" t="s">
        <v>561</v>
      </c>
      <c r="J1267" s="6"/>
      <c r="K1267" s="7"/>
      <c r="L1267" s="8" t="str">
        <f t="shared" si="159"/>
        <v>LEBRIJA</v>
      </c>
      <c r="O1267" s="10"/>
    </row>
    <row r="1268" ht="14.25" hidden="1" customHeight="1">
      <c r="A1268" s="13" t="s">
        <v>3653</v>
      </c>
      <c r="B1268" s="4" t="s">
        <v>27</v>
      </c>
      <c r="C1268" s="4" t="s">
        <v>28</v>
      </c>
      <c r="D1268" s="4" t="s">
        <v>3654</v>
      </c>
      <c r="E1268" s="4">
        <v>3.22731914E9</v>
      </c>
      <c r="F1268" s="4" t="s">
        <v>30</v>
      </c>
      <c r="G1268" s="4" t="s">
        <v>35</v>
      </c>
      <c r="H1268" s="14"/>
      <c r="I1268" s="4" t="s">
        <v>32</v>
      </c>
      <c r="J1268" s="14"/>
      <c r="K1268" s="14"/>
      <c r="L1268" s="14"/>
    </row>
    <row r="1269" ht="14.25" customHeight="1">
      <c r="A1269" s="1" t="s">
        <v>3655</v>
      </c>
      <c r="B1269" s="2" t="s">
        <v>27</v>
      </c>
      <c r="C1269" s="2" t="s">
        <v>28</v>
      </c>
      <c r="D1269" s="2" t="s">
        <v>3656</v>
      </c>
      <c r="E1269" s="3" t="s">
        <v>3657</v>
      </c>
      <c r="F1269" s="4" t="s">
        <v>69</v>
      </c>
      <c r="G1269" s="4" t="s">
        <v>69</v>
      </c>
      <c r="H1269" s="14"/>
      <c r="I1269" s="4" t="s">
        <v>182</v>
      </c>
      <c r="J1269" s="6"/>
      <c r="K1269" s="7"/>
      <c r="L1269" s="8" t="str">
        <f t="shared" ref="L1269:L1274" si="160">UPPER(G1269)</f>
        <v>BOGOTA</v>
      </c>
      <c r="O1269" s="10"/>
    </row>
    <row r="1270" ht="14.25" customHeight="1">
      <c r="A1270" s="1" t="s">
        <v>3658</v>
      </c>
      <c r="B1270" s="2" t="s">
        <v>27</v>
      </c>
      <c r="C1270" s="2" t="s">
        <v>28</v>
      </c>
      <c r="D1270" s="2" t="s">
        <v>3659</v>
      </c>
      <c r="E1270" s="3" t="s">
        <v>3660</v>
      </c>
      <c r="F1270" s="4" t="s">
        <v>38</v>
      </c>
      <c r="G1270" s="4" t="s">
        <v>39</v>
      </c>
      <c r="H1270" s="4" t="s">
        <v>229</v>
      </c>
      <c r="I1270" s="4" t="s">
        <v>76</v>
      </c>
      <c r="J1270" s="6"/>
      <c r="K1270" s="7"/>
      <c r="L1270" s="8" t="str">
        <f t="shared" si="160"/>
        <v>BUCARAMANGA</v>
      </c>
      <c r="O1270" s="10"/>
    </row>
    <row r="1271" ht="14.25" customHeight="1">
      <c r="A1271" s="1" t="s">
        <v>3661</v>
      </c>
      <c r="B1271" s="2" t="s">
        <v>27</v>
      </c>
      <c r="C1271" s="2" t="s">
        <v>28</v>
      </c>
      <c r="D1271" s="2" t="s">
        <v>3662</v>
      </c>
      <c r="E1271" s="3" t="s">
        <v>3663</v>
      </c>
      <c r="F1271" s="4" t="s">
        <v>69</v>
      </c>
      <c r="G1271" s="4" t="s">
        <v>69</v>
      </c>
      <c r="H1271" s="14"/>
      <c r="I1271" s="4" t="s">
        <v>51</v>
      </c>
      <c r="J1271" s="6"/>
      <c r="K1271" s="7"/>
      <c r="L1271" s="8" t="str">
        <f t="shared" si="160"/>
        <v>BOGOTA</v>
      </c>
      <c r="O1271" s="10"/>
    </row>
    <row r="1272" ht="14.25" customHeight="1">
      <c r="A1272" s="1" t="s">
        <v>3664</v>
      </c>
      <c r="B1272" s="2" t="s">
        <v>27</v>
      </c>
      <c r="C1272" s="2" t="s">
        <v>28</v>
      </c>
      <c r="D1272" s="2" t="s">
        <v>3665</v>
      </c>
      <c r="E1272" s="3" t="s">
        <v>3666</v>
      </c>
      <c r="F1272" s="4" t="s">
        <v>69</v>
      </c>
      <c r="G1272" s="4" t="s">
        <v>69</v>
      </c>
      <c r="H1272" s="4" t="s">
        <v>133</v>
      </c>
      <c r="I1272" s="4" t="s">
        <v>51</v>
      </c>
      <c r="J1272" s="6"/>
      <c r="K1272" s="7"/>
      <c r="L1272" s="8" t="str">
        <f t="shared" si="160"/>
        <v>BOGOTA</v>
      </c>
      <c r="O1272" s="10"/>
    </row>
    <row r="1273" ht="14.25" customHeight="1">
      <c r="A1273" s="1" t="s">
        <v>3667</v>
      </c>
      <c r="B1273" s="2" t="s">
        <v>27</v>
      </c>
      <c r="C1273" s="2" t="s">
        <v>28</v>
      </c>
      <c r="D1273" s="2" t="s">
        <v>3668</v>
      </c>
      <c r="E1273" s="3" t="s">
        <v>1148</v>
      </c>
      <c r="F1273" s="4" t="s">
        <v>38</v>
      </c>
      <c r="G1273" s="4" t="s">
        <v>784</v>
      </c>
      <c r="H1273" s="14"/>
      <c r="I1273" s="4" t="s">
        <v>76</v>
      </c>
      <c r="J1273" s="6"/>
      <c r="K1273" s="7"/>
      <c r="L1273" s="8" t="str">
        <f t="shared" si="160"/>
        <v>SAN GIL</v>
      </c>
      <c r="O1273" s="10"/>
    </row>
    <row r="1274" ht="14.25" customHeight="1">
      <c r="A1274" s="1" t="s">
        <v>3669</v>
      </c>
      <c r="B1274" s="2" t="s">
        <v>27</v>
      </c>
      <c r="C1274" s="2" t="s">
        <v>28</v>
      </c>
      <c r="D1274" s="2" t="s">
        <v>3670</v>
      </c>
      <c r="E1274" s="3" t="s">
        <v>3671</v>
      </c>
      <c r="F1274" s="4" t="s">
        <v>38</v>
      </c>
      <c r="G1274" s="4" t="s">
        <v>39</v>
      </c>
      <c r="H1274" s="14"/>
      <c r="I1274" s="4" t="s">
        <v>76</v>
      </c>
      <c r="J1274" s="6"/>
      <c r="K1274" s="7"/>
      <c r="L1274" s="8" t="str">
        <f t="shared" si="160"/>
        <v>BUCARAMANGA</v>
      </c>
      <c r="O1274" s="10"/>
    </row>
    <row r="1275" ht="14.25" hidden="1" customHeight="1">
      <c r="A1275" s="13" t="s">
        <v>3672</v>
      </c>
      <c r="B1275" s="4" t="s">
        <v>27</v>
      </c>
      <c r="C1275" s="4" t="s">
        <v>28</v>
      </c>
      <c r="D1275" s="4" t="s">
        <v>3673</v>
      </c>
      <c r="E1275" s="4">
        <v>3.102211527E9</v>
      </c>
      <c r="F1275" s="4" t="s">
        <v>30</v>
      </c>
      <c r="G1275" s="4" t="s">
        <v>35</v>
      </c>
      <c r="H1275" s="14"/>
      <c r="I1275" s="4" t="s">
        <v>32</v>
      </c>
      <c r="J1275" s="14"/>
      <c r="K1275" s="14"/>
      <c r="L1275" s="14"/>
    </row>
    <row r="1276" ht="14.25" customHeight="1">
      <c r="A1276" s="1" t="s">
        <v>3674</v>
      </c>
      <c r="B1276" s="2" t="s">
        <v>27</v>
      </c>
      <c r="C1276" s="2" t="s">
        <v>28</v>
      </c>
      <c r="D1276" s="2" t="s">
        <v>3675</v>
      </c>
      <c r="E1276" s="3" t="s">
        <v>3676</v>
      </c>
      <c r="F1276" s="4" t="s">
        <v>38</v>
      </c>
      <c r="G1276" s="4" t="s">
        <v>81</v>
      </c>
      <c r="H1276" s="14"/>
      <c r="I1276" s="4" t="s">
        <v>164</v>
      </c>
      <c r="J1276" s="6"/>
      <c r="K1276" s="7"/>
      <c r="L1276" s="8" t="str">
        <f>UPPER(G1276)</f>
        <v>FLORIDABLANCA</v>
      </c>
      <c r="O1276" s="10"/>
    </row>
    <row r="1277" ht="14.25" hidden="1" customHeight="1">
      <c r="A1277" s="13" t="s">
        <v>3677</v>
      </c>
      <c r="B1277" s="4" t="s">
        <v>27</v>
      </c>
      <c r="C1277" s="4" t="s">
        <v>28</v>
      </c>
      <c r="D1277" s="4" t="s">
        <v>3678</v>
      </c>
      <c r="E1277" s="4">
        <v>3.12591924E9</v>
      </c>
      <c r="F1277" s="4" t="s">
        <v>30</v>
      </c>
      <c r="G1277" s="4" t="s">
        <v>35</v>
      </c>
      <c r="H1277" s="14"/>
      <c r="I1277" s="4" t="s">
        <v>32</v>
      </c>
      <c r="J1277" s="14"/>
      <c r="K1277" s="14"/>
      <c r="L1277" s="14"/>
    </row>
    <row r="1278" ht="14.25" hidden="1" customHeight="1">
      <c r="A1278" s="13" t="s">
        <v>3679</v>
      </c>
      <c r="B1278" s="4" t="s">
        <v>27</v>
      </c>
      <c r="C1278" s="4" t="s">
        <v>28</v>
      </c>
      <c r="D1278" s="4" t="s">
        <v>3680</v>
      </c>
      <c r="E1278" s="4">
        <v>3.115767365E9</v>
      </c>
      <c r="F1278" s="4" t="s">
        <v>30</v>
      </c>
      <c r="G1278" s="4" t="s">
        <v>35</v>
      </c>
      <c r="H1278" s="14"/>
      <c r="I1278" s="4" t="s">
        <v>32</v>
      </c>
      <c r="J1278" s="14"/>
      <c r="K1278" s="14"/>
      <c r="L1278" s="14"/>
    </row>
    <row r="1279" ht="14.25" hidden="1" customHeight="1">
      <c r="A1279" s="13" t="s">
        <v>3681</v>
      </c>
      <c r="B1279" s="4" t="s">
        <v>27</v>
      </c>
      <c r="C1279" s="4" t="s">
        <v>28</v>
      </c>
      <c r="D1279" s="4" t="s">
        <v>3682</v>
      </c>
      <c r="E1279" s="4">
        <v>3.126882431E9</v>
      </c>
      <c r="F1279" s="4" t="s">
        <v>30</v>
      </c>
      <c r="G1279" s="4" t="s">
        <v>35</v>
      </c>
      <c r="H1279" s="14"/>
      <c r="I1279" s="4" t="s">
        <v>32</v>
      </c>
      <c r="J1279" s="14"/>
      <c r="K1279" s="14"/>
      <c r="L1279" s="14"/>
    </row>
    <row r="1280" ht="14.25" customHeight="1">
      <c r="A1280" s="1" t="s">
        <v>3683</v>
      </c>
      <c r="B1280" s="2" t="s">
        <v>27</v>
      </c>
      <c r="C1280" s="2" t="s">
        <v>28</v>
      </c>
      <c r="D1280" s="2" t="s">
        <v>3684</v>
      </c>
      <c r="E1280" s="3" t="s">
        <v>3685</v>
      </c>
      <c r="F1280" s="4" t="s">
        <v>38</v>
      </c>
      <c r="G1280" s="4" t="s">
        <v>113</v>
      </c>
      <c r="H1280" s="14"/>
      <c r="I1280" s="4" t="s">
        <v>540</v>
      </c>
      <c r="J1280" s="6"/>
      <c r="K1280" s="7"/>
      <c r="L1280" s="8" t="str">
        <f t="shared" ref="L1280:L1287" si="161">UPPER(G1280)</f>
        <v>BARRANCABERMEJA</v>
      </c>
      <c r="O1280" s="10"/>
    </row>
    <row r="1281" ht="14.25" customHeight="1">
      <c r="A1281" s="1" t="s">
        <v>3686</v>
      </c>
      <c r="B1281" s="2" t="s">
        <v>27</v>
      </c>
      <c r="C1281" s="2" t="s">
        <v>28</v>
      </c>
      <c r="D1281" s="2" t="s">
        <v>3687</v>
      </c>
      <c r="E1281" s="3" t="s">
        <v>3688</v>
      </c>
      <c r="F1281" s="4" t="s">
        <v>38</v>
      </c>
      <c r="G1281" s="4" t="s">
        <v>39</v>
      </c>
      <c r="H1281" s="14"/>
      <c r="I1281" s="4" t="s">
        <v>540</v>
      </c>
      <c r="J1281" s="6"/>
      <c r="K1281" s="7"/>
      <c r="L1281" s="8" t="str">
        <f t="shared" si="161"/>
        <v>BUCARAMANGA</v>
      </c>
      <c r="O1281" s="10"/>
    </row>
    <row r="1282" ht="14.25" customHeight="1">
      <c r="A1282" s="1" t="s">
        <v>3689</v>
      </c>
      <c r="B1282" s="2" t="s">
        <v>27</v>
      </c>
      <c r="C1282" s="2" t="s">
        <v>28</v>
      </c>
      <c r="D1282" s="2" t="s">
        <v>3690</v>
      </c>
      <c r="E1282" s="3" t="s">
        <v>3691</v>
      </c>
      <c r="F1282" s="4" t="s">
        <v>38</v>
      </c>
      <c r="G1282" s="4" t="s">
        <v>39</v>
      </c>
      <c r="H1282" s="4" t="s">
        <v>118</v>
      </c>
      <c r="I1282" s="4" t="s">
        <v>182</v>
      </c>
      <c r="J1282" s="6"/>
      <c r="K1282" s="7"/>
      <c r="L1282" s="8" t="str">
        <f t="shared" si="161"/>
        <v>BUCARAMANGA</v>
      </c>
      <c r="O1282" s="10"/>
    </row>
    <row r="1283" ht="14.25" customHeight="1">
      <c r="A1283" s="1" t="s">
        <v>3692</v>
      </c>
      <c r="B1283" s="2" t="s">
        <v>27</v>
      </c>
      <c r="C1283" s="2" t="s">
        <v>28</v>
      </c>
      <c r="D1283" s="2" t="s">
        <v>3693</v>
      </c>
      <c r="E1283" s="3" t="s">
        <v>3694</v>
      </c>
      <c r="F1283" s="4" t="s">
        <v>38</v>
      </c>
      <c r="G1283" s="4" t="s">
        <v>113</v>
      </c>
      <c r="H1283" s="4" t="s">
        <v>3695</v>
      </c>
      <c r="I1283" s="4" t="s">
        <v>419</v>
      </c>
      <c r="J1283" s="6" t="s">
        <v>1734</v>
      </c>
      <c r="K1283" s="7">
        <v>7.0</v>
      </c>
      <c r="L1283" s="8" t="str">
        <f t="shared" si="161"/>
        <v>BARRANCABERMEJA</v>
      </c>
      <c r="O1283" s="10"/>
    </row>
    <row r="1284" ht="14.25" customHeight="1">
      <c r="A1284" s="1" t="s">
        <v>3696</v>
      </c>
      <c r="B1284" s="2" t="s">
        <v>27</v>
      </c>
      <c r="C1284" s="2" t="s">
        <v>551</v>
      </c>
      <c r="D1284" s="2" t="s">
        <v>3697</v>
      </c>
      <c r="E1284" s="3" t="s">
        <v>3698</v>
      </c>
      <c r="F1284" s="4" t="s">
        <v>38</v>
      </c>
      <c r="G1284" s="4" t="s">
        <v>113</v>
      </c>
      <c r="H1284" s="4" t="s">
        <v>1985</v>
      </c>
      <c r="I1284" s="4" t="s">
        <v>419</v>
      </c>
      <c r="J1284" s="6" t="s">
        <v>1435</v>
      </c>
      <c r="K1284" s="7">
        <v>6.0</v>
      </c>
      <c r="L1284" s="8" t="str">
        <f t="shared" si="161"/>
        <v>BARRANCABERMEJA</v>
      </c>
      <c r="O1284" s="10"/>
    </row>
    <row r="1285" ht="14.25" customHeight="1">
      <c r="A1285" s="1" t="s">
        <v>3699</v>
      </c>
      <c r="B1285" s="2" t="s">
        <v>27</v>
      </c>
      <c r="C1285" s="2" t="s">
        <v>28</v>
      </c>
      <c r="D1285" s="2" t="s">
        <v>3700</v>
      </c>
      <c r="E1285" s="3" t="s">
        <v>3701</v>
      </c>
      <c r="F1285" s="4" t="s">
        <v>38</v>
      </c>
      <c r="G1285" s="4" t="s">
        <v>39</v>
      </c>
      <c r="H1285" s="4" t="s">
        <v>40</v>
      </c>
      <c r="I1285" s="4" t="s">
        <v>561</v>
      </c>
      <c r="J1285" s="6"/>
      <c r="K1285" s="7"/>
      <c r="L1285" s="8" t="str">
        <f t="shared" si="161"/>
        <v>BUCARAMANGA</v>
      </c>
      <c r="O1285" s="10"/>
    </row>
    <row r="1286" ht="14.25" customHeight="1">
      <c r="A1286" s="1" t="s">
        <v>3702</v>
      </c>
      <c r="B1286" s="2" t="s">
        <v>27</v>
      </c>
      <c r="C1286" s="2" t="s">
        <v>28</v>
      </c>
      <c r="D1286" s="2" t="s">
        <v>3703</v>
      </c>
      <c r="E1286" s="3" t="s">
        <v>3704</v>
      </c>
      <c r="F1286" s="4" t="s">
        <v>38</v>
      </c>
      <c r="G1286" s="4" t="s">
        <v>39</v>
      </c>
      <c r="H1286" s="14"/>
      <c r="I1286" s="4" t="s">
        <v>51</v>
      </c>
      <c r="J1286" s="6"/>
      <c r="K1286" s="7"/>
      <c r="L1286" s="8" t="str">
        <f t="shared" si="161"/>
        <v>BUCARAMANGA</v>
      </c>
      <c r="O1286" s="10"/>
    </row>
    <row r="1287" ht="14.25" customHeight="1">
      <c r="A1287" s="1" t="s">
        <v>3705</v>
      </c>
      <c r="B1287" s="2" t="s">
        <v>27</v>
      </c>
      <c r="C1287" s="2" t="s">
        <v>28</v>
      </c>
      <c r="D1287" s="2" t="s">
        <v>3706</v>
      </c>
      <c r="E1287" s="3" t="s">
        <v>3707</v>
      </c>
      <c r="F1287" s="4" t="s">
        <v>38</v>
      </c>
      <c r="G1287" s="4" t="s">
        <v>39</v>
      </c>
      <c r="H1287" s="14"/>
      <c r="I1287" s="4" t="s">
        <v>540</v>
      </c>
      <c r="J1287" s="6"/>
      <c r="K1287" s="7"/>
      <c r="L1287" s="8" t="str">
        <f t="shared" si="161"/>
        <v>BUCARAMANGA</v>
      </c>
      <c r="O1287" s="10"/>
    </row>
    <row r="1288" ht="14.25" hidden="1" customHeight="1">
      <c r="A1288" s="13" t="s">
        <v>3708</v>
      </c>
      <c r="B1288" s="4" t="s">
        <v>27</v>
      </c>
      <c r="C1288" s="4" t="s">
        <v>28</v>
      </c>
      <c r="D1288" s="4" t="s">
        <v>3709</v>
      </c>
      <c r="E1288" s="4">
        <v>3.118713141E9</v>
      </c>
      <c r="F1288" s="4" t="s">
        <v>30</v>
      </c>
      <c r="G1288" s="4" t="s">
        <v>31</v>
      </c>
      <c r="H1288" s="14"/>
      <c r="I1288" s="4" t="s">
        <v>32</v>
      </c>
      <c r="J1288" s="14"/>
      <c r="K1288" s="14"/>
      <c r="L1288" s="14"/>
    </row>
    <row r="1289" ht="14.25" customHeight="1">
      <c r="A1289" s="1" t="s">
        <v>3710</v>
      </c>
      <c r="B1289" s="2" t="s">
        <v>65</v>
      </c>
      <c r="C1289" s="2" t="s">
        <v>28</v>
      </c>
      <c r="D1289" s="2" t="s">
        <v>3711</v>
      </c>
      <c r="E1289" s="3" t="s">
        <v>3712</v>
      </c>
      <c r="F1289" s="4" t="s">
        <v>38</v>
      </c>
      <c r="G1289" s="4" t="s">
        <v>113</v>
      </c>
      <c r="H1289" s="14"/>
      <c r="I1289" s="4" t="s">
        <v>540</v>
      </c>
      <c r="J1289" s="6"/>
      <c r="K1289" s="7"/>
      <c r="L1289" s="8" t="str">
        <f t="shared" ref="L1289:L1290" si="162">UPPER(G1289)</f>
        <v>BARRANCABERMEJA</v>
      </c>
      <c r="O1289" s="10"/>
    </row>
    <row r="1290" ht="14.25" customHeight="1">
      <c r="A1290" s="1" t="s">
        <v>3713</v>
      </c>
      <c r="B1290" s="2" t="s">
        <v>65</v>
      </c>
      <c r="C1290" s="2" t="s">
        <v>28</v>
      </c>
      <c r="D1290" s="2" t="s">
        <v>3714</v>
      </c>
      <c r="E1290" s="3" t="s">
        <v>3715</v>
      </c>
      <c r="F1290" s="4" t="s">
        <v>38</v>
      </c>
      <c r="G1290" s="4" t="s">
        <v>39</v>
      </c>
      <c r="H1290" s="4" t="s">
        <v>58</v>
      </c>
      <c r="I1290" s="4" t="s">
        <v>540</v>
      </c>
      <c r="J1290" s="6"/>
      <c r="K1290" s="7"/>
      <c r="L1290" s="8" t="str">
        <f t="shared" si="162"/>
        <v>BUCARAMANGA</v>
      </c>
      <c r="O1290" s="10"/>
    </row>
    <row r="1291" ht="14.25" hidden="1" customHeight="1">
      <c r="A1291" s="13" t="s">
        <v>3716</v>
      </c>
      <c r="B1291" s="4" t="s">
        <v>27</v>
      </c>
      <c r="C1291" s="4" t="s">
        <v>28</v>
      </c>
      <c r="D1291" s="4" t="s">
        <v>3717</v>
      </c>
      <c r="E1291" s="4">
        <v>3.213289711E9</v>
      </c>
      <c r="F1291" s="4" t="s">
        <v>30</v>
      </c>
      <c r="G1291" s="4" t="s">
        <v>35</v>
      </c>
      <c r="H1291" s="14"/>
      <c r="I1291" s="4" t="s">
        <v>32</v>
      </c>
      <c r="J1291" s="14"/>
      <c r="K1291" s="14"/>
      <c r="L1291" s="14"/>
    </row>
    <row r="1292" ht="14.25" hidden="1" customHeight="1">
      <c r="A1292" s="13" t="s">
        <v>3718</v>
      </c>
      <c r="B1292" s="4" t="s">
        <v>27</v>
      </c>
      <c r="C1292" s="4" t="s">
        <v>28</v>
      </c>
      <c r="D1292" s="4" t="s">
        <v>3719</v>
      </c>
      <c r="E1292" s="4">
        <v>3.22731914E9</v>
      </c>
      <c r="F1292" s="4" t="s">
        <v>30</v>
      </c>
      <c r="G1292" s="4" t="s">
        <v>35</v>
      </c>
      <c r="H1292" s="14"/>
      <c r="I1292" s="4" t="s">
        <v>32</v>
      </c>
      <c r="J1292" s="14"/>
      <c r="K1292" s="14"/>
      <c r="L1292" s="14"/>
    </row>
    <row r="1293" ht="14.25" customHeight="1">
      <c r="A1293" s="1" t="s">
        <v>3720</v>
      </c>
      <c r="B1293" s="2" t="s">
        <v>27</v>
      </c>
      <c r="C1293" s="2" t="s">
        <v>28</v>
      </c>
      <c r="D1293" s="2" t="s">
        <v>3721</v>
      </c>
      <c r="E1293" s="3" t="s">
        <v>3518</v>
      </c>
      <c r="F1293" s="4" t="s">
        <v>38</v>
      </c>
      <c r="G1293" s="4" t="s">
        <v>39</v>
      </c>
      <c r="H1293" s="14"/>
      <c r="I1293" s="4" t="s">
        <v>540</v>
      </c>
      <c r="J1293" s="6"/>
      <c r="K1293" s="7"/>
      <c r="L1293" s="8" t="str">
        <f t="shared" ref="L1293:L1294" si="163">UPPER(G1293)</f>
        <v>BUCARAMANGA</v>
      </c>
      <c r="O1293" s="10"/>
    </row>
    <row r="1294" ht="14.25" customHeight="1">
      <c r="A1294" s="1" t="s">
        <v>3722</v>
      </c>
      <c r="B1294" s="2" t="s">
        <v>27</v>
      </c>
      <c r="C1294" s="2" t="s">
        <v>28</v>
      </c>
      <c r="D1294" s="2" t="s">
        <v>3723</v>
      </c>
      <c r="E1294" s="3" t="s">
        <v>3724</v>
      </c>
      <c r="F1294" s="4" t="s">
        <v>38</v>
      </c>
      <c r="G1294" s="4" t="s">
        <v>39</v>
      </c>
      <c r="H1294" s="14"/>
      <c r="I1294" s="4" t="s">
        <v>76</v>
      </c>
      <c r="J1294" s="6"/>
      <c r="K1294" s="7"/>
      <c r="L1294" s="8" t="str">
        <f t="shared" si="163"/>
        <v>BUCARAMANGA</v>
      </c>
      <c r="O1294" s="10"/>
    </row>
    <row r="1295" ht="14.25" hidden="1" customHeight="1">
      <c r="A1295" s="13" t="s">
        <v>3725</v>
      </c>
      <c r="B1295" s="4" t="s">
        <v>27</v>
      </c>
      <c r="C1295" s="4" t="s">
        <v>28</v>
      </c>
      <c r="D1295" s="4" t="s">
        <v>3726</v>
      </c>
      <c r="E1295" s="4">
        <v>3.213289711E9</v>
      </c>
      <c r="F1295" s="4" t="s">
        <v>30</v>
      </c>
      <c r="G1295" s="4" t="s">
        <v>35</v>
      </c>
      <c r="H1295" s="14"/>
      <c r="I1295" s="4" t="s">
        <v>32</v>
      </c>
      <c r="J1295" s="14"/>
      <c r="K1295" s="14"/>
      <c r="L1295" s="14"/>
    </row>
    <row r="1296" ht="14.25" customHeight="1">
      <c r="A1296" s="1" t="s">
        <v>3727</v>
      </c>
      <c r="B1296" s="2" t="s">
        <v>27</v>
      </c>
      <c r="C1296" s="2" t="s">
        <v>28</v>
      </c>
      <c r="D1296" s="2" t="s">
        <v>3728</v>
      </c>
      <c r="E1296" s="3" t="s">
        <v>1854</v>
      </c>
      <c r="F1296" s="4" t="s">
        <v>38</v>
      </c>
      <c r="G1296" s="4" t="s">
        <v>81</v>
      </c>
      <c r="H1296" s="4" t="s">
        <v>2985</v>
      </c>
      <c r="I1296" s="4" t="s">
        <v>561</v>
      </c>
      <c r="J1296" s="6"/>
      <c r="K1296" s="7"/>
      <c r="L1296" s="8" t="str">
        <f t="shared" ref="L1296:L1303" si="164">UPPER(G1296)</f>
        <v>FLORIDABLANCA</v>
      </c>
      <c r="O1296" s="10"/>
    </row>
    <row r="1297" ht="14.25" customHeight="1">
      <c r="A1297" s="1" t="s">
        <v>3729</v>
      </c>
      <c r="B1297" s="2" t="s">
        <v>27</v>
      </c>
      <c r="C1297" s="2" t="s">
        <v>28</v>
      </c>
      <c r="D1297" s="2" t="s">
        <v>3730</v>
      </c>
      <c r="E1297" s="3" t="s">
        <v>3731</v>
      </c>
      <c r="F1297" s="4" t="s">
        <v>38</v>
      </c>
      <c r="G1297" s="4" t="s">
        <v>81</v>
      </c>
      <c r="H1297" s="4" t="s">
        <v>308</v>
      </c>
      <c r="I1297" s="4" t="s">
        <v>561</v>
      </c>
      <c r="J1297" s="6"/>
      <c r="K1297" s="7"/>
      <c r="L1297" s="8" t="str">
        <f t="shared" si="164"/>
        <v>FLORIDABLANCA</v>
      </c>
      <c r="O1297" s="10"/>
    </row>
    <row r="1298" ht="14.25" customHeight="1">
      <c r="A1298" s="1" t="s">
        <v>3732</v>
      </c>
      <c r="B1298" s="2" t="s">
        <v>27</v>
      </c>
      <c r="C1298" s="2" t="s">
        <v>28</v>
      </c>
      <c r="D1298" s="2" t="s">
        <v>3733</v>
      </c>
      <c r="E1298" s="3" t="s">
        <v>3734</v>
      </c>
      <c r="F1298" s="4" t="s">
        <v>69</v>
      </c>
      <c r="G1298" s="4" t="s">
        <v>69</v>
      </c>
      <c r="H1298" s="14"/>
      <c r="I1298" s="4" t="s">
        <v>164</v>
      </c>
      <c r="J1298" s="6"/>
      <c r="K1298" s="7"/>
      <c r="L1298" s="8" t="str">
        <f t="shared" si="164"/>
        <v>BOGOTA</v>
      </c>
      <c r="O1298" s="10"/>
    </row>
    <row r="1299" ht="14.25" customHeight="1">
      <c r="A1299" s="1" t="s">
        <v>3735</v>
      </c>
      <c r="B1299" s="2" t="s">
        <v>27</v>
      </c>
      <c r="C1299" s="2" t="s">
        <v>28</v>
      </c>
      <c r="D1299" s="2" t="s">
        <v>3736</v>
      </c>
      <c r="E1299" s="3" t="s">
        <v>3737</v>
      </c>
      <c r="F1299" s="4" t="s">
        <v>38</v>
      </c>
      <c r="G1299" s="4" t="s">
        <v>81</v>
      </c>
      <c r="H1299" s="14"/>
      <c r="I1299" s="4" t="s">
        <v>164</v>
      </c>
      <c r="J1299" s="6"/>
      <c r="K1299" s="7"/>
      <c r="L1299" s="8" t="str">
        <f t="shared" si="164"/>
        <v>FLORIDABLANCA</v>
      </c>
      <c r="O1299" s="10"/>
    </row>
    <row r="1300" ht="14.25" customHeight="1">
      <c r="A1300" s="1" t="s">
        <v>3738</v>
      </c>
      <c r="B1300" s="2" t="s">
        <v>27</v>
      </c>
      <c r="C1300" s="2" t="s">
        <v>28</v>
      </c>
      <c r="D1300" s="2" t="s">
        <v>3739</v>
      </c>
      <c r="E1300" s="3" t="s">
        <v>3740</v>
      </c>
      <c r="F1300" s="4" t="s">
        <v>38</v>
      </c>
      <c r="G1300" s="4" t="s">
        <v>39</v>
      </c>
      <c r="H1300" s="14"/>
      <c r="I1300" s="4" t="s">
        <v>846</v>
      </c>
      <c r="J1300" s="6"/>
      <c r="K1300" s="7"/>
      <c r="L1300" s="8" t="str">
        <f t="shared" si="164"/>
        <v>BUCARAMANGA</v>
      </c>
      <c r="O1300" s="10"/>
    </row>
    <row r="1301" ht="14.25" customHeight="1">
      <c r="A1301" s="1" t="s">
        <v>3741</v>
      </c>
      <c r="B1301" s="2" t="s">
        <v>27</v>
      </c>
      <c r="C1301" s="2" t="s">
        <v>28</v>
      </c>
      <c r="D1301" s="2" t="s">
        <v>3739</v>
      </c>
      <c r="E1301" s="3" t="s">
        <v>3742</v>
      </c>
      <c r="F1301" s="4" t="s">
        <v>38</v>
      </c>
      <c r="G1301" s="4" t="s">
        <v>39</v>
      </c>
      <c r="H1301" s="4" t="s">
        <v>642</v>
      </c>
      <c r="I1301" s="4" t="s">
        <v>846</v>
      </c>
      <c r="J1301" s="6"/>
      <c r="K1301" s="7"/>
      <c r="L1301" s="8" t="str">
        <f t="shared" si="164"/>
        <v>BUCARAMANGA</v>
      </c>
      <c r="O1301" s="10"/>
    </row>
    <row r="1302" ht="14.25" customHeight="1">
      <c r="A1302" s="1" t="s">
        <v>3743</v>
      </c>
      <c r="B1302" s="2" t="s">
        <v>27</v>
      </c>
      <c r="C1302" s="2" t="s">
        <v>28</v>
      </c>
      <c r="D1302" s="2" t="s">
        <v>3744</v>
      </c>
      <c r="E1302" s="3" t="s">
        <v>3745</v>
      </c>
      <c r="F1302" s="4" t="s">
        <v>38</v>
      </c>
      <c r="G1302" s="4" t="s">
        <v>39</v>
      </c>
      <c r="H1302" s="14"/>
      <c r="I1302" s="4" t="s">
        <v>76</v>
      </c>
      <c r="J1302" s="6"/>
      <c r="K1302" s="7"/>
      <c r="L1302" s="8" t="str">
        <f t="shared" si="164"/>
        <v>BUCARAMANGA</v>
      </c>
      <c r="O1302" s="10"/>
    </row>
    <row r="1303" ht="14.25" customHeight="1">
      <c r="A1303" s="1" t="s">
        <v>3746</v>
      </c>
      <c r="B1303" s="2" t="s">
        <v>27</v>
      </c>
      <c r="C1303" s="2" t="s">
        <v>28</v>
      </c>
      <c r="D1303" s="2" t="s">
        <v>3747</v>
      </c>
      <c r="E1303" s="3" t="s">
        <v>3748</v>
      </c>
      <c r="F1303" s="4" t="s">
        <v>38</v>
      </c>
      <c r="G1303" s="4" t="s">
        <v>39</v>
      </c>
      <c r="H1303" s="14"/>
      <c r="I1303" s="4" t="s">
        <v>561</v>
      </c>
      <c r="J1303" s="6"/>
      <c r="K1303" s="7"/>
      <c r="L1303" s="8" t="str">
        <f t="shared" si="164"/>
        <v>BUCARAMANGA</v>
      </c>
      <c r="O1303" s="10"/>
    </row>
    <row r="1304" ht="14.25" hidden="1" customHeight="1">
      <c r="A1304" s="13" t="s">
        <v>3749</v>
      </c>
      <c r="B1304" s="4" t="s">
        <v>27</v>
      </c>
      <c r="C1304" s="4" t="s">
        <v>28</v>
      </c>
      <c r="D1304" s="4" t="s">
        <v>3750</v>
      </c>
      <c r="E1304" s="4">
        <v>3.22731914E9</v>
      </c>
      <c r="F1304" s="4" t="s">
        <v>30</v>
      </c>
      <c r="G1304" s="4" t="s">
        <v>35</v>
      </c>
      <c r="H1304" s="14"/>
      <c r="I1304" s="4" t="s">
        <v>32</v>
      </c>
      <c r="J1304" s="14"/>
      <c r="K1304" s="14"/>
      <c r="L1304" s="14"/>
    </row>
    <row r="1305" ht="14.25" customHeight="1">
      <c r="A1305" s="1" t="s">
        <v>3751</v>
      </c>
      <c r="B1305" s="2" t="s">
        <v>27</v>
      </c>
      <c r="C1305" s="2" t="s">
        <v>28</v>
      </c>
      <c r="D1305" s="2" t="s">
        <v>3752</v>
      </c>
      <c r="E1305" s="3" t="s">
        <v>3753</v>
      </c>
      <c r="F1305" s="4" t="s">
        <v>38</v>
      </c>
      <c r="G1305" s="4" t="s">
        <v>81</v>
      </c>
      <c r="H1305" s="14"/>
      <c r="I1305" s="4" t="s">
        <v>561</v>
      </c>
      <c r="J1305" s="6"/>
      <c r="K1305" s="7"/>
      <c r="L1305" s="8" t="str">
        <f>UPPER(G1305)</f>
        <v>FLORIDABLANCA</v>
      </c>
      <c r="O1305" s="10"/>
    </row>
    <row r="1306" ht="14.25" hidden="1" customHeight="1">
      <c r="A1306" s="13" t="s">
        <v>3754</v>
      </c>
      <c r="B1306" s="4" t="s">
        <v>27</v>
      </c>
      <c r="C1306" s="4" t="s">
        <v>28</v>
      </c>
      <c r="D1306" s="4" t="s">
        <v>3755</v>
      </c>
      <c r="E1306" s="4">
        <v>3.229457091E9</v>
      </c>
      <c r="F1306" s="4" t="s">
        <v>30</v>
      </c>
      <c r="G1306" s="4" t="s">
        <v>35</v>
      </c>
      <c r="H1306" s="14"/>
      <c r="I1306" s="4" t="s">
        <v>32</v>
      </c>
      <c r="J1306" s="14"/>
      <c r="K1306" s="14"/>
      <c r="L1306" s="14"/>
    </row>
    <row r="1307" ht="14.25" customHeight="1">
      <c r="A1307" s="1" t="s">
        <v>3756</v>
      </c>
      <c r="B1307" s="2" t="s">
        <v>27</v>
      </c>
      <c r="C1307" s="2" t="s">
        <v>28</v>
      </c>
      <c r="D1307" s="2" t="s">
        <v>3757</v>
      </c>
      <c r="E1307" s="3" t="s">
        <v>3758</v>
      </c>
      <c r="F1307" s="4" t="s">
        <v>69</v>
      </c>
      <c r="G1307" s="4" t="s">
        <v>69</v>
      </c>
      <c r="H1307" s="14"/>
      <c r="I1307" s="4" t="s">
        <v>51</v>
      </c>
      <c r="J1307" s="6"/>
      <c r="K1307" s="7"/>
      <c r="L1307" s="8" t="str">
        <f t="shared" ref="L1307:L1308" si="165">UPPER(G1307)</f>
        <v>BOGOTA</v>
      </c>
      <c r="O1307" s="10"/>
    </row>
    <row r="1308" ht="14.25" customHeight="1">
      <c r="A1308" s="1" t="s">
        <v>3759</v>
      </c>
      <c r="B1308" s="2" t="s">
        <v>27</v>
      </c>
      <c r="C1308" s="2" t="s">
        <v>28</v>
      </c>
      <c r="D1308" s="2" t="s">
        <v>3760</v>
      </c>
      <c r="E1308" s="3" t="s">
        <v>3761</v>
      </c>
      <c r="F1308" s="4" t="s">
        <v>38</v>
      </c>
      <c r="G1308" s="4" t="s">
        <v>39</v>
      </c>
      <c r="H1308" s="4" t="s">
        <v>40</v>
      </c>
      <c r="I1308" s="4" t="s">
        <v>540</v>
      </c>
      <c r="J1308" s="6"/>
      <c r="K1308" s="7"/>
      <c r="L1308" s="8" t="str">
        <f t="shared" si="165"/>
        <v>BUCARAMANGA</v>
      </c>
      <c r="O1308" s="10"/>
    </row>
    <row r="1309" ht="14.25" hidden="1" customHeight="1">
      <c r="A1309" s="13" t="s">
        <v>3762</v>
      </c>
      <c r="B1309" s="4" t="s">
        <v>27</v>
      </c>
      <c r="C1309" s="4" t="s">
        <v>28</v>
      </c>
      <c r="D1309" s="4" t="s">
        <v>3763</v>
      </c>
      <c r="E1309" s="4">
        <v>3.124295466E9</v>
      </c>
      <c r="F1309" s="4" t="s">
        <v>30</v>
      </c>
      <c r="G1309" s="4" t="s">
        <v>35</v>
      </c>
      <c r="H1309" s="14"/>
      <c r="I1309" s="4" t="s">
        <v>32</v>
      </c>
      <c r="J1309" s="14"/>
      <c r="K1309" s="14"/>
      <c r="L1309" s="14"/>
    </row>
    <row r="1310" ht="14.25" customHeight="1">
      <c r="A1310" s="1" t="s">
        <v>3764</v>
      </c>
      <c r="B1310" s="2" t="s">
        <v>27</v>
      </c>
      <c r="C1310" s="2" t="s">
        <v>28</v>
      </c>
      <c r="D1310" s="2" t="s">
        <v>3765</v>
      </c>
      <c r="E1310" s="3" t="s">
        <v>3766</v>
      </c>
      <c r="F1310" s="4" t="s">
        <v>655</v>
      </c>
      <c r="G1310" s="4" t="s">
        <v>656</v>
      </c>
      <c r="H1310" s="14"/>
      <c r="I1310" s="4" t="s">
        <v>51</v>
      </c>
      <c r="J1310" s="6"/>
      <c r="K1310" s="7"/>
      <c r="L1310" s="8" t="str">
        <f t="shared" ref="L1310:L1311" si="166">UPPER(G1310)</f>
        <v>VILLA DEL ROSARIO</v>
      </c>
      <c r="O1310" s="10"/>
    </row>
    <row r="1311" ht="14.25" customHeight="1">
      <c r="A1311" s="1" t="s">
        <v>3767</v>
      </c>
      <c r="B1311" s="2" t="s">
        <v>27</v>
      </c>
      <c r="C1311" s="2" t="s">
        <v>28</v>
      </c>
      <c r="D1311" s="2" t="s">
        <v>3768</v>
      </c>
      <c r="E1311" s="3" t="s">
        <v>3769</v>
      </c>
      <c r="F1311" s="4" t="s">
        <v>38</v>
      </c>
      <c r="G1311" s="4" t="s">
        <v>39</v>
      </c>
      <c r="H1311" s="14"/>
      <c r="I1311" s="4" t="s">
        <v>76</v>
      </c>
      <c r="J1311" s="6"/>
      <c r="K1311" s="7"/>
      <c r="L1311" s="8" t="str">
        <f t="shared" si="166"/>
        <v>BUCARAMANGA</v>
      </c>
      <c r="O1311" s="10"/>
    </row>
    <row r="1312" ht="14.25" hidden="1" customHeight="1">
      <c r="A1312" s="13" t="s">
        <v>3770</v>
      </c>
      <c r="B1312" s="4" t="s">
        <v>27</v>
      </c>
      <c r="C1312" s="4" t="s">
        <v>28</v>
      </c>
      <c r="D1312" s="4" t="s">
        <v>3771</v>
      </c>
      <c r="E1312" s="4">
        <v>3.125007711E9</v>
      </c>
      <c r="F1312" s="4" t="s">
        <v>30</v>
      </c>
      <c r="G1312" s="4" t="s">
        <v>35</v>
      </c>
      <c r="H1312" s="14"/>
      <c r="I1312" s="4" t="s">
        <v>32</v>
      </c>
      <c r="J1312" s="14"/>
      <c r="K1312" s="14"/>
      <c r="L1312" s="14"/>
    </row>
    <row r="1313" ht="14.25" hidden="1" customHeight="1">
      <c r="A1313" s="13" t="s">
        <v>3772</v>
      </c>
      <c r="B1313" s="4" t="s">
        <v>27</v>
      </c>
      <c r="C1313" s="4" t="s">
        <v>28</v>
      </c>
      <c r="D1313" s="4" t="s">
        <v>3773</v>
      </c>
      <c r="E1313" s="4">
        <v>3.229457091E9</v>
      </c>
      <c r="F1313" s="4" t="s">
        <v>30</v>
      </c>
      <c r="G1313" s="4" t="s">
        <v>31</v>
      </c>
      <c r="H1313" s="14"/>
      <c r="I1313" s="4" t="s">
        <v>32</v>
      </c>
      <c r="J1313" s="14"/>
      <c r="K1313" s="14"/>
      <c r="L1313" s="14"/>
    </row>
    <row r="1314" ht="14.25" hidden="1" customHeight="1">
      <c r="A1314" s="13" t="s">
        <v>3774</v>
      </c>
      <c r="B1314" s="4" t="s">
        <v>27</v>
      </c>
      <c r="C1314" s="4" t="s">
        <v>28</v>
      </c>
      <c r="D1314" s="4" t="s">
        <v>3775</v>
      </c>
      <c r="E1314" s="4">
        <v>3.105667393E9</v>
      </c>
      <c r="F1314" s="4" t="s">
        <v>30</v>
      </c>
      <c r="G1314" s="4" t="s">
        <v>35</v>
      </c>
      <c r="H1314" s="14"/>
      <c r="I1314" s="4" t="s">
        <v>32</v>
      </c>
      <c r="J1314" s="14"/>
      <c r="K1314" s="14"/>
      <c r="L1314" s="14"/>
    </row>
    <row r="1315" ht="14.25" hidden="1" customHeight="1">
      <c r="A1315" s="13" t="s">
        <v>3776</v>
      </c>
      <c r="B1315" s="4" t="s">
        <v>27</v>
      </c>
      <c r="C1315" s="4" t="s">
        <v>28</v>
      </c>
      <c r="D1315" s="4" t="s">
        <v>3777</v>
      </c>
      <c r="E1315" s="4">
        <v>3.227649445E9</v>
      </c>
      <c r="F1315" s="4" t="s">
        <v>30</v>
      </c>
      <c r="G1315" s="4" t="s">
        <v>35</v>
      </c>
      <c r="H1315" s="14"/>
      <c r="I1315" s="4" t="s">
        <v>32</v>
      </c>
      <c r="J1315" s="14"/>
      <c r="K1315" s="14"/>
      <c r="L1315" s="14"/>
    </row>
    <row r="1316" ht="14.25" customHeight="1">
      <c r="A1316" s="1" t="s">
        <v>3778</v>
      </c>
      <c r="B1316" s="2" t="s">
        <v>3779</v>
      </c>
      <c r="C1316" s="2" t="s">
        <v>28</v>
      </c>
      <c r="D1316" s="2" t="s">
        <v>3780</v>
      </c>
      <c r="E1316" s="3" t="s">
        <v>3781</v>
      </c>
      <c r="F1316" s="4" t="s">
        <v>38</v>
      </c>
      <c r="G1316" s="4" t="s">
        <v>39</v>
      </c>
      <c r="H1316" s="4" t="s">
        <v>58</v>
      </c>
      <c r="I1316" s="4" t="s">
        <v>540</v>
      </c>
      <c r="J1316" s="6"/>
      <c r="K1316" s="7"/>
      <c r="L1316" s="8" t="str">
        <f t="shared" ref="L1316:L1319" si="167">UPPER(G1316)</f>
        <v>BUCARAMANGA</v>
      </c>
      <c r="O1316" s="10"/>
    </row>
    <row r="1317" ht="14.25" customHeight="1">
      <c r="A1317" s="1" t="s">
        <v>3782</v>
      </c>
      <c r="B1317" s="2" t="s">
        <v>27</v>
      </c>
      <c r="C1317" s="2" t="s">
        <v>28</v>
      </c>
      <c r="D1317" s="2" t="s">
        <v>3783</v>
      </c>
      <c r="E1317" s="3" t="s">
        <v>3784</v>
      </c>
      <c r="F1317" s="4" t="s">
        <v>38</v>
      </c>
      <c r="G1317" s="4" t="s">
        <v>75</v>
      </c>
      <c r="H1317" s="4" t="s">
        <v>3785</v>
      </c>
      <c r="I1317" s="4" t="s">
        <v>561</v>
      </c>
      <c r="J1317" s="6"/>
      <c r="K1317" s="7"/>
      <c r="L1317" s="8" t="str">
        <f t="shared" si="167"/>
        <v>GIRON</v>
      </c>
      <c r="O1317" s="10"/>
    </row>
    <row r="1318" ht="14.25" customHeight="1">
      <c r="A1318" s="1" t="s">
        <v>3786</v>
      </c>
      <c r="B1318" s="2" t="s">
        <v>27</v>
      </c>
      <c r="C1318" s="2" t="s">
        <v>28</v>
      </c>
      <c r="D1318" s="2" t="s">
        <v>3787</v>
      </c>
      <c r="E1318" s="3" t="s">
        <v>3788</v>
      </c>
      <c r="F1318" s="4" t="s">
        <v>38</v>
      </c>
      <c r="G1318" s="4" t="s">
        <v>39</v>
      </c>
      <c r="H1318" s="4" t="s">
        <v>58</v>
      </c>
      <c r="I1318" s="4" t="s">
        <v>182</v>
      </c>
      <c r="J1318" s="6"/>
      <c r="K1318" s="7"/>
      <c r="L1318" s="8" t="str">
        <f t="shared" si="167"/>
        <v>BUCARAMANGA</v>
      </c>
      <c r="O1318" s="10"/>
    </row>
    <row r="1319" ht="14.25" customHeight="1">
      <c r="A1319" s="1" t="s">
        <v>3789</v>
      </c>
      <c r="B1319" s="2" t="s">
        <v>27</v>
      </c>
      <c r="C1319" s="2" t="s">
        <v>28</v>
      </c>
      <c r="D1319" s="2" t="s">
        <v>3790</v>
      </c>
      <c r="E1319" s="3" t="s">
        <v>3791</v>
      </c>
      <c r="F1319" s="4" t="s">
        <v>38</v>
      </c>
      <c r="G1319" s="4" t="s">
        <v>113</v>
      </c>
      <c r="H1319" s="14"/>
      <c r="I1319" s="4" t="s">
        <v>540</v>
      </c>
      <c r="J1319" s="6"/>
      <c r="K1319" s="7"/>
      <c r="L1319" s="8" t="str">
        <f t="shared" si="167"/>
        <v>BARRANCABERMEJA</v>
      </c>
      <c r="O1319" s="10"/>
    </row>
    <row r="1320" ht="14.25" hidden="1" customHeight="1">
      <c r="A1320" s="13" t="s">
        <v>3792</v>
      </c>
      <c r="B1320" s="4" t="s">
        <v>27</v>
      </c>
      <c r="C1320" s="4" t="s">
        <v>28</v>
      </c>
      <c r="D1320" s="4" t="s">
        <v>3793</v>
      </c>
      <c r="E1320" s="4">
        <v>3.118713141E9</v>
      </c>
      <c r="F1320" s="4" t="s">
        <v>30</v>
      </c>
      <c r="G1320" s="4" t="s">
        <v>31</v>
      </c>
      <c r="H1320" s="14"/>
      <c r="I1320" s="4" t="s">
        <v>32</v>
      </c>
      <c r="J1320" s="14"/>
      <c r="K1320" s="14"/>
      <c r="L1320" s="14"/>
    </row>
    <row r="1321" ht="14.25" customHeight="1">
      <c r="A1321" s="1" t="s">
        <v>3794</v>
      </c>
      <c r="B1321" s="2" t="s">
        <v>27</v>
      </c>
      <c r="C1321" s="2" t="s">
        <v>28</v>
      </c>
      <c r="D1321" s="2" t="s">
        <v>3795</v>
      </c>
      <c r="E1321" s="3" t="s">
        <v>3796</v>
      </c>
      <c r="F1321" s="4" t="s">
        <v>38</v>
      </c>
      <c r="G1321" s="4" t="s">
        <v>39</v>
      </c>
      <c r="H1321" s="14"/>
      <c r="I1321" s="4" t="s">
        <v>76</v>
      </c>
      <c r="J1321" s="6"/>
      <c r="K1321" s="7"/>
      <c r="L1321" s="8" t="str">
        <f>UPPER(G1321)</f>
        <v>BUCARAMANGA</v>
      </c>
      <c r="O1321" s="10"/>
    </row>
    <row r="1322" ht="14.25" hidden="1" customHeight="1">
      <c r="A1322" s="13" t="s">
        <v>3797</v>
      </c>
      <c r="B1322" s="4" t="s">
        <v>27</v>
      </c>
      <c r="C1322" s="4" t="s">
        <v>28</v>
      </c>
      <c r="D1322" s="4" t="s">
        <v>3798</v>
      </c>
      <c r="E1322" s="4">
        <v>3.225958571E9</v>
      </c>
      <c r="F1322" s="4" t="s">
        <v>30</v>
      </c>
      <c r="G1322" s="4" t="s">
        <v>35</v>
      </c>
      <c r="H1322" s="14"/>
      <c r="I1322" s="4" t="s">
        <v>32</v>
      </c>
      <c r="J1322" s="14"/>
      <c r="K1322" s="14"/>
      <c r="L1322" s="14"/>
    </row>
    <row r="1323" ht="14.25" hidden="1" customHeight="1">
      <c r="A1323" s="13" t="s">
        <v>3799</v>
      </c>
      <c r="B1323" s="4" t="s">
        <v>27</v>
      </c>
      <c r="C1323" s="4" t="s">
        <v>28</v>
      </c>
      <c r="D1323" s="4" t="s">
        <v>3800</v>
      </c>
      <c r="E1323" s="4">
        <v>3.016379406E9</v>
      </c>
      <c r="F1323" s="4" t="s">
        <v>30</v>
      </c>
      <c r="G1323" s="4" t="s">
        <v>31</v>
      </c>
      <c r="H1323" s="14"/>
      <c r="I1323" s="4" t="s">
        <v>32</v>
      </c>
      <c r="J1323" s="14"/>
      <c r="K1323" s="14"/>
      <c r="L1323" s="14"/>
    </row>
    <row r="1324" ht="14.25" customHeight="1">
      <c r="A1324" s="1" t="s">
        <v>3801</v>
      </c>
      <c r="B1324" s="2" t="s">
        <v>27</v>
      </c>
      <c r="C1324" s="2" t="s">
        <v>28</v>
      </c>
      <c r="D1324" s="2" t="s">
        <v>3802</v>
      </c>
      <c r="E1324" s="3" t="s">
        <v>3803</v>
      </c>
      <c r="F1324" s="4" t="s">
        <v>69</v>
      </c>
      <c r="G1324" s="4" t="s">
        <v>69</v>
      </c>
      <c r="H1324" s="14"/>
      <c r="I1324" s="4" t="s">
        <v>182</v>
      </c>
      <c r="J1324" s="6"/>
      <c r="K1324" s="7"/>
      <c r="L1324" s="8" t="str">
        <f>UPPER(G1324)</f>
        <v>BOGOTA</v>
      </c>
      <c r="O1324" s="10"/>
    </row>
    <row r="1325" ht="14.25" hidden="1" customHeight="1">
      <c r="A1325" s="13" t="s">
        <v>3804</v>
      </c>
      <c r="B1325" s="4" t="s">
        <v>27</v>
      </c>
      <c r="C1325" s="4" t="s">
        <v>28</v>
      </c>
      <c r="D1325" s="4" t="s">
        <v>3805</v>
      </c>
      <c r="E1325" s="4">
        <v>3.118713141E9</v>
      </c>
      <c r="F1325" s="4" t="s">
        <v>30</v>
      </c>
      <c r="G1325" s="4" t="s">
        <v>35</v>
      </c>
      <c r="H1325" s="14"/>
      <c r="I1325" s="4" t="s">
        <v>32</v>
      </c>
      <c r="J1325" s="14"/>
      <c r="K1325" s="14"/>
      <c r="L1325" s="14"/>
    </row>
    <row r="1326" ht="14.25" customHeight="1">
      <c r="A1326" s="1" t="s">
        <v>3806</v>
      </c>
      <c r="B1326" s="2" t="s">
        <v>27</v>
      </c>
      <c r="C1326" s="2" t="s">
        <v>28</v>
      </c>
      <c r="D1326" s="2" t="s">
        <v>3807</v>
      </c>
      <c r="E1326" s="3" t="s">
        <v>3808</v>
      </c>
      <c r="F1326" s="4" t="s">
        <v>38</v>
      </c>
      <c r="G1326" s="4" t="s">
        <v>39</v>
      </c>
      <c r="H1326" s="4" t="s">
        <v>40</v>
      </c>
      <c r="I1326" s="4" t="s">
        <v>561</v>
      </c>
      <c r="J1326" s="6"/>
      <c r="K1326" s="7"/>
      <c r="L1326" s="8" t="str">
        <f>UPPER(G1326)</f>
        <v>BUCARAMANGA</v>
      </c>
      <c r="O1326" s="10"/>
    </row>
    <row r="1327" ht="14.25" hidden="1" customHeight="1">
      <c r="A1327" s="13" t="s">
        <v>3809</v>
      </c>
      <c r="B1327" s="4" t="s">
        <v>27</v>
      </c>
      <c r="C1327" s="4" t="s">
        <v>28</v>
      </c>
      <c r="D1327" s="4" t="s">
        <v>3810</v>
      </c>
      <c r="E1327" s="4">
        <v>3.124295466E9</v>
      </c>
      <c r="F1327" s="4" t="s">
        <v>30</v>
      </c>
      <c r="G1327" s="4" t="s">
        <v>35</v>
      </c>
      <c r="H1327" s="14"/>
      <c r="I1327" s="4" t="s">
        <v>32</v>
      </c>
      <c r="J1327" s="14"/>
      <c r="K1327" s="14"/>
      <c r="L1327" s="14"/>
    </row>
    <row r="1328" ht="14.25" hidden="1" customHeight="1">
      <c r="A1328" s="13" t="s">
        <v>3811</v>
      </c>
      <c r="B1328" s="4" t="s">
        <v>27</v>
      </c>
      <c r="C1328" s="4" t="s">
        <v>28</v>
      </c>
      <c r="D1328" s="4" t="s">
        <v>3812</v>
      </c>
      <c r="E1328" s="4">
        <v>3.12591924E9</v>
      </c>
      <c r="F1328" s="4" t="s">
        <v>30</v>
      </c>
      <c r="G1328" s="4" t="s">
        <v>35</v>
      </c>
      <c r="H1328" s="14"/>
      <c r="I1328" s="4" t="s">
        <v>32</v>
      </c>
      <c r="J1328" s="14"/>
      <c r="K1328" s="14"/>
      <c r="L1328" s="14"/>
    </row>
    <row r="1329" ht="14.25" customHeight="1">
      <c r="A1329" s="1" t="s">
        <v>3813</v>
      </c>
      <c r="B1329" s="2" t="s">
        <v>27</v>
      </c>
      <c r="C1329" s="2" t="s">
        <v>28</v>
      </c>
      <c r="D1329" s="2" t="s">
        <v>3814</v>
      </c>
      <c r="E1329" s="3" t="s">
        <v>3815</v>
      </c>
      <c r="F1329" s="4" t="s">
        <v>38</v>
      </c>
      <c r="G1329" s="4" t="s">
        <v>39</v>
      </c>
      <c r="H1329" s="14"/>
      <c r="I1329" s="4" t="s">
        <v>51</v>
      </c>
      <c r="J1329" s="6"/>
      <c r="K1329" s="7"/>
      <c r="L1329" s="8" t="str">
        <f>UPPER(G1329)</f>
        <v>BUCARAMANGA</v>
      </c>
      <c r="O1329" s="10"/>
    </row>
    <row r="1330" ht="14.25" hidden="1" customHeight="1">
      <c r="A1330" s="13" t="s">
        <v>3816</v>
      </c>
      <c r="B1330" s="4" t="s">
        <v>27</v>
      </c>
      <c r="C1330" s="4" t="s">
        <v>28</v>
      </c>
      <c r="D1330" s="4" t="s">
        <v>3817</v>
      </c>
      <c r="E1330" s="4">
        <v>3.102211527E9</v>
      </c>
      <c r="F1330" s="4" t="s">
        <v>30</v>
      </c>
      <c r="G1330" s="4" t="s">
        <v>35</v>
      </c>
      <c r="H1330" s="14"/>
      <c r="I1330" s="4" t="s">
        <v>32</v>
      </c>
      <c r="J1330" s="14"/>
      <c r="K1330" s="14"/>
      <c r="L1330" s="14"/>
    </row>
    <row r="1331" ht="14.25" customHeight="1">
      <c r="A1331" s="1" t="s">
        <v>3818</v>
      </c>
      <c r="B1331" s="2" t="s">
        <v>27</v>
      </c>
      <c r="C1331" s="2" t="s">
        <v>28</v>
      </c>
      <c r="D1331" s="2" t="s">
        <v>3819</v>
      </c>
      <c r="E1331" s="3" t="s">
        <v>3820</v>
      </c>
      <c r="F1331" s="4" t="s">
        <v>38</v>
      </c>
      <c r="G1331" s="4" t="s">
        <v>81</v>
      </c>
      <c r="H1331" s="4" t="s">
        <v>308</v>
      </c>
      <c r="I1331" s="4" t="s">
        <v>561</v>
      </c>
      <c r="J1331" s="6"/>
      <c r="K1331" s="7"/>
      <c r="L1331" s="8" t="str">
        <f t="shared" ref="L1331:L1332" si="168">UPPER(G1331)</f>
        <v>FLORIDABLANCA</v>
      </c>
      <c r="O1331" s="10"/>
    </row>
    <row r="1332" ht="14.25" customHeight="1">
      <c r="A1332" s="1" t="s">
        <v>3821</v>
      </c>
      <c r="B1332" s="2" t="s">
        <v>27</v>
      </c>
      <c r="C1332" s="2" t="s">
        <v>28</v>
      </c>
      <c r="D1332" s="2" t="s">
        <v>3822</v>
      </c>
      <c r="E1332" s="3" t="s">
        <v>3823</v>
      </c>
      <c r="F1332" s="4" t="s">
        <v>38</v>
      </c>
      <c r="G1332" s="4" t="s">
        <v>81</v>
      </c>
      <c r="H1332" s="14"/>
      <c r="I1332" s="4" t="s">
        <v>76</v>
      </c>
      <c r="J1332" s="6"/>
      <c r="K1332" s="7"/>
      <c r="L1332" s="8" t="str">
        <f t="shared" si="168"/>
        <v>FLORIDABLANCA</v>
      </c>
      <c r="O1332" s="10"/>
    </row>
    <row r="1333" ht="14.25" hidden="1" customHeight="1">
      <c r="A1333" s="13" t="s">
        <v>3824</v>
      </c>
      <c r="B1333" s="4" t="s">
        <v>27</v>
      </c>
      <c r="C1333" s="4" t="s">
        <v>28</v>
      </c>
      <c r="D1333" s="4" t="s">
        <v>3825</v>
      </c>
      <c r="E1333" s="4">
        <v>3.126545437E9</v>
      </c>
      <c r="F1333" s="4" t="s">
        <v>30</v>
      </c>
      <c r="G1333" s="4" t="s">
        <v>35</v>
      </c>
      <c r="H1333" s="14"/>
      <c r="I1333" s="4" t="s">
        <v>32</v>
      </c>
      <c r="J1333" s="14"/>
      <c r="K1333" s="14"/>
      <c r="L1333" s="14"/>
    </row>
    <row r="1334" ht="14.25" hidden="1" customHeight="1">
      <c r="A1334" s="13" t="s">
        <v>3826</v>
      </c>
      <c r="B1334" s="4" t="s">
        <v>27</v>
      </c>
      <c r="C1334" s="4" t="s">
        <v>28</v>
      </c>
      <c r="D1334" s="4" t="s">
        <v>3827</v>
      </c>
      <c r="E1334" s="4">
        <v>3.222314612E9</v>
      </c>
      <c r="F1334" s="4" t="s">
        <v>30</v>
      </c>
      <c r="G1334" s="4" t="s">
        <v>35</v>
      </c>
      <c r="H1334" s="14"/>
      <c r="I1334" s="4" t="s">
        <v>32</v>
      </c>
      <c r="J1334" s="14"/>
      <c r="K1334" s="14"/>
      <c r="L1334" s="14"/>
    </row>
    <row r="1335" ht="14.25" customHeight="1">
      <c r="A1335" s="1" t="s">
        <v>3828</v>
      </c>
      <c r="B1335" s="2" t="s">
        <v>3829</v>
      </c>
      <c r="C1335" s="2" t="s">
        <v>28</v>
      </c>
      <c r="D1335" s="2" t="s">
        <v>3830</v>
      </c>
      <c r="E1335" s="3" t="s">
        <v>3831</v>
      </c>
      <c r="F1335" s="4" t="s">
        <v>38</v>
      </c>
      <c r="G1335" s="4" t="s">
        <v>113</v>
      </c>
      <c r="H1335" s="4" t="s">
        <v>1911</v>
      </c>
      <c r="I1335" s="4" t="s">
        <v>540</v>
      </c>
      <c r="J1335" s="6" t="s">
        <v>3832</v>
      </c>
      <c r="K1335" s="7">
        <v>12.0</v>
      </c>
      <c r="L1335" s="8" t="str">
        <f t="shared" ref="L1335:L1336" si="169">UPPER(G1335)</f>
        <v>BARRANCABERMEJA</v>
      </c>
      <c r="O1335" s="10"/>
    </row>
    <row r="1336" ht="14.25" customHeight="1">
      <c r="A1336" s="1" t="s">
        <v>3833</v>
      </c>
      <c r="B1336" s="2" t="s">
        <v>27</v>
      </c>
      <c r="C1336" s="2" t="s">
        <v>66</v>
      </c>
      <c r="D1336" s="2" t="s">
        <v>3834</v>
      </c>
      <c r="E1336" s="3" t="s">
        <v>3835</v>
      </c>
      <c r="F1336" s="4" t="s">
        <v>38</v>
      </c>
      <c r="G1336" s="4" t="s">
        <v>39</v>
      </c>
      <c r="H1336" s="4" t="s">
        <v>886</v>
      </c>
      <c r="I1336" s="4" t="s">
        <v>76</v>
      </c>
      <c r="J1336" s="6"/>
      <c r="K1336" s="7"/>
      <c r="L1336" s="8" t="str">
        <f t="shared" si="169"/>
        <v>BUCARAMANGA</v>
      </c>
      <c r="O1336" s="10"/>
    </row>
    <row r="1337" ht="14.25" hidden="1" customHeight="1">
      <c r="A1337" s="13" t="s">
        <v>3836</v>
      </c>
      <c r="B1337" s="4" t="s">
        <v>27</v>
      </c>
      <c r="C1337" s="4" t="s">
        <v>28</v>
      </c>
      <c r="D1337" s="4" t="s">
        <v>3837</v>
      </c>
      <c r="E1337" s="4">
        <v>3.22292338E9</v>
      </c>
      <c r="F1337" s="4" t="s">
        <v>30</v>
      </c>
      <c r="G1337" s="4" t="s">
        <v>31</v>
      </c>
      <c r="H1337" s="14"/>
      <c r="I1337" s="4" t="s">
        <v>32</v>
      </c>
      <c r="J1337" s="14"/>
      <c r="K1337" s="14"/>
      <c r="L1337" s="14"/>
    </row>
    <row r="1338" ht="14.25" hidden="1" customHeight="1">
      <c r="A1338" s="13" t="s">
        <v>3838</v>
      </c>
      <c r="B1338" s="4" t="s">
        <v>27</v>
      </c>
      <c r="C1338" s="4" t="s">
        <v>28</v>
      </c>
      <c r="D1338" s="4" t="s">
        <v>3839</v>
      </c>
      <c r="E1338" s="4">
        <v>3.124295466E9</v>
      </c>
      <c r="F1338" s="4" t="s">
        <v>30</v>
      </c>
      <c r="G1338" s="4" t="s">
        <v>35</v>
      </c>
      <c r="H1338" s="14"/>
      <c r="I1338" s="4" t="s">
        <v>32</v>
      </c>
      <c r="J1338" s="14"/>
      <c r="K1338" s="14"/>
      <c r="L1338" s="14"/>
    </row>
    <row r="1339" ht="14.25" customHeight="1">
      <c r="A1339" s="1" t="s">
        <v>3840</v>
      </c>
      <c r="B1339" s="2" t="s">
        <v>27</v>
      </c>
      <c r="C1339" s="2" t="s">
        <v>28</v>
      </c>
      <c r="D1339" s="2" t="s">
        <v>3841</v>
      </c>
      <c r="E1339" s="3" t="s">
        <v>3842</v>
      </c>
      <c r="F1339" s="4" t="s">
        <v>38</v>
      </c>
      <c r="G1339" s="4" t="s">
        <v>39</v>
      </c>
      <c r="H1339" s="14"/>
      <c r="I1339" s="4" t="s">
        <v>846</v>
      </c>
      <c r="J1339" s="6"/>
      <c r="K1339" s="7"/>
      <c r="L1339" s="8" t="str">
        <f t="shared" ref="L1339:L1340" si="170">UPPER(G1339)</f>
        <v>BUCARAMANGA</v>
      </c>
      <c r="O1339" s="10"/>
    </row>
    <row r="1340" ht="14.25" customHeight="1">
      <c r="A1340" s="1" t="s">
        <v>3843</v>
      </c>
      <c r="B1340" s="2" t="s">
        <v>27</v>
      </c>
      <c r="C1340" s="2" t="s">
        <v>28</v>
      </c>
      <c r="D1340" s="2" t="s">
        <v>3841</v>
      </c>
      <c r="E1340" s="3" t="s">
        <v>3844</v>
      </c>
      <c r="F1340" s="4" t="s">
        <v>38</v>
      </c>
      <c r="G1340" s="4" t="s">
        <v>81</v>
      </c>
      <c r="H1340" s="14"/>
      <c r="I1340" s="4" t="s">
        <v>561</v>
      </c>
      <c r="J1340" s="6"/>
      <c r="K1340" s="7"/>
      <c r="L1340" s="8" t="str">
        <f t="shared" si="170"/>
        <v>FLORIDABLANCA</v>
      </c>
      <c r="O1340" s="10"/>
    </row>
    <row r="1341" ht="14.25" hidden="1" customHeight="1">
      <c r="A1341" s="13" t="s">
        <v>3845</v>
      </c>
      <c r="B1341" s="4" t="s">
        <v>27</v>
      </c>
      <c r="C1341" s="4" t="s">
        <v>28</v>
      </c>
      <c r="D1341" s="4" t="s">
        <v>3846</v>
      </c>
      <c r="E1341" s="4">
        <v>3.102211527E9</v>
      </c>
      <c r="F1341" s="4" t="s">
        <v>30</v>
      </c>
      <c r="G1341" s="4" t="s">
        <v>35</v>
      </c>
      <c r="H1341" s="14"/>
      <c r="I1341" s="4" t="s">
        <v>32</v>
      </c>
      <c r="J1341" s="14"/>
      <c r="K1341" s="14"/>
      <c r="L1341" s="14"/>
    </row>
    <row r="1342" ht="14.25" customHeight="1">
      <c r="A1342" s="1" t="s">
        <v>3847</v>
      </c>
      <c r="B1342" s="2" t="s">
        <v>27</v>
      </c>
      <c r="C1342" s="2" t="s">
        <v>28</v>
      </c>
      <c r="D1342" s="2" t="s">
        <v>3848</v>
      </c>
      <c r="E1342" s="3" t="s">
        <v>3849</v>
      </c>
      <c r="F1342" s="4" t="s">
        <v>38</v>
      </c>
      <c r="G1342" s="4" t="s">
        <v>39</v>
      </c>
      <c r="H1342" s="14"/>
      <c r="I1342" s="4" t="s">
        <v>561</v>
      </c>
      <c r="J1342" s="6"/>
      <c r="K1342" s="7"/>
      <c r="L1342" s="8" t="str">
        <f t="shared" ref="L1342:L1346" si="171">UPPER(G1342)</f>
        <v>BUCARAMANGA</v>
      </c>
      <c r="O1342" s="10"/>
    </row>
    <row r="1343" ht="14.25" customHeight="1">
      <c r="A1343" s="1" t="s">
        <v>3850</v>
      </c>
      <c r="B1343" s="2" t="s">
        <v>27</v>
      </c>
      <c r="C1343" s="2" t="s">
        <v>28</v>
      </c>
      <c r="D1343" s="2" t="s">
        <v>3851</v>
      </c>
      <c r="E1343" s="3" t="s">
        <v>3852</v>
      </c>
      <c r="F1343" s="4" t="s">
        <v>38</v>
      </c>
      <c r="G1343" s="4" t="s">
        <v>39</v>
      </c>
      <c r="H1343" s="4" t="s">
        <v>40</v>
      </c>
      <c r="I1343" s="4" t="s">
        <v>76</v>
      </c>
      <c r="J1343" s="6"/>
      <c r="K1343" s="7"/>
      <c r="L1343" s="8" t="str">
        <f t="shared" si="171"/>
        <v>BUCARAMANGA</v>
      </c>
      <c r="O1343" s="10"/>
    </row>
    <row r="1344" ht="14.25" customHeight="1">
      <c r="A1344" s="1" t="s">
        <v>3853</v>
      </c>
      <c r="B1344" s="2" t="s">
        <v>27</v>
      </c>
      <c r="C1344" s="2" t="s">
        <v>28</v>
      </c>
      <c r="D1344" s="2" t="s">
        <v>3854</v>
      </c>
      <c r="E1344" s="3" t="s">
        <v>3855</v>
      </c>
      <c r="F1344" s="4" t="s">
        <v>38</v>
      </c>
      <c r="G1344" s="4" t="s">
        <v>39</v>
      </c>
      <c r="H1344" s="14"/>
      <c r="I1344" s="4" t="s">
        <v>51</v>
      </c>
      <c r="J1344" s="6"/>
      <c r="K1344" s="7"/>
      <c r="L1344" s="8" t="str">
        <f t="shared" si="171"/>
        <v>BUCARAMANGA</v>
      </c>
      <c r="O1344" s="10"/>
    </row>
    <row r="1345" ht="14.25" customHeight="1">
      <c r="A1345" s="1" t="s">
        <v>3856</v>
      </c>
      <c r="B1345" s="2" t="s">
        <v>27</v>
      </c>
      <c r="C1345" s="2" t="s">
        <v>28</v>
      </c>
      <c r="D1345" s="2" t="s">
        <v>3857</v>
      </c>
      <c r="E1345" s="3" t="s">
        <v>3858</v>
      </c>
      <c r="F1345" s="4" t="s">
        <v>38</v>
      </c>
      <c r="G1345" s="4" t="s">
        <v>39</v>
      </c>
      <c r="H1345" s="4" t="s">
        <v>140</v>
      </c>
      <c r="I1345" s="4" t="s">
        <v>846</v>
      </c>
      <c r="J1345" s="6"/>
      <c r="K1345" s="7"/>
      <c r="L1345" s="8" t="str">
        <f t="shared" si="171"/>
        <v>BUCARAMANGA</v>
      </c>
      <c r="O1345" s="10"/>
    </row>
    <row r="1346" ht="14.25" customHeight="1">
      <c r="A1346" s="1" t="s">
        <v>3859</v>
      </c>
      <c r="B1346" s="2" t="s">
        <v>27</v>
      </c>
      <c r="C1346" s="2" t="s">
        <v>28</v>
      </c>
      <c r="D1346" s="2" t="s">
        <v>3860</v>
      </c>
      <c r="E1346" s="3" t="s">
        <v>3861</v>
      </c>
      <c r="F1346" s="4" t="s">
        <v>38</v>
      </c>
      <c r="G1346" s="4" t="s">
        <v>81</v>
      </c>
      <c r="H1346" s="14"/>
      <c r="I1346" s="4" t="s">
        <v>561</v>
      </c>
      <c r="J1346" s="6"/>
      <c r="K1346" s="7"/>
      <c r="L1346" s="8" t="str">
        <f t="shared" si="171"/>
        <v>FLORIDABLANCA</v>
      </c>
      <c r="O1346" s="10"/>
    </row>
    <row r="1347" ht="14.25" hidden="1" customHeight="1">
      <c r="A1347" s="13" t="s">
        <v>3862</v>
      </c>
      <c r="B1347" s="4" t="s">
        <v>27</v>
      </c>
      <c r="C1347" s="4" t="s">
        <v>28</v>
      </c>
      <c r="D1347" s="4" t="s">
        <v>3863</v>
      </c>
      <c r="E1347" s="4">
        <v>3.22731914E9</v>
      </c>
      <c r="F1347" s="4" t="s">
        <v>30</v>
      </c>
      <c r="G1347" s="4" t="s">
        <v>35</v>
      </c>
      <c r="H1347" s="14"/>
      <c r="I1347" s="4" t="s">
        <v>32</v>
      </c>
      <c r="J1347" s="14"/>
      <c r="K1347" s="14"/>
      <c r="L1347" s="14"/>
    </row>
    <row r="1348" ht="14.25" customHeight="1">
      <c r="A1348" s="1" t="s">
        <v>3864</v>
      </c>
      <c r="B1348" s="2" t="s">
        <v>27</v>
      </c>
      <c r="C1348" s="2" t="s">
        <v>66</v>
      </c>
      <c r="D1348" s="2" t="s">
        <v>3865</v>
      </c>
      <c r="E1348" s="3" t="s">
        <v>3866</v>
      </c>
      <c r="F1348" s="4" t="s">
        <v>38</v>
      </c>
      <c r="G1348" s="4" t="s">
        <v>113</v>
      </c>
      <c r="H1348" s="4" t="s">
        <v>3867</v>
      </c>
      <c r="I1348" s="4" t="s">
        <v>540</v>
      </c>
      <c r="J1348" s="6"/>
      <c r="K1348" s="7"/>
      <c r="L1348" s="8" t="str">
        <f t="shared" ref="L1348:L1349" si="172">UPPER(G1348)</f>
        <v>BARRANCABERMEJA</v>
      </c>
      <c r="O1348" s="10"/>
    </row>
    <row r="1349" ht="14.25" customHeight="1">
      <c r="A1349" s="1" t="s">
        <v>3868</v>
      </c>
      <c r="B1349" s="2" t="s">
        <v>27</v>
      </c>
      <c r="C1349" s="2" t="s">
        <v>28</v>
      </c>
      <c r="D1349" s="2" t="s">
        <v>3869</v>
      </c>
      <c r="E1349" s="3" t="s">
        <v>3870</v>
      </c>
      <c r="F1349" s="4" t="s">
        <v>38</v>
      </c>
      <c r="G1349" s="4" t="s">
        <v>39</v>
      </c>
      <c r="H1349" s="4" t="s">
        <v>58</v>
      </c>
      <c r="I1349" s="4" t="s">
        <v>540</v>
      </c>
      <c r="J1349" s="6"/>
      <c r="K1349" s="7"/>
      <c r="L1349" s="8" t="str">
        <f t="shared" si="172"/>
        <v>BUCARAMANGA</v>
      </c>
      <c r="O1349" s="10"/>
    </row>
    <row r="1350" ht="14.25" hidden="1" customHeight="1">
      <c r="A1350" s="13" t="s">
        <v>3871</v>
      </c>
      <c r="B1350" s="4" t="s">
        <v>27</v>
      </c>
      <c r="C1350" s="4" t="s">
        <v>28</v>
      </c>
      <c r="D1350" s="4" t="s">
        <v>3872</v>
      </c>
      <c r="E1350" s="4">
        <v>3.22292338E9</v>
      </c>
      <c r="F1350" s="4" t="s">
        <v>30</v>
      </c>
      <c r="G1350" s="4" t="s">
        <v>31</v>
      </c>
      <c r="H1350" s="14"/>
      <c r="I1350" s="4" t="s">
        <v>32</v>
      </c>
      <c r="J1350" s="14"/>
      <c r="K1350" s="14"/>
      <c r="L1350" s="14"/>
    </row>
    <row r="1351" ht="14.25" customHeight="1">
      <c r="A1351" s="1" t="s">
        <v>3873</v>
      </c>
      <c r="B1351" s="2" t="s">
        <v>27</v>
      </c>
      <c r="C1351" s="2" t="s">
        <v>28</v>
      </c>
      <c r="D1351" s="2" t="s">
        <v>3874</v>
      </c>
      <c r="E1351" s="3" t="s">
        <v>3875</v>
      </c>
      <c r="F1351" s="4" t="s">
        <v>38</v>
      </c>
      <c r="G1351" s="4" t="s">
        <v>81</v>
      </c>
      <c r="H1351" s="14"/>
      <c r="I1351" s="4" t="s">
        <v>164</v>
      </c>
      <c r="J1351" s="6"/>
      <c r="K1351" s="7"/>
      <c r="L1351" s="8" t="str">
        <f t="shared" ref="L1351:L1354" si="173">UPPER(G1351)</f>
        <v>FLORIDABLANCA</v>
      </c>
      <c r="O1351" s="10"/>
    </row>
    <row r="1352" ht="14.25" customHeight="1">
      <c r="A1352" s="1" t="s">
        <v>3876</v>
      </c>
      <c r="B1352" s="2" t="s">
        <v>27</v>
      </c>
      <c r="C1352" s="2" t="s">
        <v>28</v>
      </c>
      <c r="D1352" s="2" t="s">
        <v>3877</v>
      </c>
      <c r="E1352" s="3" t="s">
        <v>3878</v>
      </c>
      <c r="F1352" s="4" t="s">
        <v>38</v>
      </c>
      <c r="G1352" s="4" t="s">
        <v>81</v>
      </c>
      <c r="H1352" s="14"/>
      <c r="I1352" s="4" t="s">
        <v>164</v>
      </c>
      <c r="J1352" s="6"/>
      <c r="K1352" s="7"/>
      <c r="L1352" s="8" t="str">
        <f t="shared" si="173"/>
        <v>FLORIDABLANCA</v>
      </c>
      <c r="O1352" s="10"/>
    </row>
    <row r="1353" ht="14.25" customHeight="1">
      <c r="A1353" s="1" t="s">
        <v>3879</v>
      </c>
      <c r="B1353" s="2" t="s">
        <v>27</v>
      </c>
      <c r="C1353" s="2" t="s">
        <v>28</v>
      </c>
      <c r="D1353" s="2" t="s">
        <v>3880</v>
      </c>
      <c r="E1353" s="3" t="s">
        <v>3881</v>
      </c>
      <c r="F1353" s="4" t="s">
        <v>38</v>
      </c>
      <c r="G1353" s="4" t="s">
        <v>113</v>
      </c>
      <c r="H1353" s="14"/>
      <c r="I1353" s="4" t="s">
        <v>540</v>
      </c>
      <c r="J1353" s="6"/>
      <c r="K1353" s="7"/>
      <c r="L1353" s="8" t="str">
        <f t="shared" si="173"/>
        <v>BARRANCABERMEJA</v>
      </c>
      <c r="O1353" s="10"/>
    </row>
    <row r="1354" ht="14.25" customHeight="1">
      <c r="A1354" s="1" t="s">
        <v>3882</v>
      </c>
      <c r="B1354" s="2" t="s">
        <v>27</v>
      </c>
      <c r="C1354" s="2" t="s">
        <v>28</v>
      </c>
      <c r="D1354" s="2" t="s">
        <v>3883</v>
      </c>
      <c r="E1354" s="3" t="s">
        <v>3884</v>
      </c>
      <c r="F1354" s="4" t="s">
        <v>38</v>
      </c>
      <c r="G1354" s="4" t="s">
        <v>81</v>
      </c>
      <c r="H1354" s="14"/>
      <c r="I1354" s="4" t="s">
        <v>164</v>
      </c>
      <c r="J1354" s="6"/>
      <c r="K1354" s="7"/>
      <c r="L1354" s="8" t="str">
        <f t="shared" si="173"/>
        <v>FLORIDABLANCA</v>
      </c>
      <c r="O1354" s="10"/>
    </row>
    <row r="1355" ht="14.25" hidden="1" customHeight="1">
      <c r="A1355" s="13" t="s">
        <v>3885</v>
      </c>
      <c r="B1355" s="4" t="s">
        <v>27</v>
      </c>
      <c r="C1355" s="4" t="s">
        <v>28</v>
      </c>
      <c r="D1355" s="4" t="s">
        <v>3886</v>
      </c>
      <c r="E1355" s="4">
        <v>3.118713141E9</v>
      </c>
      <c r="F1355" s="4" t="s">
        <v>30</v>
      </c>
      <c r="G1355" s="4" t="s">
        <v>35</v>
      </c>
      <c r="H1355" s="14"/>
      <c r="I1355" s="4" t="s">
        <v>32</v>
      </c>
      <c r="J1355" s="14"/>
      <c r="K1355" s="14"/>
      <c r="L1355" s="14"/>
    </row>
    <row r="1356" ht="14.25" hidden="1" customHeight="1">
      <c r="A1356" s="13" t="s">
        <v>3887</v>
      </c>
      <c r="B1356" s="4" t="s">
        <v>27</v>
      </c>
      <c r="C1356" s="4" t="s">
        <v>28</v>
      </c>
      <c r="D1356" s="4" t="s">
        <v>3886</v>
      </c>
      <c r="E1356" s="4">
        <v>3.23450271E9</v>
      </c>
      <c r="F1356" s="4" t="s">
        <v>30</v>
      </c>
      <c r="G1356" s="4" t="s">
        <v>35</v>
      </c>
      <c r="H1356" s="14"/>
      <c r="I1356" s="4" t="s">
        <v>32</v>
      </c>
      <c r="J1356" s="14"/>
      <c r="K1356" s="14"/>
      <c r="L1356" s="14"/>
    </row>
    <row r="1357" ht="14.25" hidden="1" customHeight="1">
      <c r="A1357" s="13" t="s">
        <v>3888</v>
      </c>
      <c r="B1357" s="4" t="s">
        <v>27</v>
      </c>
      <c r="C1357" s="4" t="s">
        <v>28</v>
      </c>
      <c r="D1357" s="4" t="s">
        <v>3889</v>
      </c>
      <c r="E1357" s="4">
        <v>3.22292338E9</v>
      </c>
      <c r="F1357" s="4" t="s">
        <v>30</v>
      </c>
      <c r="G1357" s="4" t="s">
        <v>31</v>
      </c>
      <c r="H1357" s="14"/>
      <c r="I1357" s="4" t="s">
        <v>32</v>
      </c>
      <c r="J1357" s="14"/>
      <c r="K1357" s="14"/>
      <c r="L1357" s="14"/>
    </row>
    <row r="1358" ht="14.25" hidden="1" customHeight="1">
      <c r="A1358" s="13" t="s">
        <v>3890</v>
      </c>
      <c r="B1358" s="4" t="s">
        <v>27</v>
      </c>
      <c r="C1358" s="4" t="s">
        <v>28</v>
      </c>
      <c r="D1358" s="4" t="s">
        <v>3891</v>
      </c>
      <c r="E1358" s="4">
        <v>3.213287911E9</v>
      </c>
      <c r="F1358" s="4" t="s">
        <v>30</v>
      </c>
      <c r="G1358" s="4" t="s">
        <v>35</v>
      </c>
      <c r="H1358" s="14"/>
      <c r="I1358" s="4" t="s">
        <v>32</v>
      </c>
      <c r="J1358" s="14"/>
      <c r="K1358" s="14"/>
      <c r="L1358" s="14"/>
    </row>
    <row r="1359" ht="14.25" hidden="1" customHeight="1">
      <c r="A1359" s="13" t="s">
        <v>3892</v>
      </c>
      <c r="B1359" s="4" t="s">
        <v>27</v>
      </c>
      <c r="C1359" s="4" t="s">
        <v>28</v>
      </c>
      <c r="D1359" s="4" t="s">
        <v>3893</v>
      </c>
      <c r="E1359" s="4">
        <v>3.112886292E9</v>
      </c>
      <c r="F1359" s="4" t="s">
        <v>30</v>
      </c>
      <c r="G1359" s="4" t="s">
        <v>35</v>
      </c>
      <c r="H1359" s="14"/>
      <c r="I1359" s="4" t="s">
        <v>32</v>
      </c>
      <c r="J1359" s="14"/>
      <c r="K1359" s="14"/>
      <c r="L1359" s="14"/>
    </row>
    <row r="1360" ht="14.25" customHeight="1">
      <c r="A1360" s="1" t="s">
        <v>3894</v>
      </c>
      <c r="B1360" s="2" t="s">
        <v>27</v>
      </c>
      <c r="C1360" s="2" t="s">
        <v>28</v>
      </c>
      <c r="D1360" s="2" t="s">
        <v>3895</v>
      </c>
      <c r="E1360" s="3" t="s">
        <v>3896</v>
      </c>
      <c r="F1360" s="4" t="s">
        <v>38</v>
      </c>
      <c r="G1360" s="4" t="s">
        <v>39</v>
      </c>
      <c r="H1360" s="4" t="s">
        <v>40</v>
      </c>
      <c r="I1360" s="4" t="s">
        <v>561</v>
      </c>
      <c r="J1360" s="6"/>
      <c r="K1360" s="7"/>
      <c r="L1360" s="8" t="str">
        <f>UPPER(G1360)</f>
        <v>BUCARAMANGA</v>
      </c>
      <c r="O1360" s="10"/>
    </row>
    <row r="1361" ht="14.25" hidden="1" customHeight="1">
      <c r="A1361" s="13" t="s">
        <v>3897</v>
      </c>
      <c r="B1361" s="4" t="s">
        <v>27</v>
      </c>
      <c r="C1361" s="4" t="s">
        <v>28</v>
      </c>
      <c r="D1361" s="4" t="s">
        <v>3898</v>
      </c>
      <c r="E1361" s="4">
        <v>3.126882431E9</v>
      </c>
      <c r="F1361" s="4" t="s">
        <v>30</v>
      </c>
      <c r="G1361" s="4" t="s">
        <v>35</v>
      </c>
      <c r="H1361" s="14"/>
      <c r="I1361" s="4" t="s">
        <v>32</v>
      </c>
      <c r="J1361" s="14"/>
      <c r="K1361" s="14"/>
      <c r="L1361" s="14"/>
    </row>
    <row r="1362" ht="14.25" customHeight="1">
      <c r="A1362" s="1" t="s">
        <v>3899</v>
      </c>
      <c r="B1362" s="2" t="s">
        <v>27</v>
      </c>
      <c r="C1362" s="2" t="s">
        <v>28</v>
      </c>
      <c r="D1362" s="2" t="s">
        <v>3900</v>
      </c>
      <c r="E1362" s="3" t="s">
        <v>748</v>
      </c>
      <c r="F1362" s="4" t="s">
        <v>38</v>
      </c>
      <c r="G1362" s="4" t="s">
        <v>39</v>
      </c>
      <c r="H1362" s="4" t="s">
        <v>229</v>
      </c>
      <c r="I1362" s="4" t="s">
        <v>76</v>
      </c>
      <c r="J1362" s="6"/>
      <c r="K1362" s="7"/>
      <c r="L1362" s="8" t="str">
        <f t="shared" ref="L1362:L1363" si="174">UPPER(G1362)</f>
        <v>BUCARAMANGA</v>
      </c>
      <c r="O1362" s="10"/>
    </row>
    <row r="1363" ht="14.25" customHeight="1">
      <c r="A1363" s="1" t="s">
        <v>3901</v>
      </c>
      <c r="B1363" s="2" t="s">
        <v>27</v>
      </c>
      <c r="C1363" s="2" t="s">
        <v>551</v>
      </c>
      <c r="D1363" s="2" t="s">
        <v>3902</v>
      </c>
      <c r="E1363" s="3" t="s">
        <v>3903</v>
      </c>
      <c r="F1363" s="4" t="s">
        <v>38</v>
      </c>
      <c r="G1363" s="4" t="s">
        <v>81</v>
      </c>
      <c r="H1363" s="14"/>
      <c r="I1363" s="4" t="s">
        <v>164</v>
      </c>
      <c r="J1363" s="6"/>
      <c r="K1363" s="7"/>
      <c r="L1363" s="8" t="str">
        <f t="shared" si="174"/>
        <v>FLORIDABLANCA</v>
      </c>
      <c r="O1363" s="10"/>
    </row>
    <row r="1364" ht="14.25" hidden="1" customHeight="1">
      <c r="A1364" s="13" t="s">
        <v>3904</v>
      </c>
      <c r="B1364" s="4" t="s">
        <v>27</v>
      </c>
      <c r="C1364" s="4" t="s">
        <v>28</v>
      </c>
      <c r="D1364" s="4" t="s">
        <v>3905</v>
      </c>
      <c r="E1364" s="4">
        <v>3.118713141E9</v>
      </c>
      <c r="F1364" s="4" t="s">
        <v>30</v>
      </c>
      <c r="G1364" s="4" t="s">
        <v>31</v>
      </c>
      <c r="H1364" s="14"/>
      <c r="I1364" s="4" t="s">
        <v>32</v>
      </c>
      <c r="J1364" s="14"/>
      <c r="K1364" s="14"/>
      <c r="L1364" s="14"/>
    </row>
    <row r="1365" ht="14.25" customHeight="1">
      <c r="A1365" s="1" t="s">
        <v>3906</v>
      </c>
      <c r="B1365" s="2" t="s">
        <v>27</v>
      </c>
      <c r="C1365" s="2" t="s">
        <v>28</v>
      </c>
      <c r="D1365" s="2" t="s">
        <v>3907</v>
      </c>
      <c r="E1365" s="3" t="s">
        <v>3908</v>
      </c>
      <c r="F1365" s="4" t="s">
        <v>38</v>
      </c>
      <c r="G1365" s="4" t="s">
        <v>81</v>
      </c>
      <c r="H1365" s="14"/>
      <c r="I1365" s="4" t="s">
        <v>561</v>
      </c>
      <c r="J1365" s="6"/>
      <c r="K1365" s="7"/>
      <c r="L1365" s="8" t="str">
        <f t="shared" ref="L1365:L1366" si="175">UPPER(G1365)</f>
        <v>FLORIDABLANCA</v>
      </c>
      <c r="O1365" s="10"/>
    </row>
    <row r="1366" ht="14.25" customHeight="1">
      <c r="A1366" s="1" t="s">
        <v>3909</v>
      </c>
      <c r="B1366" s="2" t="s">
        <v>27</v>
      </c>
      <c r="C1366" s="2" t="s">
        <v>28</v>
      </c>
      <c r="D1366" s="2" t="s">
        <v>3910</v>
      </c>
      <c r="E1366" s="3" t="s">
        <v>3911</v>
      </c>
      <c r="F1366" s="4" t="s">
        <v>38</v>
      </c>
      <c r="G1366" s="4" t="s">
        <v>113</v>
      </c>
      <c r="H1366" s="4" t="s">
        <v>965</v>
      </c>
      <c r="I1366" s="4" t="s">
        <v>358</v>
      </c>
      <c r="J1366" s="6"/>
      <c r="K1366" s="7"/>
      <c r="L1366" s="8" t="str">
        <f t="shared" si="175"/>
        <v>BARRANCABERMEJA</v>
      </c>
      <c r="O1366" s="10"/>
    </row>
    <row r="1367" ht="14.25" hidden="1" customHeight="1">
      <c r="A1367" s="13" t="s">
        <v>3912</v>
      </c>
      <c r="B1367" s="4" t="s">
        <v>27</v>
      </c>
      <c r="C1367" s="4" t="s">
        <v>28</v>
      </c>
      <c r="D1367" s="4" t="s">
        <v>3913</v>
      </c>
      <c r="E1367" s="4">
        <v>3.124295466E9</v>
      </c>
      <c r="F1367" s="4" t="s">
        <v>30</v>
      </c>
      <c r="G1367" s="4" t="s">
        <v>35</v>
      </c>
      <c r="H1367" s="14"/>
      <c r="I1367" s="4" t="s">
        <v>32</v>
      </c>
      <c r="J1367" s="14"/>
      <c r="K1367" s="14"/>
      <c r="L1367" s="14"/>
    </row>
    <row r="1368" ht="14.25" hidden="1" customHeight="1">
      <c r="A1368" s="13" t="s">
        <v>3914</v>
      </c>
      <c r="B1368" s="4" t="s">
        <v>27</v>
      </c>
      <c r="C1368" s="4" t="s">
        <v>28</v>
      </c>
      <c r="D1368" s="4" t="s">
        <v>3915</v>
      </c>
      <c r="E1368" s="4">
        <v>3.23450271E9</v>
      </c>
      <c r="F1368" s="4" t="s">
        <v>30</v>
      </c>
      <c r="G1368" s="4" t="s">
        <v>35</v>
      </c>
      <c r="H1368" s="14"/>
      <c r="I1368" s="4" t="s">
        <v>32</v>
      </c>
      <c r="J1368" s="14"/>
      <c r="K1368" s="14"/>
      <c r="L1368" s="14"/>
    </row>
    <row r="1369" ht="14.25" customHeight="1">
      <c r="A1369" s="1" t="s">
        <v>3916</v>
      </c>
      <c r="B1369" s="2" t="s">
        <v>27</v>
      </c>
      <c r="C1369" s="2" t="s">
        <v>28</v>
      </c>
      <c r="D1369" s="2" t="s">
        <v>3917</v>
      </c>
      <c r="E1369" s="3" t="s">
        <v>3918</v>
      </c>
      <c r="F1369" s="4" t="s">
        <v>38</v>
      </c>
      <c r="G1369" s="4" t="s">
        <v>113</v>
      </c>
      <c r="H1369" s="14"/>
      <c r="I1369" s="4" t="s">
        <v>358</v>
      </c>
      <c r="J1369" s="6" t="s">
        <v>3919</v>
      </c>
      <c r="K1369" s="25">
        <v>10.0</v>
      </c>
      <c r="L1369" s="8" t="str">
        <f t="shared" ref="L1369:L1371" si="176">UPPER(G1369)</f>
        <v>BARRANCABERMEJA</v>
      </c>
      <c r="O1369" s="10"/>
    </row>
    <row r="1370" ht="14.25" customHeight="1">
      <c r="A1370" s="1" t="s">
        <v>3920</v>
      </c>
      <c r="B1370" s="2" t="s">
        <v>27</v>
      </c>
      <c r="C1370" s="2" t="s">
        <v>28</v>
      </c>
      <c r="D1370" s="2" t="s">
        <v>3921</v>
      </c>
      <c r="E1370" s="3" t="s">
        <v>3922</v>
      </c>
      <c r="F1370" s="4" t="s">
        <v>1863</v>
      </c>
      <c r="G1370" s="4" t="s">
        <v>3923</v>
      </c>
      <c r="H1370" s="4" t="s">
        <v>118</v>
      </c>
      <c r="I1370" s="4" t="s">
        <v>561</v>
      </c>
      <c r="J1370" s="6" t="s">
        <v>3924</v>
      </c>
      <c r="K1370" s="25">
        <v>13.0</v>
      </c>
      <c r="L1370" s="8" t="str">
        <f t="shared" si="176"/>
        <v>TULUA</v>
      </c>
      <c r="O1370" s="10"/>
    </row>
    <row r="1371" ht="14.25" customHeight="1">
      <c r="A1371" s="1" t="s">
        <v>3925</v>
      </c>
      <c r="B1371" s="2" t="s">
        <v>27</v>
      </c>
      <c r="C1371" s="2" t="s">
        <v>28</v>
      </c>
      <c r="D1371" s="2" t="s">
        <v>3926</v>
      </c>
      <c r="E1371" s="3" t="s">
        <v>3927</v>
      </c>
      <c r="F1371" s="4" t="s">
        <v>38</v>
      </c>
      <c r="G1371" s="4" t="s">
        <v>39</v>
      </c>
      <c r="H1371" s="14"/>
      <c r="I1371" s="4" t="s">
        <v>76</v>
      </c>
      <c r="J1371" s="6" t="s">
        <v>3928</v>
      </c>
      <c r="K1371" s="25">
        <v>7.0</v>
      </c>
      <c r="L1371" s="8" t="str">
        <f t="shared" si="176"/>
        <v>BUCARAMANGA</v>
      </c>
      <c r="O1371" s="10"/>
    </row>
    <row r="1372" ht="14.25" hidden="1" customHeight="1">
      <c r="A1372" s="13" t="s">
        <v>3929</v>
      </c>
      <c r="B1372" s="4" t="s">
        <v>27</v>
      </c>
      <c r="C1372" s="4" t="s">
        <v>28</v>
      </c>
      <c r="D1372" s="4" t="s">
        <v>3930</v>
      </c>
      <c r="E1372" s="4">
        <v>3.118713141E9</v>
      </c>
      <c r="F1372" s="4" t="s">
        <v>30</v>
      </c>
      <c r="G1372" s="4" t="s">
        <v>35</v>
      </c>
      <c r="H1372" s="14"/>
      <c r="I1372" s="4" t="s">
        <v>32</v>
      </c>
      <c r="J1372" s="14"/>
      <c r="K1372" s="14"/>
      <c r="L1372" s="14"/>
    </row>
    <row r="1373" ht="14.25" hidden="1" customHeight="1">
      <c r="A1373" s="13" t="s">
        <v>3931</v>
      </c>
      <c r="B1373" s="4" t="s">
        <v>27</v>
      </c>
      <c r="C1373" s="4" t="s">
        <v>28</v>
      </c>
      <c r="D1373" s="4" t="s">
        <v>3932</v>
      </c>
      <c r="E1373" s="4">
        <v>3.166026011E9</v>
      </c>
      <c r="F1373" s="4" t="s">
        <v>30</v>
      </c>
      <c r="G1373" s="4" t="s">
        <v>35</v>
      </c>
      <c r="H1373" s="14"/>
      <c r="I1373" s="4" t="s">
        <v>32</v>
      </c>
      <c r="J1373" s="14"/>
      <c r="K1373" s="14"/>
      <c r="L1373" s="14"/>
    </row>
    <row r="1374" ht="14.25" hidden="1" customHeight="1">
      <c r="A1374" s="13" t="s">
        <v>3933</v>
      </c>
      <c r="B1374" s="4" t="s">
        <v>27</v>
      </c>
      <c r="C1374" s="4" t="s">
        <v>28</v>
      </c>
      <c r="D1374" s="4" t="s">
        <v>3934</v>
      </c>
      <c r="E1374" s="4">
        <v>3.113855088E9</v>
      </c>
      <c r="F1374" s="4" t="s">
        <v>30</v>
      </c>
      <c r="G1374" s="4" t="s">
        <v>31</v>
      </c>
      <c r="H1374" s="14"/>
      <c r="I1374" s="4" t="s">
        <v>32</v>
      </c>
      <c r="J1374" s="14"/>
      <c r="K1374" s="14"/>
      <c r="L1374" s="14"/>
    </row>
    <row r="1375" ht="14.25" customHeight="1">
      <c r="A1375" s="1" t="s">
        <v>3935</v>
      </c>
      <c r="B1375" s="2" t="s">
        <v>27</v>
      </c>
      <c r="C1375" s="2" t="s">
        <v>28</v>
      </c>
      <c r="D1375" s="2" t="s">
        <v>3936</v>
      </c>
      <c r="E1375" s="3" t="s">
        <v>3937</v>
      </c>
      <c r="F1375" s="4" t="s">
        <v>655</v>
      </c>
      <c r="G1375" s="4" t="s">
        <v>3938</v>
      </c>
      <c r="H1375" s="14"/>
      <c r="I1375" s="4" t="s">
        <v>561</v>
      </c>
      <c r="J1375" s="6" t="s">
        <v>3939</v>
      </c>
      <c r="K1375" s="25">
        <v>34.0</v>
      </c>
      <c r="L1375" s="8" t="str">
        <f t="shared" ref="L1375:L1376" si="177">UPPER(G1375)</f>
        <v>CUCUTA</v>
      </c>
      <c r="O1375" s="10"/>
    </row>
    <row r="1376" ht="14.25" customHeight="1">
      <c r="A1376" s="1" t="s">
        <v>3940</v>
      </c>
      <c r="B1376" s="2" t="s">
        <v>27</v>
      </c>
      <c r="C1376" s="2" t="s">
        <v>28</v>
      </c>
      <c r="D1376" s="2" t="s">
        <v>3941</v>
      </c>
      <c r="E1376" s="3" t="s">
        <v>3942</v>
      </c>
      <c r="F1376" s="4" t="s">
        <v>38</v>
      </c>
      <c r="G1376" s="4" t="s">
        <v>39</v>
      </c>
      <c r="H1376" s="14"/>
      <c r="I1376" s="4" t="s">
        <v>76</v>
      </c>
      <c r="J1376" s="6" t="s">
        <v>99</v>
      </c>
      <c r="K1376" s="25">
        <v>24.0</v>
      </c>
      <c r="L1376" s="8" t="str">
        <f t="shared" si="177"/>
        <v>BUCARAMANGA</v>
      </c>
      <c r="O1376" s="10"/>
    </row>
    <row r="1377" ht="14.25" hidden="1" customHeight="1">
      <c r="A1377" s="13" t="s">
        <v>3943</v>
      </c>
      <c r="B1377" s="4" t="s">
        <v>27</v>
      </c>
      <c r="C1377" s="4" t="s">
        <v>28</v>
      </c>
      <c r="D1377" s="4" t="s">
        <v>3944</v>
      </c>
      <c r="E1377" s="4">
        <v>3.118713141E9</v>
      </c>
      <c r="F1377" s="4" t="s">
        <v>30</v>
      </c>
      <c r="G1377" s="4" t="s">
        <v>35</v>
      </c>
      <c r="H1377" s="14"/>
      <c r="I1377" s="4" t="s">
        <v>32</v>
      </c>
      <c r="J1377" s="14"/>
      <c r="K1377" s="14"/>
      <c r="L1377" s="14"/>
    </row>
    <row r="1378" ht="14.25" customHeight="1">
      <c r="A1378" s="1" t="s">
        <v>3945</v>
      </c>
      <c r="B1378" s="2" t="s">
        <v>27</v>
      </c>
      <c r="C1378" s="2" t="s">
        <v>28</v>
      </c>
      <c r="D1378" s="2" t="s">
        <v>3946</v>
      </c>
      <c r="E1378" s="3" t="s">
        <v>3947</v>
      </c>
      <c r="F1378" s="4" t="s">
        <v>38</v>
      </c>
      <c r="G1378" s="4" t="s">
        <v>3948</v>
      </c>
      <c r="H1378" s="14"/>
      <c r="I1378" s="4" t="s">
        <v>164</v>
      </c>
      <c r="J1378" s="6" t="s">
        <v>171</v>
      </c>
      <c r="K1378" s="25">
        <v>16.0</v>
      </c>
      <c r="L1378" s="8" t="str">
        <f t="shared" ref="L1378:L1383" si="178">UPPER(G1378)</f>
        <v>LOS SANTOS</v>
      </c>
      <c r="O1378" s="10"/>
    </row>
    <row r="1379" ht="14.25" customHeight="1">
      <c r="A1379" s="1" t="s">
        <v>3949</v>
      </c>
      <c r="B1379" s="2" t="s">
        <v>27</v>
      </c>
      <c r="C1379" s="2" t="s">
        <v>28</v>
      </c>
      <c r="D1379" s="2" t="s">
        <v>3950</v>
      </c>
      <c r="E1379" s="3" t="s">
        <v>3951</v>
      </c>
      <c r="F1379" s="4" t="s">
        <v>1863</v>
      </c>
      <c r="G1379" s="4" t="s">
        <v>1356</v>
      </c>
      <c r="H1379" s="14"/>
      <c r="I1379" s="4" t="s">
        <v>51</v>
      </c>
      <c r="J1379" s="6" t="s">
        <v>3952</v>
      </c>
      <c r="K1379" s="25">
        <v>21.0</v>
      </c>
      <c r="L1379" s="8" t="str">
        <f t="shared" si="178"/>
        <v>CALI</v>
      </c>
      <c r="O1379" s="10"/>
    </row>
    <row r="1380" ht="14.25" customHeight="1">
      <c r="A1380" s="1" t="s">
        <v>3953</v>
      </c>
      <c r="B1380" s="2" t="s">
        <v>27</v>
      </c>
      <c r="C1380" s="2" t="s">
        <v>28</v>
      </c>
      <c r="D1380" s="2" t="s">
        <v>3954</v>
      </c>
      <c r="E1380" s="3" t="s">
        <v>3955</v>
      </c>
      <c r="F1380" s="4" t="s">
        <v>922</v>
      </c>
      <c r="G1380" s="4" t="s">
        <v>3956</v>
      </c>
      <c r="H1380" s="4" t="s">
        <v>181</v>
      </c>
      <c r="I1380" s="4" t="s">
        <v>182</v>
      </c>
      <c r="J1380" s="6" t="s">
        <v>3957</v>
      </c>
      <c r="K1380" s="25">
        <v>4.0</v>
      </c>
      <c r="L1380" s="8" t="str">
        <f t="shared" si="178"/>
        <v>SIBATE</v>
      </c>
      <c r="O1380" s="10"/>
    </row>
    <row r="1381" ht="14.25" customHeight="1">
      <c r="A1381" s="1" t="s">
        <v>3958</v>
      </c>
      <c r="B1381" s="2" t="s">
        <v>27</v>
      </c>
      <c r="C1381" s="2" t="s">
        <v>28</v>
      </c>
      <c r="D1381" s="2" t="s">
        <v>3959</v>
      </c>
      <c r="E1381" s="3" t="s">
        <v>3960</v>
      </c>
      <c r="F1381" s="4" t="s">
        <v>38</v>
      </c>
      <c r="G1381" s="4" t="s">
        <v>39</v>
      </c>
      <c r="H1381" s="14"/>
      <c r="I1381" s="4" t="s">
        <v>76</v>
      </c>
      <c r="J1381" s="6" t="s">
        <v>596</v>
      </c>
      <c r="K1381" s="25">
        <v>21.0</v>
      </c>
      <c r="L1381" s="8" t="str">
        <f t="shared" si="178"/>
        <v>BUCARAMANGA</v>
      </c>
      <c r="O1381" s="10"/>
    </row>
    <row r="1382" ht="14.25" customHeight="1">
      <c r="A1382" s="1" t="s">
        <v>3961</v>
      </c>
      <c r="B1382" s="2" t="s">
        <v>27</v>
      </c>
      <c r="C1382" s="2" t="s">
        <v>28</v>
      </c>
      <c r="D1382" s="2" t="s">
        <v>3962</v>
      </c>
      <c r="E1382" s="3" t="s">
        <v>3963</v>
      </c>
      <c r="F1382" s="4" t="s">
        <v>2050</v>
      </c>
      <c r="G1382" s="4" t="s">
        <v>3964</v>
      </c>
      <c r="H1382" s="4" t="s">
        <v>965</v>
      </c>
      <c r="I1382" s="4" t="s">
        <v>1373</v>
      </c>
      <c r="J1382" s="6" t="s">
        <v>3965</v>
      </c>
      <c r="K1382" s="25">
        <v>13.0</v>
      </c>
      <c r="L1382" s="8" t="str">
        <f t="shared" si="178"/>
        <v>VILLAVICENCIO</v>
      </c>
      <c r="O1382" s="10"/>
    </row>
    <row r="1383" ht="14.25" customHeight="1">
      <c r="A1383" s="1" t="s">
        <v>3966</v>
      </c>
      <c r="B1383" s="2" t="s">
        <v>27</v>
      </c>
      <c r="C1383" s="2" t="s">
        <v>28</v>
      </c>
      <c r="D1383" s="2" t="s">
        <v>3967</v>
      </c>
      <c r="E1383" s="3" t="s">
        <v>3968</v>
      </c>
      <c r="F1383" s="4" t="s">
        <v>69</v>
      </c>
      <c r="G1383" s="4" t="s">
        <v>69</v>
      </c>
      <c r="H1383" s="14"/>
      <c r="I1383" s="4" t="s">
        <v>51</v>
      </c>
      <c r="J1383" s="6" t="s">
        <v>3969</v>
      </c>
      <c r="K1383" s="25">
        <v>6.0</v>
      </c>
      <c r="L1383" s="8" t="str">
        <f t="shared" si="178"/>
        <v>BOGOTA</v>
      </c>
      <c r="O1383" s="10"/>
    </row>
    <row r="1384" ht="14.25" hidden="1" customHeight="1">
      <c r="A1384" s="13" t="s">
        <v>3970</v>
      </c>
      <c r="B1384" s="4" t="s">
        <v>27</v>
      </c>
      <c r="C1384" s="4" t="s">
        <v>28</v>
      </c>
      <c r="D1384" s="4" t="s">
        <v>3971</v>
      </c>
      <c r="E1384" s="4">
        <v>3.102211527E9</v>
      </c>
      <c r="F1384" s="4" t="s">
        <v>30</v>
      </c>
      <c r="G1384" s="4" t="s">
        <v>35</v>
      </c>
      <c r="H1384" s="14"/>
      <c r="I1384" s="4" t="s">
        <v>32</v>
      </c>
      <c r="J1384" s="14"/>
      <c r="K1384" s="14"/>
      <c r="L1384" s="14"/>
    </row>
    <row r="1385" ht="14.25" customHeight="1">
      <c r="A1385" s="1" t="s">
        <v>3972</v>
      </c>
      <c r="B1385" s="2" t="s">
        <v>27</v>
      </c>
      <c r="C1385" s="2" t="s">
        <v>28</v>
      </c>
      <c r="D1385" s="2" t="s">
        <v>3973</v>
      </c>
      <c r="E1385" s="3" t="s">
        <v>444</v>
      </c>
      <c r="F1385" s="4" t="s">
        <v>69</v>
      </c>
      <c r="G1385" s="4" t="s">
        <v>69</v>
      </c>
      <c r="H1385" s="14"/>
      <c r="I1385" s="4" t="s">
        <v>51</v>
      </c>
      <c r="J1385" s="6" t="s">
        <v>3974</v>
      </c>
      <c r="K1385" s="25">
        <v>16.0</v>
      </c>
      <c r="L1385" s="8" t="str">
        <f>UPPER(G1385)</f>
        <v>BOGOTA</v>
      </c>
      <c r="O1385" s="10"/>
    </row>
    <row r="1386" ht="14.25" hidden="1" customHeight="1">
      <c r="A1386" s="13" t="s">
        <v>3975</v>
      </c>
      <c r="B1386" s="4" t="s">
        <v>27</v>
      </c>
      <c r="C1386" s="4" t="s">
        <v>28</v>
      </c>
      <c r="D1386" s="4" t="s">
        <v>3976</v>
      </c>
      <c r="E1386" s="4">
        <v>3.229457091E9</v>
      </c>
      <c r="F1386" s="4" t="s">
        <v>30</v>
      </c>
      <c r="G1386" s="4" t="s">
        <v>35</v>
      </c>
      <c r="H1386" s="14"/>
      <c r="I1386" s="4" t="s">
        <v>32</v>
      </c>
      <c r="J1386" s="14"/>
      <c r="K1386" s="14"/>
      <c r="L1386" s="14"/>
    </row>
    <row r="1387" ht="14.25" hidden="1" customHeight="1">
      <c r="A1387" s="13" t="s">
        <v>3977</v>
      </c>
      <c r="B1387" s="4" t="s">
        <v>27</v>
      </c>
      <c r="C1387" s="4" t="s">
        <v>28</v>
      </c>
      <c r="D1387" s="4" t="s">
        <v>3978</v>
      </c>
      <c r="E1387" s="4">
        <v>3.125714601E9</v>
      </c>
      <c r="F1387" s="4" t="s">
        <v>30</v>
      </c>
      <c r="G1387" s="4" t="s">
        <v>35</v>
      </c>
      <c r="H1387" s="14"/>
      <c r="I1387" s="4" t="s">
        <v>32</v>
      </c>
      <c r="J1387" s="14"/>
      <c r="K1387" s="14"/>
      <c r="L1387" s="14"/>
    </row>
    <row r="1388" ht="14.25" customHeight="1">
      <c r="A1388" s="1" t="s">
        <v>3979</v>
      </c>
      <c r="B1388" s="2" t="s">
        <v>27</v>
      </c>
      <c r="C1388" s="2" t="s">
        <v>28</v>
      </c>
      <c r="D1388" s="2" t="s">
        <v>3980</v>
      </c>
      <c r="E1388" s="3" t="s">
        <v>3766</v>
      </c>
      <c r="F1388" s="4" t="s">
        <v>655</v>
      </c>
      <c r="G1388" s="4" t="s">
        <v>656</v>
      </c>
      <c r="H1388" s="14"/>
      <c r="I1388" s="4" t="s">
        <v>51</v>
      </c>
      <c r="J1388" s="6" t="s">
        <v>3981</v>
      </c>
      <c r="K1388" s="25">
        <v>20.0</v>
      </c>
      <c r="L1388" s="8" t="str">
        <f t="shared" ref="L1388:L1390" si="179">UPPER(G1388)</f>
        <v>VILLA DEL ROSARIO</v>
      </c>
      <c r="O1388" s="10"/>
    </row>
    <row r="1389" ht="14.25" customHeight="1">
      <c r="A1389" s="1" t="s">
        <v>3982</v>
      </c>
      <c r="B1389" s="2" t="s">
        <v>27</v>
      </c>
      <c r="C1389" s="2" t="s">
        <v>28</v>
      </c>
      <c r="D1389" s="2" t="s">
        <v>3983</v>
      </c>
      <c r="E1389" s="3" t="s">
        <v>3984</v>
      </c>
      <c r="F1389" s="4" t="s">
        <v>69</v>
      </c>
      <c r="G1389" s="4" t="s">
        <v>69</v>
      </c>
      <c r="H1389" s="4" t="s">
        <v>133</v>
      </c>
      <c r="I1389" s="4" t="s">
        <v>51</v>
      </c>
      <c r="J1389" s="6" t="s">
        <v>3985</v>
      </c>
      <c r="K1389" s="25">
        <v>8.0</v>
      </c>
      <c r="L1389" s="8" t="str">
        <f t="shared" si="179"/>
        <v>BOGOTA</v>
      </c>
      <c r="O1389" s="10"/>
    </row>
    <row r="1390" ht="14.25" customHeight="1">
      <c r="A1390" s="1" t="s">
        <v>3986</v>
      </c>
      <c r="B1390" s="2" t="s">
        <v>27</v>
      </c>
      <c r="C1390" s="2" t="s">
        <v>28</v>
      </c>
      <c r="D1390" s="2" t="s">
        <v>3987</v>
      </c>
      <c r="E1390" s="3" t="s">
        <v>3988</v>
      </c>
      <c r="F1390" s="4" t="s">
        <v>38</v>
      </c>
      <c r="G1390" s="4" t="s">
        <v>81</v>
      </c>
      <c r="H1390" s="4" t="s">
        <v>308</v>
      </c>
      <c r="I1390" s="4" t="s">
        <v>561</v>
      </c>
      <c r="J1390" s="6" t="s">
        <v>3989</v>
      </c>
      <c r="K1390" s="25">
        <v>17.0</v>
      </c>
      <c r="L1390" s="8" t="str">
        <f t="shared" si="179"/>
        <v>FLORIDABLANCA</v>
      </c>
      <c r="O1390" s="10"/>
    </row>
    <row r="1391" ht="14.25" hidden="1" customHeight="1">
      <c r="A1391" s="13" t="s">
        <v>3990</v>
      </c>
      <c r="B1391" s="4" t="s">
        <v>27</v>
      </c>
      <c r="C1391" s="4" t="s">
        <v>28</v>
      </c>
      <c r="D1391" s="4" t="s">
        <v>3991</v>
      </c>
      <c r="E1391" s="4">
        <v>3.016379406E9</v>
      </c>
      <c r="F1391" s="4" t="s">
        <v>30</v>
      </c>
      <c r="G1391" s="4" t="s">
        <v>31</v>
      </c>
      <c r="H1391" s="30"/>
      <c r="I1391" s="4" t="s">
        <v>32</v>
      </c>
      <c r="J1391" s="14"/>
      <c r="K1391" s="14"/>
      <c r="L1391" s="14"/>
    </row>
    <row r="1392" ht="14.25" customHeight="1">
      <c r="A1392" s="1" t="s">
        <v>3992</v>
      </c>
      <c r="B1392" s="2" t="s">
        <v>27</v>
      </c>
      <c r="C1392" s="2" t="s">
        <v>66</v>
      </c>
      <c r="D1392" s="2" t="s">
        <v>3993</v>
      </c>
      <c r="E1392" s="3" t="s">
        <v>3994</v>
      </c>
      <c r="F1392" s="4" t="s">
        <v>38</v>
      </c>
      <c r="G1392" s="4" t="s">
        <v>113</v>
      </c>
      <c r="H1392" s="4" t="s">
        <v>3995</v>
      </c>
      <c r="I1392" s="4" t="s">
        <v>358</v>
      </c>
      <c r="J1392" s="6" t="s">
        <v>624</v>
      </c>
      <c r="K1392" s="25">
        <v>4.0</v>
      </c>
      <c r="L1392" s="8" t="str">
        <f t="shared" ref="L1392:L1393" si="180">UPPER(G1392)</f>
        <v>BARRANCABERMEJA</v>
      </c>
      <c r="O1392" s="10"/>
    </row>
    <row r="1393" ht="14.25" customHeight="1">
      <c r="A1393" s="1" t="s">
        <v>3996</v>
      </c>
      <c r="B1393" s="2" t="s">
        <v>27</v>
      </c>
      <c r="C1393" s="2" t="s">
        <v>28</v>
      </c>
      <c r="D1393" s="2" t="s">
        <v>3997</v>
      </c>
      <c r="E1393" s="3" t="s">
        <v>3998</v>
      </c>
      <c r="F1393" s="4" t="s">
        <v>38</v>
      </c>
      <c r="G1393" s="4" t="s">
        <v>113</v>
      </c>
      <c r="H1393" s="14"/>
      <c r="I1393" s="4" t="s">
        <v>358</v>
      </c>
      <c r="J1393" s="6" t="s">
        <v>3999</v>
      </c>
      <c r="K1393" s="25">
        <v>4.0</v>
      </c>
      <c r="L1393" s="8" t="str">
        <f t="shared" si="180"/>
        <v>BARRANCABERMEJA</v>
      </c>
      <c r="O1393" s="10"/>
    </row>
    <row r="1394" ht="14.25" hidden="1" customHeight="1">
      <c r="A1394" s="13" t="s">
        <v>4000</v>
      </c>
      <c r="B1394" s="4" t="s">
        <v>27</v>
      </c>
      <c r="C1394" s="4" t="s">
        <v>28</v>
      </c>
      <c r="D1394" s="4" t="s">
        <v>4001</v>
      </c>
      <c r="E1394" s="4">
        <v>3.22292338E9</v>
      </c>
      <c r="F1394" s="4" t="s">
        <v>30</v>
      </c>
      <c r="G1394" s="4" t="s">
        <v>31</v>
      </c>
      <c r="H1394" s="14"/>
      <c r="I1394" s="4" t="s">
        <v>32</v>
      </c>
      <c r="J1394" s="14"/>
      <c r="K1394" s="14"/>
      <c r="L1394" s="14"/>
    </row>
    <row r="1395" ht="14.25" customHeight="1">
      <c r="A1395" s="1" t="s">
        <v>4002</v>
      </c>
      <c r="B1395" s="2" t="s">
        <v>27</v>
      </c>
      <c r="C1395" s="2" t="s">
        <v>28</v>
      </c>
      <c r="D1395" s="2" t="s">
        <v>4003</v>
      </c>
      <c r="E1395" s="3" t="s">
        <v>4004</v>
      </c>
      <c r="F1395" s="4" t="s">
        <v>38</v>
      </c>
      <c r="G1395" s="4" t="s">
        <v>113</v>
      </c>
      <c r="H1395" s="4" t="s">
        <v>357</v>
      </c>
      <c r="I1395" s="4" t="s">
        <v>358</v>
      </c>
      <c r="J1395" s="6" t="s">
        <v>4005</v>
      </c>
      <c r="K1395" s="25">
        <v>5.0</v>
      </c>
      <c r="L1395" s="8" t="str">
        <f t="shared" ref="L1395:L1399" si="181">UPPER(G1395)</f>
        <v>BARRANCABERMEJA</v>
      </c>
      <c r="O1395" s="10"/>
    </row>
    <row r="1396" ht="14.25" customHeight="1">
      <c r="A1396" s="1" t="s">
        <v>4006</v>
      </c>
      <c r="B1396" s="2" t="s">
        <v>27</v>
      </c>
      <c r="C1396" s="2" t="s">
        <v>28</v>
      </c>
      <c r="D1396" s="2" t="s">
        <v>4007</v>
      </c>
      <c r="E1396" s="3" t="s">
        <v>4008</v>
      </c>
      <c r="F1396" s="4" t="s">
        <v>337</v>
      </c>
      <c r="G1396" s="4" t="s">
        <v>338</v>
      </c>
      <c r="H1396" s="4" t="s">
        <v>2163</v>
      </c>
      <c r="I1396" s="4" t="s">
        <v>561</v>
      </c>
      <c r="J1396" s="6" t="s">
        <v>4009</v>
      </c>
      <c r="K1396" s="25">
        <v>4.0</v>
      </c>
      <c r="L1396" s="8" t="str">
        <f t="shared" si="181"/>
        <v>IBAGUE</v>
      </c>
      <c r="O1396" s="10"/>
    </row>
    <row r="1397" ht="14.25" customHeight="1">
      <c r="A1397" s="1" t="s">
        <v>4010</v>
      </c>
      <c r="B1397" s="2" t="s">
        <v>27</v>
      </c>
      <c r="C1397" s="2" t="s">
        <v>28</v>
      </c>
      <c r="D1397" s="2" t="s">
        <v>4011</v>
      </c>
      <c r="E1397" s="3" t="s">
        <v>4012</v>
      </c>
      <c r="F1397" s="4" t="s">
        <v>69</v>
      </c>
      <c r="G1397" s="4" t="s">
        <v>69</v>
      </c>
      <c r="H1397" s="14"/>
      <c r="I1397" s="4" t="s">
        <v>76</v>
      </c>
      <c r="J1397" s="6" t="s">
        <v>4013</v>
      </c>
      <c r="K1397" s="25">
        <v>4.0</v>
      </c>
      <c r="L1397" s="8" t="str">
        <f t="shared" si="181"/>
        <v>BOGOTA</v>
      </c>
      <c r="O1397" s="10"/>
    </row>
    <row r="1398" ht="14.25" customHeight="1">
      <c r="A1398" s="1" t="s">
        <v>4014</v>
      </c>
      <c r="B1398" s="2" t="s">
        <v>27</v>
      </c>
      <c r="C1398" s="2" t="s">
        <v>28</v>
      </c>
      <c r="D1398" s="2" t="s">
        <v>4015</v>
      </c>
      <c r="E1398" s="3" t="s">
        <v>4016</v>
      </c>
      <c r="F1398" s="4" t="s">
        <v>38</v>
      </c>
      <c r="G1398" s="4" t="s">
        <v>784</v>
      </c>
      <c r="H1398" s="14"/>
      <c r="I1398" s="4" t="s">
        <v>76</v>
      </c>
      <c r="J1398" s="6" t="s">
        <v>4017</v>
      </c>
      <c r="K1398" s="25">
        <v>8.0</v>
      </c>
      <c r="L1398" s="8" t="str">
        <f t="shared" si="181"/>
        <v>SAN GIL</v>
      </c>
      <c r="O1398" s="10"/>
    </row>
    <row r="1399" ht="14.25" customHeight="1">
      <c r="A1399" s="1" t="s">
        <v>4018</v>
      </c>
      <c r="B1399" s="2" t="s">
        <v>27</v>
      </c>
      <c r="C1399" s="2" t="s">
        <v>28</v>
      </c>
      <c r="D1399" s="2" t="s">
        <v>4019</v>
      </c>
      <c r="E1399" s="3" t="s">
        <v>4020</v>
      </c>
      <c r="F1399" s="4" t="s">
        <v>69</v>
      </c>
      <c r="G1399" s="4" t="s">
        <v>69</v>
      </c>
      <c r="H1399" s="4" t="s">
        <v>40</v>
      </c>
      <c r="I1399" s="4" t="s">
        <v>182</v>
      </c>
      <c r="J1399" s="6" t="s">
        <v>4021</v>
      </c>
      <c r="K1399" s="25">
        <v>24.0</v>
      </c>
      <c r="L1399" s="8" t="str">
        <f t="shared" si="181"/>
        <v>BOGOTA</v>
      </c>
      <c r="O1399" s="10"/>
    </row>
    <row r="1400" ht="14.25" hidden="1" customHeight="1">
      <c r="A1400" s="13" t="s">
        <v>4022</v>
      </c>
      <c r="B1400" s="4" t="s">
        <v>27</v>
      </c>
      <c r="C1400" s="4" t="s">
        <v>28</v>
      </c>
      <c r="D1400" s="4" t="s">
        <v>4023</v>
      </c>
      <c r="E1400" s="4">
        <v>3.213289711E9</v>
      </c>
      <c r="F1400" s="4" t="s">
        <v>30</v>
      </c>
      <c r="G1400" s="4" t="s">
        <v>35</v>
      </c>
      <c r="H1400" s="14"/>
      <c r="I1400" s="4" t="s">
        <v>32</v>
      </c>
      <c r="J1400" s="14"/>
      <c r="K1400" s="14"/>
      <c r="L1400" s="14"/>
    </row>
    <row r="1401" ht="14.25" customHeight="1">
      <c r="A1401" s="1" t="s">
        <v>4024</v>
      </c>
      <c r="B1401" s="2" t="s">
        <v>27</v>
      </c>
      <c r="C1401" s="2" t="s">
        <v>28</v>
      </c>
      <c r="D1401" s="2" t="s">
        <v>4025</v>
      </c>
      <c r="E1401" s="3" t="s">
        <v>4026</v>
      </c>
      <c r="F1401" s="4" t="s">
        <v>38</v>
      </c>
      <c r="G1401" s="4" t="s">
        <v>81</v>
      </c>
      <c r="H1401" s="4" t="s">
        <v>229</v>
      </c>
      <c r="I1401" s="4" t="s">
        <v>540</v>
      </c>
      <c r="J1401" s="6" t="s">
        <v>1562</v>
      </c>
      <c r="K1401" s="25">
        <v>21.0</v>
      </c>
      <c r="L1401" s="8" t="str">
        <f>UPPER(G1401)</f>
        <v>FLORIDABLANCA</v>
      </c>
      <c r="O1401" s="10"/>
    </row>
    <row r="1402" ht="14.25" hidden="1" customHeight="1">
      <c r="A1402" s="13" t="s">
        <v>4027</v>
      </c>
      <c r="B1402" s="4" t="s">
        <v>27</v>
      </c>
      <c r="C1402" s="4" t="s">
        <v>28</v>
      </c>
      <c r="D1402" s="4" t="s">
        <v>4028</v>
      </c>
      <c r="E1402" s="4">
        <v>3.126882431E9</v>
      </c>
      <c r="F1402" s="4" t="s">
        <v>30</v>
      </c>
      <c r="G1402" s="4" t="s">
        <v>35</v>
      </c>
      <c r="H1402" s="14"/>
      <c r="I1402" s="4" t="s">
        <v>32</v>
      </c>
      <c r="J1402" s="14"/>
      <c r="K1402" s="14"/>
      <c r="L1402" s="14"/>
    </row>
    <row r="1403" ht="14.25" hidden="1" customHeight="1">
      <c r="A1403" s="13" t="s">
        <v>4029</v>
      </c>
      <c r="B1403" s="4" t="s">
        <v>27</v>
      </c>
      <c r="C1403" s="4" t="s">
        <v>28</v>
      </c>
      <c r="D1403" s="4" t="s">
        <v>4030</v>
      </c>
      <c r="E1403" s="4">
        <v>3.227649445E9</v>
      </c>
      <c r="F1403" s="4" t="s">
        <v>30</v>
      </c>
      <c r="G1403" s="4" t="s">
        <v>35</v>
      </c>
      <c r="H1403" s="14"/>
      <c r="I1403" s="4" t="s">
        <v>32</v>
      </c>
      <c r="J1403" s="14"/>
      <c r="K1403" s="14"/>
      <c r="L1403" s="14"/>
    </row>
    <row r="1404" ht="14.25" hidden="1" customHeight="1">
      <c r="A1404" s="13" t="s">
        <v>4031</v>
      </c>
      <c r="B1404" s="4" t="s">
        <v>27</v>
      </c>
      <c r="C1404" s="4" t="s">
        <v>28</v>
      </c>
      <c r="D1404" s="4" t="s">
        <v>4032</v>
      </c>
      <c r="E1404" s="4">
        <v>3.22292338E9</v>
      </c>
      <c r="F1404" s="4" t="s">
        <v>30</v>
      </c>
      <c r="G1404" s="4" t="s">
        <v>31</v>
      </c>
      <c r="H1404" s="14"/>
      <c r="I1404" s="4" t="s">
        <v>32</v>
      </c>
      <c r="J1404" s="14"/>
      <c r="K1404" s="14"/>
      <c r="L1404" s="14"/>
    </row>
    <row r="1405" ht="14.25" customHeight="1">
      <c r="A1405" s="1" t="s">
        <v>4033</v>
      </c>
      <c r="B1405" s="2" t="s">
        <v>27</v>
      </c>
      <c r="C1405" s="2" t="s">
        <v>28</v>
      </c>
      <c r="D1405" s="2" t="s">
        <v>4034</v>
      </c>
      <c r="E1405" s="3" t="s">
        <v>4035</v>
      </c>
      <c r="F1405" s="4" t="s">
        <v>38</v>
      </c>
      <c r="G1405" s="4" t="s">
        <v>39</v>
      </c>
      <c r="H1405" s="14"/>
      <c r="I1405" s="4" t="s">
        <v>76</v>
      </c>
      <c r="J1405" s="6" t="s">
        <v>3928</v>
      </c>
      <c r="K1405" s="25">
        <v>11.0</v>
      </c>
      <c r="L1405" s="8" t="str">
        <f t="shared" ref="L1405:L1406" si="182">UPPER(G1405)</f>
        <v>BUCARAMANGA</v>
      </c>
      <c r="O1405" s="10"/>
    </row>
    <row r="1406" ht="14.25" customHeight="1">
      <c r="A1406" s="1" t="s">
        <v>4036</v>
      </c>
      <c r="B1406" s="2" t="s">
        <v>27</v>
      </c>
      <c r="C1406" s="2" t="s">
        <v>28</v>
      </c>
      <c r="D1406" s="2" t="s">
        <v>4037</v>
      </c>
      <c r="E1406" s="3" t="s">
        <v>4038</v>
      </c>
      <c r="F1406" s="4" t="s">
        <v>38</v>
      </c>
      <c r="G1406" s="4" t="s">
        <v>81</v>
      </c>
      <c r="H1406" s="14"/>
      <c r="I1406" s="4" t="s">
        <v>164</v>
      </c>
      <c r="J1406" s="6" t="s">
        <v>4039</v>
      </c>
      <c r="K1406" s="25">
        <v>5.0</v>
      </c>
      <c r="L1406" s="8" t="str">
        <f t="shared" si="182"/>
        <v>FLORIDABLANCA</v>
      </c>
      <c r="O1406" s="10"/>
    </row>
    <row r="1407" ht="14.25" hidden="1" customHeight="1">
      <c r="A1407" s="13" t="s">
        <v>4040</v>
      </c>
      <c r="B1407" s="4" t="s">
        <v>27</v>
      </c>
      <c r="C1407" s="4" t="s">
        <v>28</v>
      </c>
      <c r="D1407" s="4" t="s">
        <v>4041</v>
      </c>
      <c r="E1407" s="4">
        <v>3.124295466E9</v>
      </c>
      <c r="F1407" s="4" t="s">
        <v>30</v>
      </c>
      <c r="G1407" s="4" t="s">
        <v>35</v>
      </c>
      <c r="H1407" s="14"/>
      <c r="I1407" s="4" t="s">
        <v>32</v>
      </c>
      <c r="J1407" s="14"/>
      <c r="K1407" s="14"/>
      <c r="L1407" s="14"/>
    </row>
    <row r="1408" ht="14.25" hidden="1" customHeight="1">
      <c r="A1408" s="13" t="s">
        <v>4042</v>
      </c>
      <c r="B1408" s="4" t="s">
        <v>27</v>
      </c>
      <c r="C1408" s="4" t="s">
        <v>28</v>
      </c>
      <c r="D1408" s="4" t="s">
        <v>4043</v>
      </c>
      <c r="E1408" s="4">
        <v>3.22292338E9</v>
      </c>
      <c r="F1408" s="4" t="s">
        <v>30</v>
      </c>
      <c r="G1408" s="4" t="s">
        <v>31</v>
      </c>
      <c r="H1408" s="14"/>
      <c r="I1408" s="4" t="s">
        <v>32</v>
      </c>
      <c r="J1408" s="14"/>
      <c r="K1408" s="14"/>
      <c r="L1408" s="14"/>
    </row>
    <row r="1409" ht="14.25" hidden="1" customHeight="1">
      <c r="A1409" s="13" t="s">
        <v>4044</v>
      </c>
      <c r="B1409" s="4" t="s">
        <v>27</v>
      </c>
      <c r="C1409" s="4" t="s">
        <v>28</v>
      </c>
      <c r="D1409" s="4" t="s">
        <v>4045</v>
      </c>
      <c r="E1409" s="4">
        <v>3.118713141E9</v>
      </c>
      <c r="F1409" s="4" t="s">
        <v>30</v>
      </c>
      <c r="G1409" s="4" t="s">
        <v>35</v>
      </c>
      <c r="H1409" s="14"/>
      <c r="I1409" s="4" t="s">
        <v>32</v>
      </c>
      <c r="J1409" s="14"/>
      <c r="K1409" s="14"/>
      <c r="L1409" s="14"/>
    </row>
    <row r="1410" ht="14.25" hidden="1" customHeight="1">
      <c r="A1410" s="13" t="s">
        <v>4046</v>
      </c>
      <c r="B1410" s="4" t="s">
        <v>27</v>
      </c>
      <c r="C1410" s="4" t="s">
        <v>28</v>
      </c>
      <c r="D1410" s="4" t="s">
        <v>4047</v>
      </c>
      <c r="E1410" s="4">
        <v>3.212186314E9</v>
      </c>
      <c r="F1410" s="4" t="s">
        <v>30</v>
      </c>
      <c r="G1410" s="4" t="s">
        <v>35</v>
      </c>
      <c r="H1410" s="14"/>
      <c r="I1410" s="4" t="s">
        <v>32</v>
      </c>
      <c r="J1410" s="14"/>
      <c r="K1410" s="14"/>
      <c r="L1410" s="14"/>
    </row>
    <row r="1411" ht="14.25" customHeight="1">
      <c r="A1411" s="1" t="s">
        <v>4048</v>
      </c>
      <c r="B1411" s="2" t="s">
        <v>27</v>
      </c>
      <c r="C1411" s="2" t="s">
        <v>28</v>
      </c>
      <c r="D1411" s="2" t="s">
        <v>4049</v>
      </c>
      <c r="E1411" s="3" t="s">
        <v>4050</v>
      </c>
      <c r="F1411" s="4" t="s">
        <v>38</v>
      </c>
      <c r="G1411" s="4" t="s">
        <v>221</v>
      </c>
      <c r="H1411" s="14"/>
      <c r="I1411" s="4" t="s">
        <v>561</v>
      </c>
      <c r="J1411" s="6" t="s">
        <v>836</v>
      </c>
      <c r="K1411" s="25">
        <v>1.0</v>
      </c>
      <c r="L1411" s="8" t="str">
        <f>UPPER(G1411)</f>
        <v>CHARTA</v>
      </c>
      <c r="O1411" s="10"/>
    </row>
    <row r="1412" ht="14.25" hidden="1" customHeight="1">
      <c r="A1412" s="13" t="s">
        <v>4051</v>
      </c>
      <c r="B1412" s="4" t="s">
        <v>27</v>
      </c>
      <c r="C1412" s="4" t="s">
        <v>28</v>
      </c>
      <c r="D1412" s="4" t="s">
        <v>4052</v>
      </c>
      <c r="E1412" s="4">
        <v>3.118713141E9</v>
      </c>
      <c r="F1412" s="4" t="s">
        <v>30</v>
      </c>
      <c r="G1412" s="4" t="s">
        <v>35</v>
      </c>
      <c r="H1412" s="14"/>
      <c r="I1412" s="4" t="s">
        <v>32</v>
      </c>
      <c r="J1412" s="14"/>
      <c r="K1412" s="14"/>
      <c r="L1412" s="14"/>
    </row>
    <row r="1413" ht="14.25" hidden="1" customHeight="1">
      <c r="A1413" s="13" t="s">
        <v>4053</v>
      </c>
      <c r="B1413" s="4" t="s">
        <v>27</v>
      </c>
      <c r="C1413" s="4" t="s">
        <v>28</v>
      </c>
      <c r="D1413" s="4" t="s">
        <v>4054</v>
      </c>
      <c r="E1413" s="4">
        <v>3.22292338E9</v>
      </c>
      <c r="F1413" s="4" t="s">
        <v>30</v>
      </c>
      <c r="G1413" s="4" t="s">
        <v>31</v>
      </c>
      <c r="H1413" s="14"/>
      <c r="I1413" s="4" t="s">
        <v>32</v>
      </c>
      <c r="J1413" s="14"/>
      <c r="K1413" s="14"/>
      <c r="L1413" s="14"/>
    </row>
    <row r="1414" ht="14.25" customHeight="1">
      <c r="A1414" s="1" t="s">
        <v>4055</v>
      </c>
      <c r="B1414" s="2" t="s">
        <v>27</v>
      </c>
      <c r="C1414" s="2" t="s">
        <v>28</v>
      </c>
      <c r="D1414" s="2" t="s">
        <v>4056</v>
      </c>
      <c r="E1414" s="3" t="s">
        <v>4057</v>
      </c>
      <c r="F1414" s="4" t="s">
        <v>38</v>
      </c>
      <c r="G1414" s="4" t="s">
        <v>81</v>
      </c>
      <c r="H1414" s="4" t="s">
        <v>58</v>
      </c>
      <c r="I1414" s="4" t="s">
        <v>561</v>
      </c>
      <c r="J1414" s="6" t="s">
        <v>388</v>
      </c>
      <c r="K1414" s="25">
        <v>8.0</v>
      </c>
      <c r="L1414" s="8" t="str">
        <f>UPPER(G1414)</f>
        <v>FLORIDABLANCA</v>
      </c>
      <c r="O1414" s="10"/>
    </row>
    <row r="1415" ht="14.25" hidden="1" customHeight="1">
      <c r="A1415" s="13" t="s">
        <v>4058</v>
      </c>
      <c r="B1415" s="4" t="s">
        <v>27</v>
      </c>
      <c r="C1415" s="4" t="s">
        <v>28</v>
      </c>
      <c r="D1415" s="4" t="s">
        <v>4059</v>
      </c>
      <c r="E1415" s="4">
        <v>3.124295466E9</v>
      </c>
      <c r="F1415" s="4" t="s">
        <v>30</v>
      </c>
      <c r="G1415" s="4" t="s">
        <v>35</v>
      </c>
      <c r="H1415" s="14"/>
      <c r="I1415" s="4" t="s">
        <v>32</v>
      </c>
      <c r="J1415" s="14"/>
      <c r="K1415" s="14"/>
      <c r="L1415" s="14"/>
    </row>
    <row r="1416" ht="14.25" hidden="1" customHeight="1">
      <c r="A1416" s="13" t="s">
        <v>4060</v>
      </c>
      <c r="B1416" s="4" t="s">
        <v>27</v>
      </c>
      <c r="C1416" s="4" t="s">
        <v>28</v>
      </c>
      <c r="D1416" s="4" t="s">
        <v>4061</v>
      </c>
      <c r="E1416" s="4">
        <v>3.118713141E9</v>
      </c>
      <c r="F1416" s="4" t="s">
        <v>30</v>
      </c>
      <c r="G1416" s="4" t="s">
        <v>35</v>
      </c>
      <c r="H1416" s="14"/>
      <c r="I1416" s="4" t="s">
        <v>32</v>
      </c>
      <c r="J1416" s="14"/>
      <c r="K1416" s="14"/>
      <c r="L1416" s="14"/>
    </row>
    <row r="1417" ht="14.25" hidden="1" customHeight="1">
      <c r="A1417" s="13" t="s">
        <v>4062</v>
      </c>
      <c r="B1417" s="4" t="s">
        <v>27</v>
      </c>
      <c r="C1417" s="4" t="s">
        <v>28</v>
      </c>
      <c r="D1417" s="4" t="s">
        <v>4063</v>
      </c>
      <c r="E1417" s="4">
        <v>3.118713141E9</v>
      </c>
      <c r="F1417" s="4" t="s">
        <v>30</v>
      </c>
      <c r="G1417" s="4" t="s">
        <v>35</v>
      </c>
      <c r="H1417" s="14"/>
      <c r="I1417" s="4" t="s">
        <v>32</v>
      </c>
      <c r="J1417" s="14"/>
      <c r="K1417" s="14"/>
      <c r="L1417" s="14"/>
    </row>
    <row r="1418" ht="14.25" hidden="1" customHeight="1">
      <c r="A1418" s="13" t="s">
        <v>4064</v>
      </c>
      <c r="B1418" s="4" t="s">
        <v>27</v>
      </c>
      <c r="C1418" s="4" t="s">
        <v>28</v>
      </c>
      <c r="D1418" s="4" t="s">
        <v>4065</v>
      </c>
      <c r="E1418" s="4">
        <v>3.322292338E9</v>
      </c>
      <c r="F1418" s="4" t="s">
        <v>30</v>
      </c>
      <c r="G1418" s="4" t="s">
        <v>31</v>
      </c>
      <c r="H1418" s="14"/>
      <c r="I1418" s="4" t="s">
        <v>32</v>
      </c>
      <c r="J1418" s="14"/>
      <c r="K1418" s="14"/>
      <c r="L1418" s="14"/>
    </row>
    <row r="1419" ht="14.25" hidden="1" customHeight="1">
      <c r="A1419" s="13" t="s">
        <v>4066</v>
      </c>
      <c r="B1419" s="4" t="s">
        <v>27</v>
      </c>
      <c r="C1419" s="4" t="s">
        <v>28</v>
      </c>
      <c r="D1419" s="4" t="s">
        <v>4067</v>
      </c>
      <c r="E1419" s="4">
        <v>3.118713141E9</v>
      </c>
      <c r="F1419" s="4" t="s">
        <v>30</v>
      </c>
      <c r="G1419" s="4" t="s">
        <v>35</v>
      </c>
      <c r="H1419" s="14"/>
      <c r="I1419" s="4" t="s">
        <v>32</v>
      </c>
      <c r="J1419" s="14"/>
      <c r="K1419" s="14"/>
      <c r="L1419" s="14"/>
    </row>
    <row r="1420" ht="14.25" customHeight="1">
      <c r="A1420" s="1" t="s">
        <v>4068</v>
      </c>
      <c r="B1420" s="2" t="s">
        <v>27</v>
      </c>
      <c r="C1420" s="2" t="s">
        <v>28</v>
      </c>
      <c r="D1420" s="2" t="s">
        <v>4069</v>
      </c>
      <c r="E1420" s="3" t="s">
        <v>4070</v>
      </c>
      <c r="F1420" s="4" t="s">
        <v>38</v>
      </c>
      <c r="G1420" s="4" t="s">
        <v>39</v>
      </c>
      <c r="H1420" s="14"/>
      <c r="I1420" s="4" t="s">
        <v>76</v>
      </c>
      <c r="J1420" s="6" t="s">
        <v>887</v>
      </c>
      <c r="K1420" s="25">
        <v>1.0</v>
      </c>
      <c r="L1420" s="8" t="str">
        <f t="shared" ref="L1420:L1421" si="183">UPPER(G1420)</f>
        <v>BUCARAMANGA</v>
      </c>
      <c r="O1420" s="10"/>
    </row>
    <row r="1421" ht="14.25" customHeight="1">
      <c r="A1421" s="1" t="s">
        <v>4071</v>
      </c>
      <c r="B1421" s="2" t="s">
        <v>27</v>
      </c>
      <c r="C1421" s="2" t="s">
        <v>28</v>
      </c>
      <c r="D1421" s="2" t="s">
        <v>4072</v>
      </c>
      <c r="E1421" s="3" t="s">
        <v>4073</v>
      </c>
      <c r="F1421" s="4" t="s">
        <v>38</v>
      </c>
      <c r="G1421" s="4" t="s">
        <v>39</v>
      </c>
      <c r="H1421" s="14"/>
      <c r="I1421" s="4" t="s">
        <v>164</v>
      </c>
      <c r="J1421" s="6" t="s">
        <v>4074</v>
      </c>
      <c r="K1421" s="25">
        <v>2.0</v>
      </c>
      <c r="L1421" s="8" t="str">
        <f t="shared" si="183"/>
        <v>BUCARAMANGA</v>
      </c>
      <c r="O1421" s="10"/>
    </row>
    <row r="1422" ht="14.25" hidden="1" customHeight="1">
      <c r="A1422" s="13" t="s">
        <v>4075</v>
      </c>
      <c r="B1422" s="4" t="s">
        <v>27</v>
      </c>
      <c r="C1422" s="4" t="s">
        <v>28</v>
      </c>
      <c r="D1422" s="4" t="s">
        <v>4076</v>
      </c>
      <c r="E1422" s="4">
        <v>3.112075211E9</v>
      </c>
      <c r="F1422" s="4" t="s">
        <v>30</v>
      </c>
      <c r="G1422" s="4" t="s">
        <v>35</v>
      </c>
      <c r="H1422" s="14"/>
      <c r="I1422" s="4" t="s">
        <v>32</v>
      </c>
      <c r="J1422" s="14"/>
      <c r="K1422" s="14"/>
      <c r="L1422" s="14"/>
    </row>
    <row r="1423" ht="14.25" customHeight="1">
      <c r="A1423" s="1" t="s">
        <v>4077</v>
      </c>
      <c r="B1423" s="2" t="s">
        <v>27</v>
      </c>
      <c r="C1423" s="2" t="s">
        <v>28</v>
      </c>
      <c r="D1423" s="2" t="s">
        <v>4078</v>
      </c>
      <c r="E1423" s="3" t="s">
        <v>4079</v>
      </c>
      <c r="F1423" s="4" t="s">
        <v>731</v>
      </c>
      <c r="G1423" s="4" t="s">
        <v>4080</v>
      </c>
      <c r="H1423" s="4" t="s">
        <v>4081</v>
      </c>
      <c r="I1423" s="4" t="s">
        <v>540</v>
      </c>
      <c r="J1423" s="6" t="s">
        <v>4082</v>
      </c>
      <c r="K1423" s="25">
        <v>5.0</v>
      </c>
      <c r="L1423" s="8" t="str">
        <f>UPPER(G1423)</f>
        <v>SOLEDAD</v>
      </c>
      <c r="O1423" s="10"/>
    </row>
    <row r="1424" ht="14.25" hidden="1" customHeight="1">
      <c r="A1424" s="13" t="s">
        <v>4083</v>
      </c>
      <c r="B1424" s="4" t="s">
        <v>27</v>
      </c>
      <c r="C1424" s="4" t="s">
        <v>28</v>
      </c>
      <c r="D1424" s="4" t="s">
        <v>4084</v>
      </c>
      <c r="E1424" s="4">
        <v>3.22731914E9</v>
      </c>
      <c r="F1424" s="4" t="s">
        <v>30</v>
      </c>
      <c r="G1424" s="4" t="s">
        <v>35</v>
      </c>
      <c r="H1424" s="14"/>
      <c r="I1424" s="4" t="s">
        <v>32</v>
      </c>
      <c r="J1424" s="14"/>
      <c r="K1424" s="14"/>
      <c r="L1424" s="14"/>
    </row>
    <row r="1425" ht="14.25" customHeight="1">
      <c r="A1425" s="1" t="s">
        <v>4085</v>
      </c>
      <c r="B1425" s="2" t="s">
        <v>27</v>
      </c>
      <c r="C1425" s="2" t="s">
        <v>28</v>
      </c>
      <c r="D1425" s="2" t="s">
        <v>4086</v>
      </c>
      <c r="E1425" s="3" t="s">
        <v>4087</v>
      </c>
      <c r="F1425" s="4" t="s">
        <v>69</v>
      </c>
      <c r="G1425" s="4" t="s">
        <v>69</v>
      </c>
      <c r="H1425" s="14"/>
      <c r="I1425" s="4" t="s">
        <v>540</v>
      </c>
      <c r="J1425" s="6" t="s">
        <v>4088</v>
      </c>
      <c r="K1425" s="25">
        <v>6.0</v>
      </c>
      <c r="L1425" s="8" t="str">
        <f t="shared" ref="L1425:L1429" si="184">UPPER(G1425)</f>
        <v>BOGOTA</v>
      </c>
      <c r="O1425" s="10"/>
    </row>
    <row r="1426" ht="14.25" customHeight="1">
      <c r="A1426" s="1" t="s">
        <v>4089</v>
      </c>
      <c r="B1426" s="2" t="s">
        <v>27</v>
      </c>
      <c r="C1426" s="2" t="s">
        <v>28</v>
      </c>
      <c r="D1426" s="2" t="s">
        <v>4090</v>
      </c>
      <c r="E1426" s="3" t="s">
        <v>4091</v>
      </c>
      <c r="F1426" s="4" t="s">
        <v>38</v>
      </c>
      <c r="G1426" s="4" t="s">
        <v>75</v>
      </c>
      <c r="H1426" s="14"/>
      <c r="I1426" s="4" t="s">
        <v>76</v>
      </c>
      <c r="J1426" s="6" t="s">
        <v>77</v>
      </c>
      <c r="K1426" s="25">
        <v>3.0</v>
      </c>
      <c r="L1426" s="8" t="str">
        <f t="shared" si="184"/>
        <v>GIRON</v>
      </c>
      <c r="O1426" s="10"/>
    </row>
    <row r="1427" ht="14.25" customHeight="1">
      <c r="A1427" s="1" t="s">
        <v>4092</v>
      </c>
      <c r="B1427" s="2" t="s">
        <v>27</v>
      </c>
      <c r="C1427" s="2" t="s">
        <v>28</v>
      </c>
      <c r="D1427" s="2" t="s">
        <v>4093</v>
      </c>
      <c r="E1427" s="3" t="s">
        <v>4094</v>
      </c>
      <c r="F1427" s="4" t="s">
        <v>69</v>
      </c>
      <c r="G1427" s="4" t="s">
        <v>69</v>
      </c>
      <c r="H1427" s="14"/>
      <c r="I1427" s="4" t="s">
        <v>51</v>
      </c>
      <c r="J1427" s="6" t="s">
        <v>4095</v>
      </c>
      <c r="K1427" s="25">
        <v>15.0</v>
      </c>
      <c r="L1427" s="8" t="str">
        <f t="shared" si="184"/>
        <v>BOGOTA</v>
      </c>
      <c r="O1427" s="10"/>
    </row>
    <row r="1428" ht="14.25" customHeight="1">
      <c r="A1428" s="1" t="s">
        <v>4096</v>
      </c>
      <c r="B1428" s="2" t="s">
        <v>27</v>
      </c>
      <c r="C1428" s="2" t="s">
        <v>28</v>
      </c>
      <c r="D1428" s="2" t="s">
        <v>4097</v>
      </c>
      <c r="E1428" s="3" t="s">
        <v>4098</v>
      </c>
      <c r="F1428" s="4" t="s">
        <v>69</v>
      </c>
      <c r="G1428" s="4" t="s">
        <v>69</v>
      </c>
      <c r="H1428" s="14"/>
      <c r="I1428" s="4" t="s">
        <v>540</v>
      </c>
      <c r="J1428" s="6" t="s">
        <v>4099</v>
      </c>
      <c r="K1428" s="25">
        <v>28.0</v>
      </c>
      <c r="L1428" s="8" t="str">
        <f t="shared" si="184"/>
        <v>BOGOTA</v>
      </c>
      <c r="O1428" s="10"/>
    </row>
    <row r="1429" ht="14.25" customHeight="1">
      <c r="A1429" s="1" t="s">
        <v>4100</v>
      </c>
      <c r="B1429" s="2" t="s">
        <v>27</v>
      </c>
      <c r="C1429" s="2" t="s">
        <v>28</v>
      </c>
      <c r="D1429" s="2" t="s">
        <v>4101</v>
      </c>
      <c r="E1429" s="3" t="s">
        <v>4102</v>
      </c>
      <c r="F1429" s="4" t="s">
        <v>105</v>
      </c>
      <c r="G1429" s="4" t="s">
        <v>2711</v>
      </c>
      <c r="H1429" s="14"/>
      <c r="I1429" s="4" t="s">
        <v>51</v>
      </c>
      <c r="J1429" s="6" t="s">
        <v>4103</v>
      </c>
      <c r="K1429" s="25">
        <v>21.0</v>
      </c>
      <c r="L1429" s="8" t="str">
        <f t="shared" si="184"/>
        <v>ENVIGADO</v>
      </c>
      <c r="O1429" s="10"/>
    </row>
    <row r="1430" ht="14.25" hidden="1" customHeight="1">
      <c r="A1430" s="13" t="s">
        <v>4104</v>
      </c>
      <c r="B1430" s="4" t="s">
        <v>27</v>
      </c>
      <c r="C1430" s="4" t="s">
        <v>28</v>
      </c>
      <c r="D1430" s="4" t="s">
        <v>4105</v>
      </c>
      <c r="E1430" s="4">
        <v>3.113867755E9</v>
      </c>
      <c r="F1430" s="4" t="s">
        <v>30</v>
      </c>
      <c r="G1430" s="4" t="s">
        <v>35</v>
      </c>
      <c r="H1430" s="14"/>
      <c r="I1430" s="4" t="s">
        <v>32</v>
      </c>
      <c r="J1430" s="14"/>
      <c r="K1430" s="14"/>
      <c r="L1430" s="14"/>
    </row>
    <row r="1431" ht="14.25" customHeight="1">
      <c r="A1431" s="1" t="s">
        <v>4106</v>
      </c>
      <c r="B1431" s="2" t="s">
        <v>27</v>
      </c>
      <c r="C1431" s="2" t="s">
        <v>28</v>
      </c>
      <c r="D1431" s="2" t="s">
        <v>4107</v>
      </c>
      <c r="E1431" s="3" t="s">
        <v>4108</v>
      </c>
      <c r="F1431" s="4" t="s">
        <v>38</v>
      </c>
      <c r="G1431" s="4" t="s">
        <v>39</v>
      </c>
      <c r="H1431" s="14"/>
      <c r="I1431" s="4" t="s">
        <v>76</v>
      </c>
      <c r="J1431" s="6"/>
      <c r="K1431" s="7"/>
      <c r="L1431" s="8" t="str">
        <f>UPPER(G1431)</f>
        <v>BUCARAMANGA</v>
      </c>
      <c r="M1431" s="9"/>
      <c r="N1431" s="11" t="s">
        <v>59</v>
      </c>
      <c r="O1431" s="10"/>
      <c r="P1431" s="11" t="s">
        <v>4109</v>
      </c>
    </row>
    <row r="1432" ht="14.25" hidden="1" customHeight="1">
      <c r="A1432" s="13" t="s">
        <v>4110</v>
      </c>
      <c r="B1432" s="4" t="s">
        <v>27</v>
      </c>
      <c r="C1432" s="4" t="s">
        <v>28</v>
      </c>
      <c r="D1432" s="4" t="s">
        <v>4111</v>
      </c>
      <c r="E1432" s="4">
        <v>3.126545437E9</v>
      </c>
      <c r="F1432" s="4" t="s">
        <v>30</v>
      </c>
      <c r="G1432" s="4" t="s">
        <v>35</v>
      </c>
      <c r="H1432" s="14"/>
      <c r="I1432" s="4" t="s">
        <v>32</v>
      </c>
      <c r="J1432" s="14"/>
      <c r="K1432" s="14"/>
      <c r="L1432" s="14"/>
    </row>
    <row r="1433" ht="14.25" customHeight="1">
      <c r="A1433" s="1" t="s">
        <v>4112</v>
      </c>
      <c r="B1433" s="2" t="s">
        <v>27</v>
      </c>
      <c r="C1433" s="2" t="s">
        <v>28</v>
      </c>
      <c r="D1433" s="2" t="s">
        <v>4113</v>
      </c>
      <c r="E1433" s="3" t="s">
        <v>4114</v>
      </c>
      <c r="F1433" s="4" t="s">
        <v>38</v>
      </c>
      <c r="G1433" s="4" t="s">
        <v>39</v>
      </c>
      <c r="H1433" s="14"/>
      <c r="I1433" s="4" t="s">
        <v>561</v>
      </c>
      <c r="J1433" s="6" t="s">
        <v>1199</v>
      </c>
      <c r="K1433" s="25">
        <v>11.0</v>
      </c>
      <c r="L1433" s="8" t="str">
        <f>UPPER(G1433)</f>
        <v>BUCARAMANGA</v>
      </c>
      <c r="O1433" s="10"/>
    </row>
    <row r="1434" ht="14.25" hidden="1" customHeight="1">
      <c r="A1434" s="13" t="s">
        <v>4115</v>
      </c>
      <c r="B1434" s="4" t="s">
        <v>27</v>
      </c>
      <c r="C1434" s="4" t="s">
        <v>28</v>
      </c>
      <c r="D1434" s="4" t="s">
        <v>4116</v>
      </c>
      <c r="E1434" s="4">
        <v>3.23450271E9</v>
      </c>
      <c r="F1434" s="4" t="s">
        <v>30</v>
      </c>
      <c r="G1434" s="4" t="s">
        <v>35</v>
      </c>
      <c r="H1434" s="14"/>
      <c r="I1434" s="4" t="s">
        <v>32</v>
      </c>
      <c r="J1434" s="14"/>
      <c r="K1434" s="14"/>
      <c r="L1434" s="14"/>
    </row>
    <row r="1435" ht="14.25" customHeight="1">
      <c r="A1435" s="1" t="s">
        <v>4117</v>
      </c>
      <c r="B1435" s="2" t="s">
        <v>27</v>
      </c>
      <c r="C1435" s="2" t="s">
        <v>28</v>
      </c>
      <c r="D1435" s="2" t="s">
        <v>4118</v>
      </c>
      <c r="E1435" s="3" t="s">
        <v>4119</v>
      </c>
      <c r="F1435" s="4" t="s">
        <v>38</v>
      </c>
      <c r="G1435" s="4" t="s">
        <v>39</v>
      </c>
      <c r="H1435" s="14"/>
      <c r="I1435" s="4" t="s">
        <v>561</v>
      </c>
      <c r="J1435" s="6" t="s">
        <v>936</v>
      </c>
      <c r="K1435" s="25">
        <v>8.0</v>
      </c>
      <c r="L1435" s="8" t="str">
        <f t="shared" ref="L1435:L1440" si="185">UPPER(G1435)</f>
        <v>BUCARAMANGA</v>
      </c>
      <c r="O1435" s="10"/>
    </row>
    <row r="1436" ht="14.25" customHeight="1">
      <c r="A1436" s="1" t="s">
        <v>4120</v>
      </c>
      <c r="B1436" s="2" t="s">
        <v>27</v>
      </c>
      <c r="C1436" s="2" t="s">
        <v>28</v>
      </c>
      <c r="D1436" s="2" t="s">
        <v>4121</v>
      </c>
      <c r="E1436" s="3" t="s">
        <v>4122</v>
      </c>
      <c r="F1436" s="4" t="s">
        <v>38</v>
      </c>
      <c r="G1436" s="4" t="s">
        <v>81</v>
      </c>
      <c r="H1436" s="4" t="s">
        <v>308</v>
      </c>
      <c r="I1436" s="4" t="s">
        <v>561</v>
      </c>
      <c r="J1436" s="6" t="s">
        <v>638</v>
      </c>
      <c r="K1436" s="25">
        <v>23.0</v>
      </c>
      <c r="L1436" s="8" t="str">
        <f t="shared" si="185"/>
        <v>FLORIDABLANCA</v>
      </c>
      <c r="O1436" s="10"/>
    </row>
    <row r="1437" ht="14.25" customHeight="1">
      <c r="A1437" s="1" t="s">
        <v>4123</v>
      </c>
      <c r="B1437" s="2" t="s">
        <v>27</v>
      </c>
      <c r="C1437" s="2" t="s">
        <v>28</v>
      </c>
      <c r="D1437" s="2" t="s">
        <v>4124</v>
      </c>
      <c r="E1437" s="3" t="s">
        <v>4125</v>
      </c>
      <c r="F1437" s="4" t="s">
        <v>38</v>
      </c>
      <c r="G1437" s="4" t="s">
        <v>39</v>
      </c>
      <c r="H1437" s="14"/>
      <c r="I1437" s="4" t="s">
        <v>51</v>
      </c>
      <c r="J1437" s="6" t="s">
        <v>4126</v>
      </c>
      <c r="K1437" s="25">
        <v>13.0</v>
      </c>
      <c r="L1437" s="8" t="str">
        <f t="shared" si="185"/>
        <v>BUCARAMANGA</v>
      </c>
      <c r="O1437" s="10"/>
    </row>
    <row r="1438" ht="14.25" customHeight="1">
      <c r="A1438" s="1" t="s">
        <v>4127</v>
      </c>
      <c r="B1438" s="2" t="s">
        <v>27</v>
      </c>
      <c r="C1438" s="2" t="s">
        <v>28</v>
      </c>
      <c r="D1438" s="2" t="s">
        <v>4128</v>
      </c>
      <c r="E1438" s="3" t="s">
        <v>4129</v>
      </c>
      <c r="F1438" s="4" t="s">
        <v>69</v>
      </c>
      <c r="G1438" s="4" t="s">
        <v>69</v>
      </c>
      <c r="H1438" s="14"/>
      <c r="I1438" s="4" t="s">
        <v>51</v>
      </c>
      <c r="J1438" s="6" t="s">
        <v>4130</v>
      </c>
      <c r="K1438" s="25">
        <v>16.0</v>
      </c>
      <c r="L1438" s="8" t="str">
        <f t="shared" si="185"/>
        <v>BOGOTA</v>
      </c>
      <c r="O1438" s="10"/>
    </row>
    <row r="1439" ht="14.25" customHeight="1">
      <c r="A1439" s="1" t="s">
        <v>4131</v>
      </c>
      <c r="B1439" s="2" t="s">
        <v>27</v>
      </c>
      <c r="C1439" s="2" t="s">
        <v>28</v>
      </c>
      <c r="D1439" s="2" t="s">
        <v>4132</v>
      </c>
      <c r="E1439" s="3" t="s">
        <v>4133</v>
      </c>
      <c r="F1439" s="4" t="s">
        <v>38</v>
      </c>
      <c r="G1439" s="4" t="s">
        <v>159</v>
      </c>
      <c r="H1439" s="4" t="s">
        <v>1723</v>
      </c>
      <c r="I1439" s="4" t="s">
        <v>540</v>
      </c>
      <c r="J1439" s="6" t="s">
        <v>4134</v>
      </c>
      <c r="K1439" s="25">
        <v>11.0</v>
      </c>
      <c r="L1439" s="8" t="str">
        <f t="shared" si="185"/>
        <v>PIEDECUESTA</v>
      </c>
      <c r="O1439" s="10"/>
    </row>
    <row r="1440" ht="14.25" customHeight="1">
      <c r="A1440" s="1" t="s">
        <v>4135</v>
      </c>
      <c r="B1440" s="2" t="s">
        <v>27</v>
      </c>
      <c r="C1440" s="2" t="s">
        <v>28</v>
      </c>
      <c r="D1440" s="2" t="s">
        <v>4136</v>
      </c>
      <c r="E1440" s="3" t="s">
        <v>4137</v>
      </c>
      <c r="F1440" s="4" t="s">
        <v>38</v>
      </c>
      <c r="G1440" s="4" t="s">
        <v>81</v>
      </c>
      <c r="H1440" s="14"/>
      <c r="I1440" s="4" t="s">
        <v>76</v>
      </c>
      <c r="J1440" s="6" t="s">
        <v>4138</v>
      </c>
      <c r="K1440" s="25">
        <v>13.0</v>
      </c>
      <c r="L1440" s="8" t="str">
        <f t="shared" si="185"/>
        <v>FLORIDABLANCA</v>
      </c>
      <c r="O1440" s="10"/>
    </row>
    <row r="1441" ht="14.25" hidden="1" customHeight="1">
      <c r="A1441" s="13" t="s">
        <v>4139</v>
      </c>
      <c r="B1441" s="4" t="s">
        <v>27</v>
      </c>
      <c r="C1441" s="4" t="s">
        <v>28</v>
      </c>
      <c r="D1441" s="4" t="s">
        <v>4140</v>
      </c>
      <c r="E1441" s="4">
        <v>3.118713141E9</v>
      </c>
      <c r="F1441" s="4" t="s">
        <v>30</v>
      </c>
      <c r="G1441" s="4" t="s">
        <v>35</v>
      </c>
      <c r="H1441" s="14"/>
      <c r="I1441" s="4" t="s">
        <v>32</v>
      </c>
      <c r="J1441" s="14"/>
      <c r="K1441" s="14"/>
      <c r="L1441" s="14"/>
    </row>
    <row r="1442" ht="14.25" customHeight="1">
      <c r="A1442" s="1" t="s">
        <v>4141</v>
      </c>
      <c r="B1442" s="2" t="s">
        <v>27</v>
      </c>
      <c r="C1442" s="2" t="s">
        <v>28</v>
      </c>
      <c r="D1442" s="2" t="s">
        <v>4142</v>
      </c>
      <c r="E1442" s="3" t="s">
        <v>4143</v>
      </c>
      <c r="F1442" s="4" t="s">
        <v>38</v>
      </c>
      <c r="G1442" s="4" t="s">
        <v>39</v>
      </c>
      <c r="H1442" s="4" t="s">
        <v>357</v>
      </c>
      <c r="I1442" s="4" t="s">
        <v>1373</v>
      </c>
      <c r="J1442" s="6" t="s">
        <v>477</v>
      </c>
      <c r="K1442" s="25">
        <v>31.0</v>
      </c>
      <c r="L1442" s="8" t="str">
        <f t="shared" ref="L1442:L1443" si="186">UPPER(G1442)</f>
        <v>BUCARAMANGA</v>
      </c>
      <c r="O1442" s="10"/>
    </row>
    <row r="1443" ht="14.25" customHeight="1">
      <c r="A1443" s="1" t="s">
        <v>4144</v>
      </c>
      <c r="B1443" s="2" t="s">
        <v>27</v>
      </c>
      <c r="C1443" s="2" t="s">
        <v>28</v>
      </c>
      <c r="D1443" s="2" t="s">
        <v>4145</v>
      </c>
      <c r="E1443" s="3" t="s">
        <v>4146</v>
      </c>
      <c r="F1443" s="4" t="s">
        <v>38</v>
      </c>
      <c r="G1443" s="4" t="s">
        <v>39</v>
      </c>
      <c r="H1443" s="14"/>
      <c r="I1443" s="4" t="s">
        <v>358</v>
      </c>
      <c r="J1443" s="6" t="s">
        <v>4147</v>
      </c>
      <c r="K1443" s="25">
        <v>6.0</v>
      </c>
      <c r="L1443" s="8" t="str">
        <f t="shared" si="186"/>
        <v>BUCARAMANGA</v>
      </c>
      <c r="O1443" s="10"/>
    </row>
    <row r="1444" ht="14.25" hidden="1" customHeight="1">
      <c r="A1444" s="13" t="s">
        <v>4148</v>
      </c>
      <c r="B1444" s="4" t="s">
        <v>27</v>
      </c>
      <c r="C1444" s="4" t="s">
        <v>28</v>
      </c>
      <c r="D1444" s="4" t="s">
        <v>4149</v>
      </c>
      <c r="E1444" s="4">
        <v>3.229457091E9</v>
      </c>
      <c r="F1444" s="4" t="s">
        <v>30</v>
      </c>
      <c r="G1444" s="4" t="s">
        <v>31</v>
      </c>
      <c r="H1444" s="14"/>
      <c r="I1444" s="4" t="s">
        <v>32</v>
      </c>
      <c r="J1444" s="14"/>
      <c r="K1444" s="14"/>
      <c r="L1444" s="14"/>
    </row>
    <row r="1445" ht="14.25" customHeight="1">
      <c r="A1445" s="1" t="s">
        <v>4150</v>
      </c>
      <c r="B1445" s="2" t="s">
        <v>27</v>
      </c>
      <c r="C1445" s="2" t="s">
        <v>28</v>
      </c>
      <c r="D1445" s="2" t="s">
        <v>4151</v>
      </c>
      <c r="E1445" s="3" t="s">
        <v>4152</v>
      </c>
      <c r="F1445" s="4" t="s">
        <v>922</v>
      </c>
      <c r="G1445" s="4" t="s">
        <v>4153</v>
      </c>
      <c r="H1445" s="14"/>
      <c r="I1445" s="4" t="s">
        <v>182</v>
      </c>
      <c r="J1445" s="6" t="s">
        <v>4154</v>
      </c>
      <c r="K1445" s="25">
        <v>3.0</v>
      </c>
      <c r="L1445" s="8" t="str">
        <f t="shared" ref="L1445:L1446" si="187">UPPER(G1445)</f>
        <v>EL COLEGIO</v>
      </c>
      <c r="O1445" s="10"/>
    </row>
    <row r="1446" ht="14.25" customHeight="1">
      <c r="A1446" s="1" t="s">
        <v>4155</v>
      </c>
      <c r="B1446" s="2" t="s">
        <v>27</v>
      </c>
      <c r="C1446" s="2" t="s">
        <v>28</v>
      </c>
      <c r="D1446" s="2" t="s">
        <v>4156</v>
      </c>
      <c r="E1446" s="3" t="s">
        <v>4157</v>
      </c>
      <c r="F1446" s="4" t="s">
        <v>38</v>
      </c>
      <c r="G1446" s="4" t="s">
        <v>4158</v>
      </c>
      <c r="H1446" s="14"/>
      <c r="I1446" s="4" t="s">
        <v>51</v>
      </c>
      <c r="J1446" s="6" t="s">
        <v>171</v>
      </c>
      <c r="K1446" s="25">
        <v>3.0</v>
      </c>
      <c r="L1446" s="8" t="str">
        <f t="shared" si="187"/>
        <v>PALMAR</v>
      </c>
      <c r="O1446" s="10"/>
    </row>
    <row r="1447" ht="14.25" hidden="1" customHeight="1">
      <c r="A1447" s="13" t="s">
        <v>4159</v>
      </c>
      <c r="B1447" s="4" t="s">
        <v>27</v>
      </c>
      <c r="C1447" s="4" t="s">
        <v>28</v>
      </c>
      <c r="D1447" s="4" t="s">
        <v>4160</v>
      </c>
      <c r="E1447" s="4">
        <v>3.22292338E9</v>
      </c>
      <c r="F1447" s="4" t="s">
        <v>30</v>
      </c>
      <c r="G1447" s="4" t="s">
        <v>31</v>
      </c>
      <c r="H1447" s="14"/>
      <c r="I1447" s="4" t="s">
        <v>32</v>
      </c>
      <c r="J1447" s="14"/>
      <c r="K1447" s="14"/>
      <c r="L1447" s="14"/>
    </row>
    <row r="1448" ht="14.25" customHeight="1">
      <c r="A1448" s="1" t="s">
        <v>4161</v>
      </c>
      <c r="B1448" s="2" t="s">
        <v>27</v>
      </c>
      <c r="C1448" s="2" t="s">
        <v>66</v>
      </c>
      <c r="D1448" s="2" t="s">
        <v>4162</v>
      </c>
      <c r="E1448" s="3" t="s">
        <v>4163</v>
      </c>
      <c r="F1448" s="4" t="s">
        <v>38</v>
      </c>
      <c r="G1448" s="4" t="s">
        <v>39</v>
      </c>
      <c r="H1448" s="4" t="s">
        <v>40</v>
      </c>
      <c r="I1448" s="4" t="s">
        <v>182</v>
      </c>
      <c r="J1448" s="6" t="s">
        <v>1388</v>
      </c>
      <c r="K1448" s="25">
        <v>3.0</v>
      </c>
      <c r="L1448" s="8" t="str">
        <f t="shared" ref="L1448:L1458" si="188">UPPER(G1448)</f>
        <v>BUCARAMANGA</v>
      </c>
      <c r="O1448" s="10"/>
    </row>
    <row r="1449" ht="14.25" customHeight="1">
      <c r="A1449" s="1" t="s">
        <v>4164</v>
      </c>
      <c r="B1449" s="2" t="s">
        <v>27</v>
      </c>
      <c r="C1449" s="2" t="s">
        <v>28</v>
      </c>
      <c r="D1449" s="2" t="s">
        <v>4165</v>
      </c>
      <c r="E1449" s="3" t="s">
        <v>4166</v>
      </c>
      <c r="F1449" s="4" t="s">
        <v>38</v>
      </c>
      <c r="G1449" s="4" t="s">
        <v>39</v>
      </c>
      <c r="H1449" s="14"/>
      <c r="I1449" s="4" t="s">
        <v>164</v>
      </c>
      <c r="J1449" s="6" t="s">
        <v>371</v>
      </c>
      <c r="K1449" s="25">
        <v>35.0</v>
      </c>
      <c r="L1449" s="8" t="str">
        <f t="shared" si="188"/>
        <v>BUCARAMANGA</v>
      </c>
      <c r="O1449" s="10"/>
    </row>
    <row r="1450" ht="14.25" customHeight="1">
      <c r="A1450" s="1" t="s">
        <v>4167</v>
      </c>
      <c r="B1450" s="2" t="s">
        <v>27</v>
      </c>
      <c r="C1450" s="2" t="s">
        <v>28</v>
      </c>
      <c r="D1450" s="2" t="s">
        <v>4168</v>
      </c>
      <c r="E1450" s="3" t="s">
        <v>4169</v>
      </c>
      <c r="F1450" s="4" t="s">
        <v>38</v>
      </c>
      <c r="G1450" s="4" t="s">
        <v>113</v>
      </c>
      <c r="H1450" s="4" t="s">
        <v>4170</v>
      </c>
      <c r="I1450" s="4" t="s">
        <v>540</v>
      </c>
      <c r="J1450" s="6" t="s">
        <v>1520</v>
      </c>
      <c r="K1450" s="25">
        <v>11.0</v>
      </c>
      <c r="L1450" s="8" t="str">
        <f t="shared" si="188"/>
        <v>BARRANCABERMEJA</v>
      </c>
      <c r="O1450" s="10"/>
    </row>
    <row r="1451" ht="14.25" customHeight="1">
      <c r="A1451" s="1" t="s">
        <v>4171</v>
      </c>
      <c r="B1451" s="2" t="s">
        <v>27</v>
      </c>
      <c r="C1451" s="2" t="s">
        <v>28</v>
      </c>
      <c r="D1451" s="2" t="s">
        <v>4172</v>
      </c>
      <c r="E1451" s="3" t="s">
        <v>4173</v>
      </c>
      <c r="F1451" s="4" t="s">
        <v>69</v>
      </c>
      <c r="G1451" s="4" t="s">
        <v>69</v>
      </c>
      <c r="H1451" s="14"/>
      <c r="I1451" s="4" t="s">
        <v>51</v>
      </c>
      <c r="J1451" s="6" t="s">
        <v>3395</v>
      </c>
      <c r="K1451" s="25">
        <v>20.0</v>
      </c>
      <c r="L1451" s="8" t="str">
        <f t="shared" si="188"/>
        <v>BOGOTA</v>
      </c>
      <c r="O1451" s="10"/>
    </row>
    <row r="1452" ht="14.25" customHeight="1">
      <c r="A1452" s="1" t="s">
        <v>4174</v>
      </c>
      <c r="B1452" s="2" t="s">
        <v>27</v>
      </c>
      <c r="C1452" s="2" t="s">
        <v>28</v>
      </c>
      <c r="D1452" s="2" t="s">
        <v>4175</v>
      </c>
      <c r="E1452" s="3" t="s">
        <v>4176</v>
      </c>
      <c r="F1452" s="4" t="s">
        <v>38</v>
      </c>
      <c r="G1452" s="4" t="s">
        <v>39</v>
      </c>
      <c r="H1452" s="14"/>
      <c r="I1452" s="4" t="s">
        <v>540</v>
      </c>
      <c r="J1452" s="6" t="s">
        <v>712</v>
      </c>
      <c r="K1452" s="25">
        <v>12.0</v>
      </c>
      <c r="L1452" s="8" t="str">
        <f t="shared" si="188"/>
        <v>BUCARAMANGA</v>
      </c>
      <c r="O1452" s="10"/>
    </row>
    <row r="1453" ht="14.25" customHeight="1">
      <c r="A1453" s="1" t="s">
        <v>4177</v>
      </c>
      <c r="B1453" s="2" t="s">
        <v>27</v>
      </c>
      <c r="C1453" s="2" t="s">
        <v>28</v>
      </c>
      <c r="D1453" s="2" t="s">
        <v>4178</v>
      </c>
      <c r="E1453" s="3" t="s">
        <v>4179</v>
      </c>
      <c r="F1453" s="4" t="s">
        <v>38</v>
      </c>
      <c r="G1453" s="4" t="s">
        <v>39</v>
      </c>
      <c r="H1453" s="14"/>
      <c r="I1453" s="4" t="s">
        <v>76</v>
      </c>
      <c r="J1453" s="6" t="s">
        <v>128</v>
      </c>
      <c r="K1453" s="25">
        <v>30.0</v>
      </c>
      <c r="L1453" s="8" t="str">
        <f t="shared" si="188"/>
        <v>BUCARAMANGA</v>
      </c>
      <c r="O1453" s="10"/>
    </row>
    <row r="1454" ht="14.25" customHeight="1">
      <c r="A1454" s="1" t="s">
        <v>4180</v>
      </c>
      <c r="B1454" s="2" t="s">
        <v>27</v>
      </c>
      <c r="C1454" s="2" t="s">
        <v>28</v>
      </c>
      <c r="D1454" s="2" t="s">
        <v>4181</v>
      </c>
      <c r="E1454" s="3" t="s">
        <v>4163</v>
      </c>
      <c r="F1454" s="4" t="s">
        <v>38</v>
      </c>
      <c r="G1454" s="4" t="s">
        <v>39</v>
      </c>
      <c r="H1454" s="4" t="s">
        <v>40</v>
      </c>
      <c r="I1454" s="4" t="s">
        <v>182</v>
      </c>
      <c r="J1454" s="6" t="s">
        <v>4182</v>
      </c>
      <c r="K1454" s="25">
        <v>16.0</v>
      </c>
      <c r="L1454" s="8" t="str">
        <f t="shared" si="188"/>
        <v>BUCARAMANGA</v>
      </c>
      <c r="O1454" s="10"/>
    </row>
    <row r="1455" ht="14.25" customHeight="1">
      <c r="A1455" s="1" t="s">
        <v>4183</v>
      </c>
      <c r="B1455" s="2" t="s">
        <v>27</v>
      </c>
      <c r="C1455" s="2" t="s">
        <v>28</v>
      </c>
      <c r="D1455" s="2" t="s">
        <v>4184</v>
      </c>
      <c r="E1455" s="3" t="s">
        <v>4185</v>
      </c>
      <c r="F1455" s="4" t="s">
        <v>38</v>
      </c>
      <c r="G1455" s="4" t="s">
        <v>39</v>
      </c>
      <c r="H1455" s="4" t="s">
        <v>642</v>
      </c>
      <c r="I1455" s="4" t="s">
        <v>561</v>
      </c>
      <c r="J1455" s="6" t="s">
        <v>851</v>
      </c>
      <c r="K1455" s="25">
        <v>52.0</v>
      </c>
      <c r="L1455" s="8" t="str">
        <f t="shared" si="188"/>
        <v>BUCARAMANGA</v>
      </c>
      <c r="O1455" s="10"/>
    </row>
    <row r="1456" ht="14.25" customHeight="1">
      <c r="A1456" s="1" t="s">
        <v>4186</v>
      </c>
      <c r="B1456" s="2" t="s">
        <v>27</v>
      </c>
      <c r="C1456" s="2" t="s">
        <v>28</v>
      </c>
      <c r="D1456" s="2" t="s">
        <v>4187</v>
      </c>
      <c r="E1456" s="3" t="s">
        <v>4188</v>
      </c>
      <c r="F1456" s="4" t="s">
        <v>38</v>
      </c>
      <c r="G1456" s="4" t="s">
        <v>39</v>
      </c>
      <c r="H1456" s="14"/>
      <c r="I1456" s="4" t="s">
        <v>76</v>
      </c>
      <c r="J1456" s="6" t="s">
        <v>481</v>
      </c>
      <c r="K1456" s="25">
        <v>4.0</v>
      </c>
      <c r="L1456" s="8" t="str">
        <f t="shared" si="188"/>
        <v>BUCARAMANGA</v>
      </c>
      <c r="O1456" s="10"/>
    </row>
    <row r="1457" ht="14.25" customHeight="1">
      <c r="A1457" s="1" t="s">
        <v>4189</v>
      </c>
      <c r="B1457" s="2" t="s">
        <v>27</v>
      </c>
      <c r="C1457" s="2" t="s">
        <v>28</v>
      </c>
      <c r="D1457" s="2" t="s">
        <v>4190</v>
      </c>
      <c r="E1457" s="3" t="s">
        <v>4191</v>
      </c>
      <c r="F1457" s="4" t="s">
        <v>38</v>
      </c>
      <c r="G1457" s="4" t="s">
        <v>39</v>
      </c>
      <c r="H1457" s="4" t="s">
        <v>4192</v>
      </c>
      <c r="I1457" s="4" t="s">
        <v>846</v>
      </c>
      <c r="J1457" s="6" t="s">
        <v>4193</v>
      </c>
      <c r="K1457" s="25">
        <v>9.0</v>
      </c>
      <c r="L1457" s="8" t="str">
        <f t="shared" si="188"/>
        <v>BUCARAMANGA</v>
      </c>
      <c r="O1457" s="10"/>
    </row>
    <row r="1458" ht="14.25" customHeight="1">
      <c r="A1458" s="1" t="s">
        <v>4194</v>
      </c>
      <c r="B1458" s="2" t="s">
        <v>27</v>
      </c>
      <c r="C1458" s="2" t="s">
        <v>28</v>
      </c>
      <c r="D1458" s="2" t="s">
        <v>4195</v>
      </c>
      <c r="E1458" s="3" t="s">
        <v>4196</v>
      </c>
      <c r="F1458" s="4" t="s">
        <v>38</v>
      </c>
      <c r="G1458" s="4" t="s">
        <v>201</v>
      </c>
      <c r="H1458" s="14"/>
      <c r="I1458" s="4" t="s">
        <v>561</v>
      </c>
      <c r="J1458" s="6" t="s">
        <v>4197</v>
      </c>
      <c r="K1458" s="25">
        <v>13.0</v>
      </c>
      <c r="L1458" s="8" t="str">
        <f t="shared" si="188"/>
        <v>LEBRIJA</v>
      </c>
      <c r="O1458" s="10"/>
    </row>
    <row r="1459" ht="14.25" hidden="1" customHeight="1">
      <c r="A1459" s="13" t="s">
        <v>4198</v>
      </c>
      <c r="B1459" s="4" t="s">
        <v>27</v>
      </c>
      <c r="C1459" s="4" t="s">
        <v>28</v>
      </c>
      <c r="D1459" s="4" t="s">
        <v>4199</v>
      </c>
      <c r="E1459" s="4">
        <v>3.125007711E9</v>
      </c>
      <c r="F1459" s="4" t="s">
        <v>30</v>
      </c>
      <c r="G1459" s="4" t="s">
        <v>35</v>
      </c>
      <c r="H1459" s="14"/>
      <c r="I1459" s="4" t="s">
        <v>32</v>
      </c>
      <c r="J1459" s="14"/>
      <c r="K1459" s="14"/>
      <c r="L1459" s="14"/>
    </row>
    <row r="1460" ht="14.25" customHeight="1">
      <c r="A1460" s="1" t="s">
        <v>4200</v>
      </c>
      <c r="B1460" s="2" t="s">
        <v>4201</v>
      </c>
      <c r="C1460" s="2" t="s">
        <v>28</v>
      </c>
      <c r="D1460" s="2" t="s">
        <v>4202</v>
      </c>
      <c r="E1460" s="3" t="s">
        <v>4203</v>
      </c>
      <c r="F1460" s="4" t="s">
        <v>38</v>
      </c>
      <c r="G1460" s="4" t="s">
        <v>113</v>
      </c>
      <c r="H1460" s="4" t="s">
        <v>4204</v>
      </c>
      <c r="I1460" s="4" t="s">
        <v>540</v>
      </c>
      <c r="J1460" s="6" t="s">
        <v>1374</v>
      </c>
      <c r="K1460" s="25">
        <v>7.0</v>
      </c>
      <c r="L1460" s="8" t="str">
        <f>UPPER(G1460)</f>
        <v>BARRANCABERMEJA</v>
      </c>
      <c r="O1460" s="10"/>
    </row>
    <row r="1461" ht="14.25" hidden="1" customHeight="1">
      <c r="A1461" s="13" t="s">
        <v>4205</v>
      </c>
      <c r="B1461" s="4" t="s">
        <v>27</v>
      </c>
      <c r="C1461" s="4" t="s">
        <v>28</v>
      </c>
      <c r="D1461" s="4" t="s">
        <v>4206</v>
      </c>
      <c r="E1461" s="4">
        <v>3.104858589E9</v>
      </c>
      <c r="F1461" s="4" t="s">
        <v>30</v>
      </c>
      <c r="G1461" s="4" t="s">
        <v>31</v>
      </c>
      <c r="H1461" s="14"/>
      <c r="I1461" s="4" t="s">
        <v>32</v>
      </c>
      <c r="J1461" s="14"/>
      <c r="K1461" s="14"/>
      <c r="L1461" s="14"/>
    </row>
    <row r="1462" ht="14.25" hidden="1" customHeight="1">
      <c r="A1462" s="13" t="s">
        <v>4207</v>
      </c>
      <c r="B1462" s="4" t="s">
        <v>27</v>
      </c>
      <c r="C1462" s="4" t="s">
        <v>28</v>
      </c>
      <c r="D1462" s="4" t="s">
        <v>4208</v>
      </c>
      <c r="E1462" s="4">
        <v>3.222316412E9</v>
      </c>
      <c r="F1462" s="4" t="s">
        <v>30</v>
      </c>
      <c r="G1462" s="4" t="s">
        <v>35</v>
      </c>
      <c r="H1462" s="14"/>
      <c r="I1462" s="4" t="s">
        <v>32</v>
      </c>
      <c r="J1462" s="14"/>
      <c r="K1462" s="14"/>
      <c r="L1462" s="14"/>
    </row>
    <row r="1463" ht="14.25" hidden="1" customHeight="1">
      <c r="A1463" s="13" t="s">
        <v>4209</v>
      </c>
      <c r="B1463" s="4" t="s">
        <v>27</v>
      </c>
      <c r="C1463" s="4" t="s">
        <v>28</v>
      </c>
      <c r="D1463" s="4" t="s">
        <v>4210</v>
      </c>
      <c r="E1463" s="4">
        <v>3.222316412E9</v>
      </c>
      <c r="F1463" s="4" t="s">
        <v>30</v>
      </c>
      <c r="G1463" s="4" t="s">
        <v>35</v>
      </c>
      <c r="H1463" s="14"/>
      <c r="I1463" s="4" t="s">
        <v>32</v>
      </c>
      <c r="J1463" s="14"/>
      <c r="K1463" s="14"/>
      <c r="L1463" s="14"/>
    </row>
    <row r="1464" ht="14.25" customHeight="1">
      <c r="A1464" s="1" t="s">
        <v>4211</v>
      </c>
      <c r="B1464" s="2" t="s">
        <v>27</v>
      </c>
      <c r="C1464" s="2" t="s">
        <v>28</v>
      </c>
      <c r="D1464" s="2" t="s">
        <v>4212</v>
      </c>
      <c r="E1464" s="3" t="s">
        <v>4213</v>
      </c>
      <c r="F1464" s="4" t="s">
        <v>38</v>
      </c>
      <c r="G1464" s="4" t="s">
        <v>113</v>
      </c>
      <c r="H1464" s="4" t="s">
        <v>4214</v>
      </c>
      <c r="I1464" s="4" t="s">
        <v>358</v>
      </c>
      <c r="J1464" s="6" t="s">
        <v>1701</v>
      </c>
      <c r="K1464" s="7">
        <v>5.0</v>
      </c>
      <c r="L1464" s="8" t="str">
        <f t="shared" ref="L1464:L1465" si="189">UPPER(G1464)</f>
        <v>BARRANCABERMEJA</v>
      </c>
      <c r="O1464" s="10"/>
    </row>
    <row r="1465" ht="14.25" customHeight="1">
      <c r="A1465" s="1" t="s">
        <v>4215</v>
      </c>
      <c r="B1465" s="2" t="s">
        <v>27</v>
      </c>
      <c r="C1465" s="2" t="s">
        <v>28</v>
      </c>
      <c r="D1465" s="2" t="s">
        <v>4216</v>
      </c>
      <c r="E1465" s="3" t="s">
        <v>4217</v>
      </c>
      <c r="F1465" s="4" t="s">
        <v>655</v>
      </c>
      <c r="G1465" s="4" t="s">
        <v>3938</v>
      </c>
      <c r="H1465" s="14"/>
      <c r="I1465" s="4" t="s">
        <v>51</v>
      </c>
      <c r="J1465" s="6" t="s">
        <v>4218</v>
      </c>
      <c r="K1465" s="25">
        <v>32.0</v>
      </c>
      <c r="L1465" s="8" t="str">
        <f t="shared" si="189"/>
        <v>CUCUTA</v>
      </c>
      <c r="O1465" s="10"/>
    </row>
    <row r="1466" ht="14.25" hidden="1" customHeight="1">
      <c r="A1466" s="13" t="s">
        <v>4219</v>
      </c>
      <c r="B1466" s="4" t="s">
        <v>27</v>
      </c>
      <c r="C1466" s="4" t="s">
        <v>28</v>
      </c>
      <c r="D1466" s="4" t="s">
        <v>4220</v>
      </c>
      <c r="E1466" s="4">
        <v>3.113867755E9</v>
      </c>
      <c r="F1466" s="4" t="s">
        <v>30</v>
      </c>
      <c r="G1466" s="4" t="s">
        <v>35</v>
      </c>
      <c r="H1466" s="14"/>
      <c r="I1466" s="4" t="s">
        <v>32</v>
      </c>
      <c r="J1466" s="6"/>
      <c r="K1466" s="14"/>
      <c r="L1466" s="14"/>
    </row>
    <row r="1467" ht="14.25" hidden="1" customHeight="1">
      <c r="A1467" s="13" t="s">
        <v>4221</v>
      </c>
      <c r="B1467" s="4" t="s">
        <v>27</v>
      </c>
      <c r="C1467" s="4" t="s">
        <v>28</v>
      </c>
      <c r="D1467" s="4" t="s">
        <v>4222</v>
      </c>
      <c r="E1467" s="4">
        <v>3.118713141E9</v>
      </c>
      <c r="F1467" s="4" t="s">
        <v>30</v>
      </c>
      <c r="G1467" s="4" t="s">
        <v>31</v>
      </c>
      <c r="H1467" s="14"/>
      <c r="I1467" s="4" t="s">
        <v>32</v>
      </c>
      <c r="J1467" s="14"/>
      <c r="K1467" s="14"/>
      <c r="L1467" s="14"/>
    </row>
    <row r="1468" ht="14.25" customHeight="1">
      <c r="A1468" s="1" t="s">
        <v>4223</v>
      </c>
      <c r="B1468" s="2" t="s">
        <v>27</v>
      </c>
      <c r="C1468" s="2" t="s">
        <v>28</v>
      </c>
      <c r="D1468" s="2" t="s">
        <v>4224</v>
      </c>
      <c r="E1468" s="3" t="s">
        <v>4225</v>
      </c>
      <c r="F1468" s="4" t="s">
        <v>38</v>
      </c>
      <c r="G1468" s="4" t="s">
        <v>39</v>
      </c>
      <c r="H1468" s="14"/>
      <c r="I1468" s="4" t="s">
        <v>164</v>
      </c>
      <c r="J1468" s="6" t="s">
        <v>4226</v>
      </c>
      <c r="K1468" s="25">
        <v>10.0</v>
      </c>
      <c r="L1468" s="8" t="str">
        <f t="shared" ref="L1468:L1470" si="190">UPPER(G1468)</f>
        <v>BUCARAMANGA</v>
      </c>
      <c r="O1468" s="10"/>
    </row>
    <row r="1469" ht="14.25" customHeight="1">
      <c r="A1469" s="1" t="s">
        <v>4227</v>
      </c>
      <c r="B1469" s="2" t="s">
        <v>27</v>
      </c>
      <c r="C1469" s="2" t="s">
        <v>28</v>
      </c>
      <c r="D1469" s="2" t="s">
        <v>4228</v>
      </c>
      <c r="E1469" s="3" t="s">
        <v>4229</v>
      </c>
      <c r="F1469" s="4" t="s">
        <v>38</v>
      </c>
      <c r="G1469" s="4" t="s">
        <v>39</v>
      </c>
      <c r="H1469" s="14"/>
      <c r="I1469" s="4" t="s">
        <v>76</v>
      </c>
      <c r="J1469" s="6" t="s">
        <v>259</v>
      </c>
      <c r="K1469" s="25">
        <v>7.0</v>
      </c>
      <c r="L1469" s="8" t="str">
        <f t="shared" si="190"/>
        <v>BUCARAMANGA</v>
      </c>
      <c r="O1469" s="10"/>
    </row>
    <row r="1470" ht="14.25" customHeight="1">
      <c r="A1470" s="1" t="s">
        <v>4230</v>
      </c>
      <c r="B1470" s="2" t="s">
        <v>27</v>
      </c>
      <c r="C1470" s="2" t="s">
        <v>28</v>
      </c>
      <c r="D1470" s="2" t="s">
        <v>4231</v>
      </c>
      <c r="E1470" s="3" t="s">
        <v>4232</v>
      </c>
      <c r="F1470" s="4" t="s">
        <v>38</v>
      </c>
      <c r="G1470" s="4" t="s">
        <v>39</v>
      </c>
      <c r="H1470" s="14"/>
      <c r="I1470" s="4" t="s">
        <v>76</v>
      </c>
      <c r="J1470" s="11" t="s">
        <v>4233</v>
      </c>
      <c r="K1470" s="25">
        <v>10.0</v>
      </c>
      <c r="L1470" s="8" t="str">
        <f t="shared" si="190"/>
        <v>BUCARAMANGA</v>
      </c>
      <c r="O1470" s="10"/>
    </row>
    <row r="1471" ht="14.25" hidden="1" customHeight="1">
      <c r="A1471" s="13" t="s">
        <v>4234</v>
      </c>
      <c r="B1471" s="4" t="s">
        <v>27</v>
      </c>
      <c r="C1471" s="4" t="s">
        <v>28</v>
      </c>
      <c r="D1471" s="4" t="s">
        <v>4235</v>
      </c>
      <c r="E1471" s="4">
        <v>3.124295466E9</v>
      </c>
      <c r="F1471" s="4" t="s">
        <v>30</v>
      </c>
      <c r="G1471" s="4" t="s">
        <v>35</v>
      </c>
      <c r="H1471" s="14"/>
      <c r="I1471" s="4" t="s">
        <v>32</v>
      </c>
      <c r="J1471" s="14"/>
      <c r="K1471" s="14"/>
      <c r="L1471" s="14"/>
    </row>
    <row r="1472" ht="14.25" hidden="1" customHeight="1">
      <c r="A1472" s="13" t="s">
        <v>4236</v>
      </c>
      <c r="B1472" s="4" t="s">
        <v>27</v>
      </c>
      <c r="C1472" s="4" t="s">
        <v>28</v>
      </c>
      <c r="D1472" s="4" t="s">
        <v>4237</v>
      </c>
      <c r="E1472" s="4">
        <v>3.124295466E9</v>
      </c>
      <c r="F1472" s="4" t="s">
        <v>30</v>
      </c>
      <c r="G1472" s="4" t="s">
        <v>35</v>
      </c>
      <c r="H1472" s="14"/>
      <c r="I1472" s="4" t="s">
        <v>32</v>
      </c>
      <c r="J1472" s="14"/>
      <c r="K1472" s="14"/>
      <c r="L1472" s="14"/>
    </row>
    <row r="1473" ht="14.25" hidden="1" customHeight="1">
      <c r="A1473" s="13" t="s">
        <v>4238</v>
      </c>
      <c r="B1473" s="4" t="s">
        <v>27</v>
      </c>
      <c r="C1473" s="4" t="s">
        <v>28</v>
      </c>
      <c r="D1473" s="4" t="s">
        <v>4239</v>
      </c>
      <c r="E1473" s="4">
        <v>3.126882431E9</v>
      </c>
      <c r="F1473" s="4" t="s">
        <v>30</v>
      </c>
      <c r="G1473" s="4" t="s">
        <v>35</v>
      </c>
      <c r="H1473" s="14"/>
      <c r="I1473" s="4" t="s">
        <v>32</v>
      </c>
      <c r="J1473" s="14"/>
      <c r="K1473" s="14"/>
      <c r="L1473" s="14"/>
    </row>
    <row r="1474" ht="14.25" customHeight="1">
      <c r="A1474" s="1" t="s">
        <v>4240</v>
      </c>
      <c r="B1474" s="2" t="s">
        <v>27</v>
      </c>
      <c r="C1474" s="2" t="s">
        <v>28</v>
      </c>
      <c r="D1474" s="2" t="s">
        <v>4241</v>
      </c>
      <c r="E1474" s="3" t="s">
        <v>4242</v>
      </c>
      <c r="F1474" s="4" t="s">
        <v>38</v>
      </c>
      <c r="G1474" s="4" t="s">
        <v>39</v>
      </c>
      <c r="H1474" s="14"/>
      <c r="I1474" s="4" t="s">
        <v>561</v>
      </c>
      <c r="J1474" s="6" t="s">
        <v>1281</v>
      </c>
      <c r="K1474" s="25">
        <v>32.0</v>
      </c>
      <c r="L1474" s="8" t="str">
        <f t="shared" ref="L1474:L1477" si="191">UPPER(G1474)</f>
        <v>BUCARAMANGA</v>
      </c>
      <c r="O1474" s="10"/>
    </row>
    <row r="1475" ht="14.25" customHeight="1">
      <c r="A1475" s="1" t="s">
        <v>4243</v>
      </c>
      <c r="B1475" s="2" t="s">
        <v>27</v>
      </c>
      <c r="C1475" s="2" t="s">
        <v>28</v>
      </c>
      <c r="D1475" s="2" t="s">
        <v>4244</v>
      </c>
      <c r="E1475" s="3" t="s">
        <v>4245</v>
      </c>
      <c r="F1475" s="4" t="s">
        <v>38</v>
      </c>
      <c r="G1475" s="4" t="s">
        <v>81</v>
      </c>
      <c r="H1475" s="14"/>
      <c r="I1475" s="4" t="s">
        <v>164</v>
      </c>
      <c r="J1475" s="6" t="s">
        <v>510</v>
      </c>
      <c r="K1475" s="25">
        <v>21.0</v>
      </c>
      <c r="L1475" s="8" t="str">
        <f t="shared" si="191"/>
        <v>FLORIDABLANCA</v>
      </c>
      <c r="O1475" s="10"/>
    </row>
    <row r="1476" ht="14.25" customHeight="1">
      <c r="A1476" s="1" t="s">
        <v>4246</v>
      </c>
      <c r="B1476" s="2" t="s">
        <v>27</v>
      </c>
      <c r="C1476" s="2" t="s">
        <v>28</v>
      </c>
      <c r="D1476" s="2" t="s">
        <v>4247</v>
      </c>
      <c r="E1476" s="3" t="s">
        <v>4248</v>
      </c>
      <c r="F1476" s="4" t="s">
        <v>655</v>
      </c>
      <c r="G1476" s="4" t="s">
        <v>3938</v>
      </c>
      <c r="H1476" s="14"/>
      <c r="I1476" s="4" t="s">
        <v>561</v>
      </c>
      <c r="J1476" s="6" t="s">
        <v>4249</v>
      </c>
      <c r="K1476" s="25">
        <v>12.0</v>
      </c>
      <c r="L1476" s="8" t="str">
        <f t="shared" si="191"/>
        <v>CUCUTA</v>
      </c>
      <c r="O1476" s="10"/>
    </row>
    <row r="1477" ht="14.25" customHeight="1">
      <c r="A1477" s="1" t="s">
        <v>4250</v>
      </c>
      <c r="B1477" s="2" t="s">
        <v>27</v>
      </c>
      <c r="C1477" s="2" t="s">
        <v>28</v>
      </c>
      <c r="D1477" s="2" t="s">
        <v>4251</v>
      </c>
      <c r="E1477" s="3" t="s">
        <v>4252</v>
      </c>
      <c r="F1477" s="4" t="s">
        <v>38</v>
      </c>
      <c r="G1477" s="4" t="s">
        <v>81</v>
      </c>
      <c r="H1477" s="14"/>
      <c r="I1477" s="4" t="s">
        <v>76</v>
      </c>
      <c r="J1477" s="6" t="s">
        <v>388</v>
      </c>
      <c r="K1477" s="25">
        <v>19.0</v>
      </c>
      <c r="L1477" s="8" t="str">
        <f t="shared" si="191"/>
        <v>FLORIDABLANCA</v>
      </c>
      <c r="O1477" s="10"/>
    </row>
    <row r="1478" ht="14.25" hidden="1" customHeight="1">
      <c r="A1478" s="13" t="s">
        <v>4253</v>
      </c>
      <c r="B1478" s="4" t="s">
        <v>27</v>
      </c>
      <c r="C1478" s="4" t="s">
        <v>28</v>
      </c>
      <c r="D1478" s="4" t="s">
        <v>4254</v>
      </c>
      <c r="E1478" s="4">
        <v>3.118137903E9</v>
      </c>
      <c r="F1478" s="4" t="s">
        <v>30</v>
      </c>
      <c r="G1478" s="4" t="s">
        <v>35</v>
      </c>
      <c r="H1478" s="14"/>
      <c r="I1478" s="4" t="s">
        <v>32</v>
      </c>
      <c r="J1478" s="14"/>
      <c r="K1478" s="14"/>
      <c r="L1478" s="14"/>
    </row>
    <row r="1479" ht="14.25" customHeight="1">
      <c r="A1479" s="1" t="s">
        <v>4255</v>
      </c>
      <c r="B1479" s="2" t="s">
        <v>27</v>
      </c>
      <c r="C1479" s="2" t="s">
        <v>28</v>
      </c>
      <c r="D1479" s="2" t="s">
        <v>4256</v>
      </c>
      <c r="E1479" s="3" t="s">
        <v>4257</v>
      </c>
      <c r="F1479" s="4" t="s">
        <v>38</v>
      </c>
      <c r="G1479" s="4" t="s">
        <v>81</v>
      </c>
      <c r="H1479" s="14"/>
      <c r="I1479" s="4" t="s">
        <v>561</v>
      </c>
      <c r="J1479" s="6" t="s">
        <v>174</v>
      </c>
      <c r="K1479" s="25">
        <v>17.0</v>
      </c>
      <c r="L1479" s="8" t="str">
        <f t="shared" ref="L1479:L1480" si="192">UPPER(G1479)</f>
        <v>FLORIDABLANCA</v>
      </c>
      <c r="O1479" s="10"/>
    </row>
    <row r="1480" ht="14.25" customHeight="1">
      <c r="A1480" s="1" t="s">
        <v>4258</v>
      </c>
      <c r="B1480" s="2" t="s">
        <v>27</v>
      </c>
      <c r="C1480" s="2" t="s">
        <v>28</v>
      </c>
      <c r="D1480" s="2" t="s">
        <v>4259</v>
      </c>
      <c r="E1480" s="3" t="s">
        <v>4260</v>
      </c>
      <c r="F1480" s="4" t="s">
        <v>2050</v>
      </c>
      <c r="G1480" s="4" t="s">
        <v>4261</v>
      </c>
      <c r="H1480" s="4" t="s">
        <v>4262</v>
      </c>
      <c r="I1480" s="4" t="s">
        <v>182</v>
      </c>
      <c r="J1480" s="6" t="s">
        <v>171</v>
      </c>
      <c r="K1480" s="25">
        <v>38.0</v>
      </c>
      <c r="L1480" s="8" t="str">
        <f t="shared" si="192"/>
        <v>GUAMAL</v>
      </c>
      <c r="O1480" s="10"/>
    </row>
    <row r="1481" ht="14.25" hidden="1" customHeight="1">
      <c r="A1481" s="13" t="s">
        <v>4263</v>
      </c>
      <c r="B1481" s="4" t="s">
        <v>27</v>
      </c>
      <c r="C1481" s="4" t="s">
        <v>28</v>
      </c>
      <c r="D1481" s="4" t="s">
        <v>4264</v>
      </c>
      <c r="E1481" s="4">
        <v>3.22292338E9</v>
      </c>
      <c r="F1481" s="4" t="s">
        <v>30</v>
      </c>
      <c r="G1481" s="4" t="s">
        <v>31</v>
      </c>
      <c r="H1481" s="14"/>
      <c r="I1481" s="4" t="s">
        <v>32</v>
      </c>
      <c r="J1481" s="14"/>
      <c r="K1481" s="14"/>
      <c r="L1481" s="14"/>
    </row>
    <row r="1482" ht="14.25" customHeight="1">
      <c r="A1482" s="1" t="s">
        <v>4265</v>
      </c>
      <c r="B1482" s="2" t="s">
        <v>27</v>
      </c>
      <c r="C1482" s="2" t="s">
        <v>28</v>
      </c>
      <c r="D1482" s="2" t="s">
        <v>4266</v>
      </c>
      <c r="E1482" s="3" t="s">
        <v>4267</v>
      </c>
      <c r="F1482" s="4" t="s">
        <v>38</v>
      </c>
      <c r="G1482" s="4" t="s">
        <v>39</v>
      </c>
      <c r="H1482" s="4" t="s">
        <v>357</v>
      </c>
      <c r="I1482" s="4" t="s">
        <v>358</v>
      </c>
      <c r="J1482" s="6" t="s">
        <v>596</v>
      </c>
      <c r="K1482" s="25">
        <v>26.0</v>
      </c>
      <c r="L1482" s="8" t="str">
        <f>UPPER(G1482)</f>
        <v>BUCARAMANGA</v>
      </c>
      <c r="O1482" s="10"/>
    </row>
    <row r="1483" ht="14.25" hidden="1" customHeight="1">
      <c r="A1483" s="13" t="s">
        <v>4268</v>
      </c>
      <c r="B1483" s="4" t="s">
        <v>27</v>
      </c>
      <c r="C1483" s="4" t="s">
        <v>28</v>
      </c>
      <c r="D1483" s="4" t="s">
        <v>4269</v>
      </c>
      <c r="E1483" s="4">
        <v>3.118713141E9</v>
      </c>
      <c r="F1483" s="4" t="s">
        <v>30</v>
      </c>
      <c r="G1483" s="4" t="s">
        <v>31</v>
      </c>
      <c r="H1483" s="14"/>
      <c r="I1483" s="4" t="s">
        <v>32</v>
      </c>
      <c r="J1483" s="14"/>
      <c r="K1483" s="14"/>
      <c r="L1483" s="14"/>
    </row>
    <row r="1484" ht="14.25" hidden="1" customHeight="1">
      <c r="A1484" s="13" t="s">
        <v>4270</v>
      </c>
      <c r="B1484" s="4" t="s">
        <v>27</v>
      </c>
      <c r="C1484" s="4" t="s">
        <v>28</v>
      </c>
      <c r="D1484" s="4" t="s">
        <v>4271</v>
      </c>
      <c r="E1484" s="4">
        <v>3.126882431E9</v>
      </c>
      <c r="F1484" s="4" t="s">
        <v>30</v>
      </c>
      <c r="G1484" s="4" t="s">
        <v>35</v>
      </c>
      <c r="H1484" s="14"/>
      <c r="I1484" s="4" t="s">
        <v>32</v>
      </c>
      <c r="J1484" s="14"/>
      <c r="K1484" s="14"/>
      <c r="L1484" s="14"/>
    </row>
    <row r="1485" ht="14.25" customHeight="1">
      <c r="A1485" s="1" t="s">
        <v>4272</v>
      </c>
      <c r="B1485" s="2" t="s">
        <v>27</v>
      </c>
      <c r="C1485" s="2" t="s">
        <v>28</v>
      </c>
      <c r="D1485" s="2" t="s">
        <v>4273</v>
      </c>
      <c r="E1485" s="3" t="s">
        <v>423</v>
      </c>
      <c r="F1485" s="4" t="s">
        <v>424</v>
      </c>
      <c r="G1485" s="4" t="s">
        <v>425</v>
      </c>
      <c r="H1485" s="14"/>
      <c r="I1485" s="4" t="s">
        <v>32</v>
      </c>
      <c r="J1485" s="6" t="s">
        <v>4274</v>
      </c>
      <c r="K1485" s="25">
        <v>16.0</v>
      </c>
      <c r="L1485" s="8" t="str">
        <f>UPPER(G1485)</f>
        <v>MONTERIA</v>
      </c>
      <c r="O1485" s="10"/>
    </row>
    <row r="1486" ht="14.25" hidden="1" customHeight="1">
      <c r="A1486" s="13" t="s">
        <v>4275</v>
      </c>
      <c r="B1486" s="4" t="s">
        <v>27</v>
      </c>
      <c r="C1486" s="4" t="s">
        <v>28</v>
      </c>
      <c r="D1486" s="4" t="s">
        <v>4276</v>
      </c>
      <c r="E1486" s="4">
        <v>3.123961018E9</v>
      </c>
      <c r="F1486" s="4" t="s">
        <v>30</v>
      </c>
      <c r="G1486" s="4" t="s">
        <v>35</v>
      </c>
      <c r="H1486" s="14"/>
      <c r="I1486" s="4" t="s">
        <v>32</v>
      </c>
      <c r="J1486" s="14"/>
      <c r="K1486" s="14"/>
      <c r="L1486" s="14"/>
    </row>
    <row r="1487" ht="14.25" customHeight="1">
      <c r="A1487" s="1" t="s">
        <v>4277</v>
      </c>
      <c r="B1487" s="2" t="s">
        <v>27</v>
      </c>
      <c r="C1487" s="2" t="s">
        <v>28</v>
      </c>
      <c r="D1487" s="2" t="s">
        <v>4278</v>
      </c>
      <c r="E1487" s="3" t="s">
        <v>4279</v>
      </c>
      <c r="F1487" s="4" t="s">
        <v>38</v>
      </c>
      <c r="G1487" s="4" t="s">
        <v>39</v>
      </c>
      <c r="H1487" s="4" t="s">
        <v>4280</v>
      </c>
      <c r="I1487" s="4" t="s">
        <v>846</v>
      </c>
      <c r="J1487" s="6" t="s">
        <v>681</v>
      </c>
      <c r="K1487" s="25">
        <v>1.0</v>
      </c>
      <c r="L1487" s="8" t="str">
        <f t="shared" ref="L1487:L1490" si="193">UPPER(G1487)</f>
        <v>BUCARAMANGA</v>
      </c>
      <c r="O1487" s="10"/>
    </row>
    <row r="1488" ht="14.25" customHeight="1">
      <c r="A1488" s="1" t="s">
        <v>4281</v>
      </c>
      <c r="B1488" s="2" t="s">
        <v>27</v>
      </c>
      <c r="C1488" s="2" t="s">
        <v>28</v>
      </c>
      <c r="D1488" s="2" t="s">
        <v>4282</v>
      </c>
      <c r="E1488" s="3" t="s">
        <v>4283</v>
      </c>
      <c r="F1488" s="4" t="s">
        <v>38</v>
      </c>
      <c r="G1488" s="4" t="s">
        <v>159</v>
      </c>
      <c r="H1488" s="4" t="s">
        <v>579</v>
      </c>
      <c r="I1488" s="4" t="s">
        <v>561</v>
      </c>
      <c r="J1488" s="6" t="s">
        <v>4284</v>
      </c>
      <c r="K1488" s="25">
        <v>7.0</v>
      </c>
      <c r="L1488" s="8" t="str">
        <f t="shared" si="193"/>
        <v>PIEDECUESTA</v>
      </c>
      <c r="O1488" s="10"/>
    </row>
    <row r="1489" ht="14.25" customHeight="1">
      <c r="A1489" s="1" t="s">
        <v>4285</v>
      </c>
      <c r="B1489" s="2" t="s">
        <v>27</v>
      </c>
      <c r="C1489" s="2" t="s">
        <v>28</v>
      </c>
      <c r="D1489" s="2" t="s">
        <v>4286</v>
      </c>
      <c r="E1489" s="3" t="s">
        <v>4287</v>
      </c>
      <c r="F1489" s="4" t="s">
        <v>38</v>
      </c>
      <c r="G1489" s="4" t="s">
        <v>39</v>
      </c>
      <c r="H1489" s="14"/>
      <c r="I1489" s="4" t="s">
        <v>561</v>
      </c>
      <c r="J1489" s="6" t="s">
        <v>371</v>
      </c>
      <c r="K1489" s="25">
        <v>8.0</v>
      </c>
      <c r="L1489" s="8" t="str">
        <f t="shared" si="193"/>
        <v>BUCARAMANGA</v>
      </c>
      <c r="O1489" s="10"/>
    </row>
    <row r="1490" ht="14.25" customHeight="1">
      <c r="A1490" s="1" t="s">
        <v>4288</v>
      </c>
      <c r="B1490" s="2" t="s">
        <v>27</v>
      </c>
      <c r="C1490" s="2" t="s">
        <v>28</v>
      </c>
      <c r="D1490" s="2" t="s">
        <v>4289</v>
      </c>
      <c r="E1490" s="3" t="s">
        <v>4290</v>
      </c>
      <c r="F1490" s="4" t="s">
        <v>69</v>
      </c>
      <c r="G1490" s="4" t="s">
        <v>69</v>
      </c>
      <c r="H1490" s="14"/>
      <c r="I1490" s="4" t="s">
        <v>51</v>
      </c>
      <c r="J1490" s="6" t="s">
        <v>4291</v>
      </c>
      <c r="K1490" s="25">
        <v>13.0</v>
      </c>
      <c r="L1490" s="8" t="str">
        <f t="shared" si="193"/>
        <v>BOGOTA</v>
      </c>
      <c r="O1490" s="10"/>
    </row>
    <row r="1491" ht="14.25" hidden="1" customHeight="1">
      <c r="A1491" s="13" t="s">
        <v>4292</v>
      </c>
      <c r="B1491" s="4" t="s">
        <v>27</v>
      </c>
      <c r="C1491" s="4" t="s">
        <v>28</v>
      </c>
      <c r="D1491" s="4" t="s">
        <v>4293</v>
      </c>
      <c r="E1491" s="4">
        <v>3.118713141E9</v>
      </c>
      <c r="F1491" s="4" t="s">
        <v>30</v>
      </c>
      <c r="G1491" s="4" t="s">
        <v>35</v>
      </c>
      <c r="H1491" s="14"/>
      <c r="I1491" s="4" t="s">
        <v>32</v>
      </c>
      <c r="J1491" s="14"/>
      <c r="K1491" s="14"/>
      <c r="L1491" s="14"/>
    </row>
    <row r="1492" ht="14.25" customHeight="1">
      <c r="A1492" s="1" t="s">
        <v>4294</v>
      </c>
      <c r="B1492" s="2" t="s">
        <v>27</v>
      </c>
      <c r="C1492" s="2" t="s">
        <v>28</v>
      </c>
      <c r="D1492" s="2" t="s">
        <v>4295</v>
      </c>
      <c r="E1492" s="3" t="s">
        <v>4296</v>
      </c>
      <c r="F1492" s="4" t="s">
        <v>38</v>
      </c>
      <c r="G1492" s="4" t="s">
        <v>81</v>
      </c>
      <c r="H1492" s="14"/>
      <c r="I1492" s="4" t="s">
        <v>561</v>
      </c>
      <c r="J1492" s="6" t="s">
        <v>1115</v>
      </c>
      <c r="K1492" s="25">
        <v>11.0</v>
      </c>
      <c r="L1492" s="8" t="str">
        <f t="shared" ref="L1492:L1494" si="194">UPPER(G1492)</f>
        <v>FLORIDABLANCA</v>
      </c>
      <c r="O1492" s="10"/>
    </row>
    <row r="1493" ht="14.25" customHeight="1">
      <c r="A1493" s="1" t="s">
        <v>4297</v>
      </c>
      <c r="B1493" s="2" t="s">
        <v>27</v>
      </c>
      <c r="C1493" s="2" t="s">
        <v>28</v>
      </c>
      <c r="D1493" s="2" t="s">
        <v>4298</v>
      </c>
      <c r="E1493" s="3" t="s">
        <v>4299</v>
      </c>
      <c r="F1493" s="4" t="s">
        <v>38</v>
      </c>
      <c r="G1493" s="4" t="s">
        <v>39</v>
      </c>
      <c r="H1493" s="14"/>
      <c r="I1493" s="4" t="s">
        <v>540</v>
      </c>
      <c r="J1493" s="6" t="s">
        <v>716</v>
      </c>
      <c r="K1493" s="25">
        <v>3.0</v>
      </c>
      <c r="L1493" s="8" t="str">
        <f t="shared" si="194"/>
        <v>BUCARAMANGA</v>
      </c>
      <c r="O1493" s="10"/>
    </row>
    <row r="1494" ht="14.25" customHeight="1">
      <c r="A1494" s="1" t="s">
        <v>4300</v>
      </c>
      <c r="B1494" s="2" t="s">
        <v>27</v>
      </c>
      <c r="C1494" s="2" t="s">
        <v>28</v>
      </c>
      <c r="D1494" s="2" t="s">
        <v>4301</v>
      </c>
      <c r="E1494" s="3" t="s">
        <v>4302</v>
      </c>
      <c r="F1494" s="4" t="s">
        <v>38</v>
      </c>
      <c r="G1494" s="4" t="s">
        <v>81</v>
      </c>
      <c r="H1494" s="14"/>
      <c r="I1494" s="4" t="s">
        <v>540</v>
      </c>
      <c r="J1494" s="6" t="s">
        <v>174</v>
      </c>
      <c r="K1494" s="25">
        <v>2.0</v>
      </c>
      <c r="L1494" s="8" t="str">
        <f t="shared" si="194"/>
        <v>FLORIDABLANCA</v>
      </c>
      <c r="O1494" s="10"/>
    </row>
    <row r="1495" ht="14.25" hidden="1" customHeight="1">
      <c r="A1495" s="13" t="s">
        <v>4303</v>
      </c>
      <c r="B1495" s="4" t="s">
        <v>27</v>
      </c>
      <c r="C1495" s="4" t="s">
        <v>28</v>
      </c>
      <c r="D1495" s="4" t="s">
        <v>4304</v>
      </c>
      <c r="E1495" s="4">
        <v>3.118713141E9</v>
      </c>
      <c r="F1495" s="4" t="s">
        <v>30</v>
      </c>
      <c r="G1495" s="4" t="s">
        <v>35</v>
      </c>
      <c r="H1495" s="14"/>
      <c r="I1495" s="4" t="s">
        <v>32</v>
      </c>
      <c r="J1495" s="14"/>
      <c r="K1495" s="14"/>
      <c r="L1495" s="14"/>
    </row>
    <row r="1496" ht="14.25" hidden="1" customHeight="1">
      <c r="A1496" s="13" t="s">
        <v>4305</v>
      </c>
      <c r="B1496" s="4" t="s">
        <v>27</v>
      </c>
      <c r="C1496" s="4" t="s">
        <v>28</v>
      </c>
      <c r="D1496" s="4" t="s">
        <v>4306</v>
      </c>
      <c r="E1496" s="4">
        <v>3.125007711E9</v>
      </c>
      <c r="F1496" s="4" t="s">
        <v>30</v>
      </c>
      <c r="G1496" s="4" t="s">
        <v>35</v>
      </c>
      <c r="H1496" s="14"/>
      <c r="I1496" s="4" t="s">
        <v>32</v>
      </c>
      <c r="J1496" s="14"/>
      <c r="K1496" s="14"/>
      <c r="L1496" s="14"/>
    </row>
    <row r="1497" ht="14.25" hidden="1" customHeight="1">
      <c r="A1497" s="13" t="s">
        <v>4307</v>
      </c>
      <c r="B1497" s="4" t="s">
        <v>27</v>
      </c>
      <c r="C1497" s="4" t="s">
        <v>28</v>
      </c>
      <c r="D1497" s="4" t="s">
        <v>4308</v>
      </c>
      <c r="E1497" s="4">
        <v>3.016379406E9</v>
      </c>
      <c r="F1497" s="4" t="s">
        <v>30</v>
      </c>
      <c r="G1497" s="4" t="s">
        <v>31</v>
      </c>
      <c r="H1497" s="14"/>
      <c r="I1497" s="4" t="s">
        <v>32</v>
      </c>
      <c r="J1497" s="14"/>
      <c r="K1497" s="14"/>
      <c r="L1497" s="14"/>
    </row>
    <row r="1498" ht="14.25" hidden="1" customHeight="1">
      <c r="A1498" s="13" t="s">
        <v>4309</v>
      </c>
      <c r="B1498" s="4" t="s">
        <v>27</v>
      </c>
      <c r="C1498" s="4" t="s">
        <v>28</v>
      </c>
      <c r="D1498" s="4" t="s">
        <v>4310</v>
      </c>
      <c r="E1498" s="4">
        <v>3.118012734E9</v>
      </c>
      <c r="F1498" s="4" t="s">
        <v>30</v>
      </c>
      <c r="G1498" s="4" t="s">
        <v>35</v>
      </c>
      <c r="H1498" s="14"/>
      <c r="I1498" s="4" t="s">
        <v>32</v>
      </c>
      <c r="J1498" s="14"/>
      <c r="K1498" s="14"/>
      <c r="L1498" s="14"/>
    </row>
    <row r="1499" ht="14.25" customHeight="1">
      <c r="A1499" s="1" t="s">
        <v>4311</v>
      </c>
      <c r="B1499" s="2" t="s">
        <v>27</v>
      </c>
      <c r="C1499" s="2" t="s">
        <v>551</v>
      </c>
      <c r="D1499" s="2" t="s">
        <v>4312</v>
      </c>
      <c r="E1499" s="3" t="s">
        <v>4313</v>
      </c>
      <c r="F1499" s="4" t="s">
        <v>38</v>
      </c>
      <c r="G1499" s="4" t="s">
        <v>113</v>
      </c>
      <c r="H1499" s="14"/>
      <c r="I1499" s="4" t="s">
        <v>164</v>
      </c>
      <c r="J1499" s="6" t="s">
        <v>4314</v>
      </c>
      <c r="K1499" s="25">
        <v>2.0</v>
      </c>
      <c r="L1499" s="8" t="str">
        <f t="shared" ref="L1499:L1500" si="195">UPPER(G1499)</f>
        <v>BARRANCABERMEJA</v>
      </c>
      <c r="O1499" s="10"/>
    </row>
    <row r="1500" ht="14.25" customHeight="1">
      <c r="A1500" s="1" t="s">
        <v>4315</v>
      </c>
      <c r="B1500" s="2" t="s">
        <v>27</v>
      </c>
      <c r="C1500" s="2" t="s">
        <v>28</v>
      </c>
      <c r="D1500" s="2" t="s">
        <v>4316</v>
      </c>
      <c r="E1500" s="3" t="s">
        <v>4317</v>
      </c>
      <c r="F1500" s="4" t="s">
        <v>69</v>
      </c>
      <c r="G1500" s="4" t="s">
        <v>69</v>
      </c>
      <c r="H1500" s="14"/>
      <c r="I1500" s="4" t="s">
        <v>51</v>
      </c>
      <c r="J1500" s="6" t="s">
        <v>4318</v>
      </c>
      <c r="K1500" s="25">
        <v>1.0</v>
      </c>
      <c r="L1500" s="8" t="str">
        <f t="shared" si="195"/>
        <v>BOGOTA</v>
      </c>
      <c r="O1500" s="10"/>
    </row>
    <row r="1501" ht="14.25" hidden="1" customHeight="1">
      <c r="A1501" s="13" t="s">
        <v>4319</v>
      </c>
      <c r="B1501" s="4" t="s">
        <v>27</v>
      </c>
      <c r="C1501" s="4" t="s">
        <v>28</v>
      </c>
      <c r="D1501" s="4" t="s">
        <v>4320</v>
      </c>
      <c r="E1501" s="4">
        <v>3.227649445E9</v>
      </c>
      <c r="F1501" s="4" t="s">
        <v>30</v>
      </c>
      <c r="G1501" s="4" t="s">
        <v>35</v>
      </c>
      <c r="H1501" s="14"/>
      <c r="I1501" s="4" t="s">
        <v>32</v>
      </c>
      <c r="J1501" s="14"/>
      <c r="K1501" s="14"/>
      <c r="L1501" s="14"/>
    </row>
    <row r="1502" ht="14.25" hidden="1" customHeight="1">
      <c r="A1502" s="13" t="s">
        <v>4321</v>
      </c>
      <c r="B1502" s="4" t="s">
        <v>27</v>
      </c>
      <c r="C1502" s="4" t="s">
        <v>28</v>
      </c>
      <c r="D1502" s="4" t="s">
        <v>4320</v>
      </c>
      <c r="E1502" s="4">
        <v>3.227649445E9</v>
      </c>
      <c r="F1502" s="4" t="s">
        <v>30</v>
      </c>
      <c r="G1502" s="4" t="s">
        <v>35</v>
      </c>
      <c r="H1502" s="14"/>
      <c r="I1502" s="4" t="s">
        <v>32</v>
      </c>
      <c r="J1502" s="14"/>
      <c r="K1502" s="14"/>
      <c r="L1502" s="14"/>
    </row>
    <row r="1503" ht="14.25" customHeight="1">
      <c r="A1503" s="1" t="s">
        <v>4322</v>
      </c>
      <c r="B1503" s="2" t="s">
        <v>27</v>
      </c>
      <c r="C1503" s="2" t="s">
        <v>962</v>
      </c>
      <c r="D1503" s="2" t="s">
        <v>4323</v>
      </c>
      <c r="E1503" s="3" t="s">
        <v>4324</v>
      </c>
      <c r="F1503" s="4" t="s">
        <v>38</v>
      </c>
      <c r="G1503" s="4" t="s">
        <v>113</v>
      </c>
      <c r="H1503" s="14"/>
      <c r="I1503" s="4" t="s">
        <v>540</v>
      </c>
      <c r="J1503" s="6" t="s">
        <v>4325</v>
      </c>
      <c r="K1503" s="25">
        <v>8.0</v>
      </c>
      <c r="L1503" s="8" t="str">
        <f>UPPER(G1503)</f>
        <v>BARRANCABERMEJA</v>
      </c>
      <c r="O1503" s="10"/>
    </row>
    <row r="1504" ht="14.25" hidden="1" customHeight="1">
      <c r="A1504" s="13" t="s">
        <v>4326</v>
      </c>
      <c r="B1504" s="4" t="s">
        <v>27</v>
      </c>
      <c r="C1504" s="4" t="s">
        <v>28</v>
      </c>
      <c r="D1504" s="4" t="s">
        <v>4327</v>
      </c>
      <c r="E1504" s="4">
        <v>3.118713141E9</v>
      </c>
      <c r="F1504" s="4" t="s">
        <v>30</v>
      </c>
      <c r="G1504" s="4" t="s">
        <v>35</v>
      </c>
      <c r="H1504" s="14"/>
      <c r="I1504" s="4" t="s">
        <v>32</v>
      </c>
      <c r="J1504" s="14"/>
      <c r="K1504" s="14"/>
      <c r="L1504" s="14"/>
    </row>
    <row r="1505" ht="14.25" customHeight="1">
      <c r="A1505" s="1" t="s">
        <v>4328</v>
      </c>
      <c r="B1505" s="2" t="s">
        <v>27</v>
      </c>
      <c r="C1505" s="2" t="s">
        <v>28</v>
      </c>
      <c r="D1505" s="2" t="s">
        <v>4329</v>
      </c>
      <c r="E1505" s="3" t="s">
        <v>4330</v>
      </c>
      <c r="F1505" s="4" t="s">
        <v>38</v>
      </c>
      <c r="G1505" s="4" t="s">
        <v>113</v>
      </c>
      <c r="H1505" s="14"/>
      <c r="I1505" s="4" t="s">
        <v>540</v>
      </c>
      <c r="J1505" s="6" t="s">
        <v>4331</v>
      </c>
      <c r="K1505" s="25">
        <v>2.0</v>
      </c>
      <c r="L1505" s="8" t="str">
        <f t="shared" ref="L1505:L1506" si="196">UPPER(G1505)</f>
        <v>BARRANCABERMEJA</v>
      </c>
      <c r="O1505" s="10"/>
    </row>
    <row r="1506" ht="14.25" customHeight="1">
      <c r="A1506" s="1" t="s">
        <v>4332</v>
      </c>
      <c r="B1506" s="2" t="s">
        <v>27</v>
      </c>
      <c r="C1506" s="2" t="s">
        <v>28</v>
      </c>
      <c r="D1506" s="2" t="s">
        <v>4333</v>
      </c>
      <c r="E1506" s="3" t="s">
        <v>1866</v>
      </c>
      <c r="F1506" s="4" t="s">
        <v>38</v>
      </c>
      <c r="G1506" s="4" t="s">
        <v>39</v>
      </c>
      <c r="H1506" s="4" t="s">
        <v>40</v>
      </c>
      <c r="I1506" s="4" t="s">
        <v>561</v>
      </c>
      <c r="J1506" s="6"/>
      <c r="K1506" s="7"/>
      <c r="L1506" s="8" t="str">
        <f t="shared" si="196"/>
        <v>BUCARAMANGA</v>
      </c>
      <c r="M1506" s="9"/>
      <c r="N1506" s="11" t="s">
        <v>59</v>
      </c>
      <c r="O1506" s="10"/>
      <c r="P1506" s="11" t="s">
        <v>4334</v>
      </c>
    </row>
    <row r="1507" ht="14.25" hidden="1" customHeight="1">
      <c r="A1507" s="13" t="s">
        <v>4335</v>
      </c>
      <c r="B1507" s="4" t="s">
        <v>27</v>
      </c>
      <c r="C1507" s="4" t="s">
        <v>28</v>
      </c>
      <c r="D1507" s="4" t="s">
        <v>4336</v>
      </c>
      <c r="E1507" s="4">
        <v>3.118713141E9</v>
      </c>
      <c r="F1507" s="4" t="s">
        <v>30</v>
      </c>
      <c r="G1507" s="4" t="s">
        <v>35</v>
      </c>
      <c r="H1507" s="14"/>
      <c r="I1507" s="4" t="s">
        <v>32</v>
      </c>
      <c r="J1507" s="14"/>
      <c r="K1507" s="14"/>
      <c r="L1507" s="14"/>
    </row>
    <row r="1508" ht="14.25" hidden="1" customHeight="1">
      <c r="A1508" s="13" t="s">
        <v>4337</v>
      </c>
      <c r="B1508" s="4" t="s">
        <v>27</v>
      </c>
      <c r="C1508" s="4" t="s">
        <v>28</v>
      </c>
      <c r="D1508" s="4" t="s">
        <v>4338</v>
      </c>
      <c r="E1508" s="4">
        <v>3.22292338E9</v>
      </c>
      <c r="F1508" s="4" t="s">
        <v>30</v>
      </c>
      <c r="G1508" s="4" t="s">
        <v>31</v>
      </c>
      <c r="H1508" s="14"/>
      <c r="I1508" s="4" t="s">
        <v>32</v>
      </c>
      <c r="J1508" s="14"/>
      <c r="K1508" s="14"/>
      <c r="L1508" s="14"/>
    </row>
    <row r="1509" ht="14.25" customHeight="1">
      <c r="A1509" s="1" t="s">
        <v>4339</v>
      </c>
      <c r="B1509" s="2" t="s">
        <v>27</v>
      </c>
      <c r="C1509" s="2" t="s">
        <v>28</v>
      </c>
      <c r="D1509" s="2" t="s">
        <v>4340</v>
      </c>
      <c r="E1509" s="3" t="s">
        <v>4341</v>
      </c>
      <c r="F1509" s="4" t="s">
        <v>3107</v>
      </c>
      <c r="G1509" s="4" t="s">
        <v>3108</v>
      </c>
      <c r="H1509" s="14"/>
      <c r="I1509" s="4" t="s">
        <v>540</v>
      </c>
      <c r="J1509" s="6" t="s">
        <v>4342</v>
      </c>
      <c r="K1509" s="25">
        <v>6.0</v>
      </c>
      <c r="L1509" s="8" t="str">
        <f>UPPER(G1509)</f>
        <v>SANTA MARTA</v>
      </c>
      <c r="O1509" s="10"/>
    </row>
    <row r="1510" ht="14.25" hidden="1" customHeight="1">
      <c r="A1510" s="13" t="s">
        <v>4343</v>
      </c>
      <c r="B1510" s="4" t="s">
        <v>27</v>
      </c>
      <c r="C1510" s="4" t="s">
        <v>28</v>
      </c>
      <c r="D1510" s="4" t="s">
        <v>4344</v>
      </c>
      <c r="E1510" s="4">
        <v>3.228791251E9</v>
      </c>
      <c r="F1510" s="4" t="s">
        <v>30</v>
      </c>
      <c r="G1510" s="4" t="s">
        <v>35</v>
      </c>
      <c r="H1510" s="14"/>
      <c r="I1510" s="4" t="s">
        <v>32</v>
      </c>
      <c r="J1510" s="14"/>
      <c r="K1510" s="14"/>
      <c r="L1510" s="14"/>
    </row>
    <row r="1511" ht="14.25" customHeight="1">
      <c r="A1511" s="1" t="s">
        <v>4345</v>
      </c>
      <c r="B1511" s="2" t="s">
        <v>27</v>
      </c>
      <c r="C1511" s="2" t="s">
        <v>66</v>
      </c>
      <c r="D1511" s="2" t="s">
        <v>4346</v>
      </c>
      <c r="E1511" s="3" t="s">
        <v>4347</v>
      </c>
      <c r="F1511" s="4" t="s">
        <v>38</v>
      </c>
      <c r="G1511" s="4" t="s">
        <v>113</v>
      </c>
      <c r="H1511" s="4" t="s">
        <v>4348</v>
      </c>
      <c r="I1511" s="4" t="s">
        <v>540</v>
      </c>
      <c r="J1511" s="6" t="s">
        <v>4349</v>
      </c>
      <c r="K1511" s="25">
        <v>12.0</v>
      </c>
      <c r="L1511" s="8" t="str">
        <f t="shared" ref="L1511:L1515" si="197">UPPER(G1511)</f>
        <v>BARRANCABERMEJA</v>
      </c>
      <c r="O1511" s="10"/>
    </row>
    <row r="1512" ht="14.25" customHeight="1">
      <c r="A1512" s="1" t="s">
        <v>4350</v>
      </c>
      <c r="B1512" s="2" t="s">
        <v>65</v>
      </c>
      <c r="C1512" s="2" t="s">
        <v>66</v>
      </c>
      <c r="D1512" s="2" t="s">
        <v>4351</v>
      </c>
      <c r="E1512" s="3" t="s">
        <v>4352</v>
      </c>
      <c r="F1512" s="4" t="s">
        <v>38</v>
      </c>
      <c r="G1512" s="4" t="s">
        <v>113</v>
      </c>
      <c r="H1512" s="14"/>
      <c r="I1512" s="4" t="s">
        <v>540</v>
      </c>
      <c r="J1512" s="6"/>
      <c r="K1512" s="7"/>
      <c r="L1512" s="8" t="str">
        <f t="shared" si="197"/>
        <v>BARRANCABERMEJA</v>
      </c>
      <c r="M1512" s="9"/>
      <c r="N1512" s="11" t="s">
        <v>59</v>
      </c>
      <c r="O1512" s="10"/>
      <c r="P1512" s="11" t="s">
        <v>4334</v>
      </c>
    </row>
    <row r="1513" ht="14.25" customHeight="1">
      <c r="A1513" s="1" t="s">
        <v>4353</v>
      </c>
      <c r="B1513" s="2" t="s">
        <v>27</v>
      </c>
      <c r="C1513" s="2" t="s">
        <v>28</v>
      </c>
      <c r="D1513" s="2" t="s">
        <v>4354</v>
      </c>
      <c r="E1513" s="3" t="s">
        <v>4355</v>
      </c>
      <c r="F1513" s="4" t="s">
        <v>69</v>
      </c>
      <c r="G1513" s="4" t="s">
        <v>69</v>
      </c>
      <c r="H1513" s="4" t="s">
        <v>133</v>
      </c>
      <c r="I1513" s="4" t="s">
        <v>51</v>
      </c>
      <c r="J1513" s="6" t="s">
        <v>4356</v>
      </c>
      <c r="K1513" s="25">
        <v>13.0</v>
      </c>
      <c r="L1513" s="8" t="str">
        <f t="shared" si="197"/>
        <v>BOGOTA</v>
      </c>
      <c r="O1513" s="10"/>
    </row>
    <row r="1514" ht="14.25" customHeight="1">
      <c r="A1514" s="1" t="s">
        <v>4357</v>
      </c>
      <c r="B1514" s="2" t="s">
        <v>27</v>
      </c>
      <c r="C1514" s="2" t="s">
        <v>28</v>
      </c>
      <c r="D1514" s="2" t="s">
        <v>4358</v>
      </c>
      <c r="E1514" s="3" t="s">
        <v>4359</v>
      </c>
      <c r="F1514" s="4" t="s">
        <v>38</v>
      </c>
      <c r="G1514" s="4" t="s">
        <v>113</v>
      </c>
      <c r="H1514" s="4" t="s">
        <v>357</v>
      </c>
      <c r="I1514" s="4" t="s">
        <v>358</v>
      </c>
      <c r="J1514" s="6" t="s">
        <v>256</v>
      </c>
      <c r="K1514" s="25">
        <v>14.0</v>
      </c>
      <c r="L1514" s="8" t="str">
        <f t="shared" si="197"/>
        <v>BARRANCABERMEJA</v>
      </c>
      <c r="O1514" s="10"/>
    </row>
    <row r="1515" ht="14.25" customHeight="1">
      <c r="A1515" s="1" t="s">
        <v>4360</v>
      </c>
      <c r="B1515" s="2" t="s">
        <v>27</v>
      </c>
      <c r="C1515" s="2" t="s">
        <v>66</v>
      </c>
      <c r="D1515" s="2" t="s">
        <v>4361</v>
      </c>
      <c r="E1515" s="3" t="s">
        <v>4362</v>
      </c>
      <c r="F1515" s="4" t="s">
        <v>38</v>
      </c>
      <c r="G1515" s="4" t="s">
        <v>113</v>
      </c>
      <c r="H1515" s="4" t="s">
        <v>4363</v>
      </c>
      <c r="I1515" s="4" t="s">
        <v>540</v>
      </c>
      <c r="J1515" s="6" t="s">
        <v>4364</v>
      </c>
      <c r="K1515" s="7">
        <v>8.0</v>
      </c>
      <c r="L1515" s="8" t="str">
        <f t="shared" si="197"/>
        <v>BARRANCABERMEJA</v>
      </c>
      <c r="O1515" s="10"/>
    </row>
    <row r="1516" ht="14.25" hidden="1" customHeight="1">
      <c r="A1516" s="13" t="s">
        <v>4365</v>
      </c>
      <c r="B1516" s="4" t="s">
        <v>27</v>
      </c>
      <c r="C1516" s="4" t="s">
        <v>28</v>
      </c>
      <c r="D1516" s="4" t="s">
        <v>4366</v>
      </c>
      <c r="E1516" s="4">
        <v>3.104858589E9</v>
      </c>
      <c r="F1516" s="4" t="s">
        <v>30</v>
      </c>
      <c r="G1516" s="4" t="s">
        <v>31</v>
      </c>
      <c r="H1516" s="14"/>
      <c r="I1516" s="4" t="s">
        <v>32</v>
      </c>
      <c r="J1516" s="14"/>
      <c r="K1516" s="14"/>
      <c r="L1516" s="14"/>
    </row>
    <row r="1517" ht="14.25" customHeight="1">
      <c r="A1517" s="1" t="s">
        <v>4367</v>
      </c>
      <c r="B1517" s="2" t="s">
        <v>27</v>
      </c>
      <c r="C1517" s="2" t="s">
        <v>28</v>
      </c>
      <c r="D1517" s="2" t="s">
        <v>4368</v>
      </c>
      <c r="E1517" s="3" t="s">
        <v>4369</v>
      </c>
      <c r="F1517" s="4" t="s">
        <v>38</v>
      </c>
      <c r="G1517" s="4" t="s">
        <v>39</v>
      </c>
      <c r="H1517" s="14"/>
      <c r="I1517" s="4" t="s">
        <v>76</v>
      </c>
      <c r="J1517" s="6" t="s">
        <v>4370</v>
      </c>
      <c r="K1517" s="25">
        <v>26.0</v>
      </c>
      <c r="L1517" s="8" t="str">
        <f>UPPER(G1517)</f>
        <v>BUCARAMANGA</v>
      </c>
      <c r="O1517" s="10"/>
    </row>
    <row r="1518" ht="14.25" hidden="1" customHeight="1">
      <c r="A1518" s="13" t="s">
        <v>4371</v>
      </c>
      <c r="B1518" s="4" t="s">
        <v>27</v>
      </c>
      <c r="C1518" s="4" t="s">
        <v>28</v>
      </c>
      <c r="D1518" s="4" t="s">
        <v>4372</v>
      </c>
      <c r="E1518" s="4">
        <v>3.124295466E9</v>
      </c>
      <c r="F1518" s="4" t="s">
        <v>30</v>
      </c>
      <c r="G1518" s="4" t="s">
        <v>35</v>
      </c>
      <c r="H1518" s="14"/>
      <c r="I1518" s="4" t="s">
        <v>32</v>
      </c>
      <c r="J1518" s="14"/>
      <c r="K1518" s="14"/>
      <c r="L1518" s="14"/>
    </row>
    <row r="1519" ht="14.25" hidden="1" customHeight="1">
      <c r="A1519" s="13" t="s">
        <v>4373</v>
      </c>
      <c r="B1519" s="4" t="s">
        <v>27</v>
      </c>
      <c r="C1519" s="4" t="s">
        <v>28</v>
      </c>
      <c r="D1519" s="4" t="s">
        <v>4374</v>
      </c>
      <c r="E1519" s="4">
        <v>3.22292338E9</v>
      </c>
      <c r="F1519" s="4" t="s">
        <v>30</v>
      </c>
      <c r="G1519" s="4" t="s">
        <v>31</v>
      </c>
      <c r="H1519" s="14"/>
      <c r="I1519" s="4" t="s">
        <v>32</v>
      </c>
      <c r="J1519" s="14"/>
      <c r="K1519" s="14"/>
      <c r="L1519" s="14"/>
    </row>
    <row r="1520" ht="14.25" hidden="1" customHeight="1">
      <c r="A1520" s="13" t="s">
        <v>4375</v>
      </c>
      <c r="B1520" s="4" t="s">
        <v>27</v>
      </c>
      <c r="C1520" s="4" t="s">
        <v>28</v>
      </c>
      <c r="D1520" s="4" t="s">
        <v>4376</v>
      </c>
      <c r="E1520" s="4">
        <v>3.229457091E9</v>
      </c>
      <c r="F1520" s="4" t="s">
        <v>30</v>
      </c>
      <c r="G1520" s="4" t="s">
        <v>31</v>
      </c>
      <c r="H1520" s="14"/>
      <c r="I1520" s="4" t="s">
        <v>32</v>
      </c>
      <c r="J1520" s="14"/>
      <c r="K1520" s="14"/>
      <c r="L1520" s="14"/>
    </row>
    <row r="1521" ht="14.25" customHeight="1">
      <c r="A1521" s="1" t="s">
        <v>4377</v>
      </c>
      <c r="B1521" s="2" t="s">
        <v>27</v>
      </c>
      <c r="C1521" s="2" t="s">
        <v>28</v>
      </c>
      <c r="D1521" s="2" t="s">
        <v>4378</v>
      </c>
      <c r="E1521" s="3" t="s">
        <v>4379</v>
      </c>
      <c r="F1521" s="4" t="s">
        <v>38</v>
      </c>
      <c r="G1521" s="4" t="s">
        <v>81</v>
      </c>
      <c r="H1521" s="4" t="s">
        <v>308</v>
      </c>
      <c r="I1521" s="4" t="s">
        <v>561</v>
      </c>
      <c r="J1521" s="6" t="s">
        <v>510</v>
      </c>
      <c r="K1521" s="25">
        <v>22.0</v>
      </c>
      <c r="L1521" s="8" t="str">
        <f>UPPER(G1521)</f>
        <v>FLORIDABLANCA</v>
      </c>
      <c r="O1521" s="10"/>
    </row>
    <row r="1522" ht="14.25" hidden="1" customHeight="1">
      <c r="A1522" s="13" t="s">
        <v>4380</v>
      </c>
      <c r="B1522" s="4" t="s">
        <v>27</v>
      </c>
      <c r="C1522" s="4" t="s">
        <v>28</v>
      </c>
      <c r="D1522" s="4" t="s">
        <v>4381</v>
      </c>
      <c r="E1522" s="4">
        <v>3.132541018E9</v>
      </c>
      <c r="F1522" s="4" t="s">
        <v>30</v>
      </c>
      <c r="G1522" s="4" t="s">
        <v>31</v>
      </c>
      <c r="H1522" s="14"/>
      <c r="I1522" s="4" t="s">
        <v>32</v>
      </c>
      <c r="J1522" s="14"/>
      <c r="K1522" s="14"/>
      <c r="L1522" s="14"/>
    </row>
    <row r="1523" ht="14.25" customHeight="1">
      <c r="A1523" s="1" t="s">
        <v>4382</v>
      </c>
      <c r="B1523" s="2" t="s">
        <v>27</v>
      </c>
      <c r="C1523" s="2" t="s">
        <v>28</v>
      </c>
      <c r="D1523" s="2" t="s">
        <v>4383</v>
      </c>
      <c r="E1523" s="3" t="s">
        <v>4384</v>
      </c>
      <c r="F1523" s="4" t="s">
        <v>69</v>
      </c>
      <c r="G1523" s="4" t="s">
        <v>69</v>
      </c>
      <c r="H1523" s="14"/>
      <c r="I1523" s="4" t="s">
        <v>51</v>
      </c>
      <c r="J1523" s="6" t="s">
        <v>4385</v>
      </c>
      <c r="K1523" s="25">
        <v>14.0</v>
      </c>
      <c r="L1523" s="8" t="str">
        <f t="shared" ref="L1523:L1524" si="198">UPPER(G1523)</f>
        <v>BOGOTA</v>
      </c>
      <c r="O1523" s="10"/>
    </row>
    <row r="1524" ht="14.25" customHeight="1">
      <c r="A1524" s="1" t="s">
        <v>4386</v>
      </c>
      <c r="B1524" s="2" t="s">
        <v>27</v>
      </c>
      <c r="C1524" s="2" t="s">
        <v>28</v>
      </c>
      <c r="D1524" s="2" t="s">
        <v>4387</v>
      </c>
      <c r="E1524" s="3" t="s">
        <v>4388</v>
      </c>
      <c r="F1524" s="4" t="s">
        <v>38</v>
      </c>
      <c r="G1524" s="4" t="s">
        <v>113</v>
      </c>
      <c r="H1524" s="4" t="s">
        <v>1514</v>
      </c>
      <c r="I1524" s="4" t="s">
        <v>358</v>
      </c>
      <c r="J1524" s="6" t="s">
        <v>4389</v>
      </c>
      <c r="K1524" s="25">
        <v>7.0</v>
      </c>
      <c r="L1524" s="8" t="str">
        <f t="shared" si="198"/>
        <v>BARRANCABERMEJA</v>
      </c>
      <c r="O1524" s="10"/>
    </row>
    <row r="1525" ht="14.25" hidden="1" customHeight="1">
      <c r="A1525" s="13" t="s">
        <v>4390</v>
      </c>
      <c r="B1525" s="4" t="s">
        <v>27</v>
      </c>
      <c r="C1525" s="4" t="s">
        <v>28</v>
      </c>
      <c r="D1525" s="4" t="s">
        <v>4391</v>
      </c>
      <c r="E1525" s="4">
        <v>3.222316412E9</v>
      </c>
      <c r="F1525" s="4" t="s">
        <v>30</v>
      </c>
      <c r="G1525" s="4" t="s">
        <v>35</v>
      </c>
      <c r="H1525" s="14"/>
      <c r="I1525" s="4" t="s">
        <v>32</v>
      </c>
      <c r="J1525" s="14"/>
      <c r="K1525" s="14"/>
      <c r="L1525" s="14"/>
    </row>
    <row r="1526" ht="14.25" customHeight="1">
      <c r="A1526" s="1" t="s">
        <v>4392</v>
      </c>
      <c r="B1526" s="2" t="s">
        <v>27</v>
      </c>
      <c r="C1526" s="2" t="s">
        <v>28</v>
      </c>
      <c r="D1526" s="2" t="s">
        <v>4393</v>
      </c>
      <c r="E1526" s="3" t="s">
        <v>4394</v>
      </c>
      <c r="F1526" s="4" t="s">
        <v>69</v>
      </c>
      <c r="G1526" s="4" t="s">
        <v>69</v>
      </c>
      <c r="H1526" s="14"/>
      <c r="I1526" s="4" t="s">
        <v>51</v>
      </c>
      <c r="J1526" s="6" t="s">
        <v>803</v>
      </c>
      <c r="K1526" s="25">
        <v>7.0</v>
      </c>
      <c r="L1526" s="8" t="str">
        <f>UPPER(G1526)</f>
        <v>BOGOTA</v>
      </c>
      <c r="O1526" s="10"/>
    </row>
    <row r="1527" ht="14.25" hidden="1" customHeight="1">
      <c r="A1527" s="13" t="s">
        <v>4395</v>
      </c>
      <c r="B1527" s="4" t="s">
        <v>27</v>
      </c>
      <c r="C1527" s="4" t="s">
        <v>28</v>
      </c>
      <c r="D1527" s="4" t="s">
        <v>4396</v>
      </c>
      <c r="E1527" s="4">
        <v>3.102211527E9</v>
      </c>
      <c r="F1527" s="4" t="s">
        <v>30</v>
      </c>
      <c r="G1527" s="4" t="s">
        <v>35</v>
      </c>
      <c r="H1527" s="14"/>
      <c r="I1527" s="4" t="s">
        <v>32</v>
      </c>
      <c r="J1527" s="14"/>
      <c r="K1527" s="14"/>
      <c r="L1527" s="14"/>
    </row>
    <row r="1528" ht="14.25" hidden="1" customHeight="1">
      <c r="A1528" s="13" t="s">
        <v>4397</v>
      </c>
      <c r="B1528" s="4" t="s">
        <v>27</v>
      </c>
      <c r="C1528" s="4" t="s">
        <v>28</v>
      </c>
      <c r="D1528" s="4" t="s">
        <v>4398</v>
      </c>
      <c r="E1528" s="4">
        <v>3.215732556E9</v>
      </c>
      <c r="F1528" s="4" t="s">
        <v>30</v>
      </c>
      <c r="G1528" s="4" t="s">
        <v>35</v>
      </c>
      <c r="H1528" s="14"/>
      <c r="I1528" s="4" t="s">
        <v>32</v>
      </c>
      <c r="J1528" s="14"/>
      <c r="K1528" s="14"/>
      <c r="L1528" s="14"/>
    </row>
    <row r="1529" ht="14.25" customHeight="1">
      <c r="A1529" s="1" t="s">
        <v>4399</v>
      </c>
      <c r="B1529" s="2" t="s">
        <v>27</v>
      </c>
      <c r="C1529" s="2" t="s">
        <v>28</v>
      </c>
      <c r="D1529" s="2" t="s">
        <v>4400</v>
      </c>
      <c r="E1529" s="3" t="s">
        <v>4401</v>
      </c>
      <c r="F1529" s="4" t="s">
        <v>38</v>
      </c>
      <c r="G1529" s="4" t="s">
        <v>39</v>
      </c>
      <c r="H1529" s="14"/>
      <c r="I1529" s="4" t="s">
        <v>164</v>
      </c>
      <c r="J1529" s="6" t="s">
        <v>4402</v>
      </c>
      <c r="K1529" s="25">
        <v>13.0</v>
      </c>
      <c r="L1529" s="8" t="str">
        <f>UPPER(G1529)</f>
        <v>BUCARAMANGA</v>
      </c>
      <c r="O1529" s="10"/>
    </row>
    <row r="1530" ht="14.25" hidden="1" customHeight="1">
      <c r="A1530" s="13" t="s">
        <v>4403</v>
      </c>
      <c r="B1530" s="4" t="s">
        <v>27</v>
      </c>
      <c r="C1530" s="4" t="s">
        <v>28</v>
      </c>
      <c r="D1530" s="4" t="s">
        <v>4404</v>
      </c>
      <c r="E1530" s="4">
        <v>3.22292338E9</v>
      </c>
      <c r="F1530" s="4" t="s">
        <v>30</v>
      </c>
      <c r="G1530" s="4" t="s">
        <v>31</v>
      </c>
      <c r="H1530" s="14"/>
      <c r="I1530" s="4" t="s">
        <v>32</v>
      </c>
      <c r="J1530" s="14"/>
      <c r="K1530" s="14"/>
      <c r="L1530" s="14"/>
    </row>
    <row r="1531" ht="14.25" customHeight="1">
      <c r="A1531" s="1" t="s">
        <v>4405</v>
      </c>
      <c r="B1531" s="2" t="s">
        <v>27</v>
      </c>
      <c r="C1531" s="2" t="s">
        <v>28</v>
      </c>
      <c r="D1531" s="2" t="s">
        <v>4406</v>
      </c>
      <c r="E1531" s="3" t="s">
        <v>4407</v>
      </c>
      <c r="F1531" s="4" t="s">
        <v>647</v>
      </c>
      <c r="G1531" s="4" t="s">
        <v>4408</v>
      </c>
      <c r="H1531" s="14"/>
      <c r="I1531" s="4" t="s">
        <v>182</v>
      </c>
      <c r="J1531" s="6" t="s">
        <v>171</v>
      </c>
      <c r="K1531" s="25">
        <v>9.0</v>
      </c>
      <c r="L1531" s="8" t="str">
        <f>UPPER(G1531)</f>
        <v>SARAGOA</v>
      </c>
      <c r="O1531" s="10"/>
    </row>
    <row r="1532" ht="14.25" hidden="1" customHeight="1">
      <c r="A1532" s="13" t="s">
        <v>4409</v>
      </c>
      <c r="B1532" s="4" t="s">
        <v>27</v>
      </c>
      <c r="C1532" s="4" t="s">
        <v>28</v>
      </c>
      <c r="D1532" s="4" t="s">
        <v>4410</v>
      </c>
      <c r="E1532" s="4">
        <v>3.104858589E9</v>
      </c>
      <c r="F1532" s="4" t="s">
        <v>30</v>
      </c>
      <c r="G1532" s="4" t="s">
        <v>31</v>
      </c>
      <c r="H1532" s="14"/>
      <c r="I1532" s="4" t="s">
        <v>32</v>
      </c>
      <c r="J1532" s="14"/>
      <c r="K1532" s="14"/>
      <c r="L1532" s="14"/>
    </row>
    <row r="1533" ht="14.25" customHeight="1">
      <c r="A1533" s="1" t="s">
        <v>4411</v>
      </c>
      <c r="B1533" s="2" t="s">
        <v>27</v>
      </c>
      <c r="C1533" s="2" t="s">
        <v>28</v>
      </c>
      <c r="D1533" s="2" t="s">
        <v>4412</v>
      </c>
      <c r="E1533" s="3" t="s">
        <v>4413</v>
      </c>
      <c r="F1533" s="4" t="s">
        <v>38</v>
      </c>
      <c r="G1533" s="4" t="s">
        <v>113</v>
      </c>
      <c r="H1533" s="4" t="s">
        <v>4414</v>
      </c>
      <c r="I1533" s="4" t="s">
        <v>358</v>
      </c>
      <c r="J1533" s="6" t="s">
        <v>368</v>
      </c>
      <c r="K1533" s="25">
        <v>1.0</v>
      </c>
      <c r="L1533" s="8" t="str">
        <f>UPPER(G1533)</f>
        <v>BARRANCABERMEJA</v>
      </c>
      <c r="O1533" s="10"/>
    </row>
    <row r="1534" ht="14.25" hidden="1" customHeight="1">
      <c r="A1534" s="13" t="s">
        <v>4415</v>
      </c>
      <c r="B1534" s="4" t="s">
        <v>27</v>
      </c>
      <c r="C1534" s="4" t="s">
        <v>28</v>
      </c>
      <c r="D1534" s="4" t="s">
        <v>4416</v>
      </c>
      <c r="E1534" s="4">
        <v>3.12591924E9</v>
      </c>
      <c r="F1534" s="4" t="s">
        <v>30</v>
      </c>
      <c r="G1534" s="4" t="s">
        <v>35</v>
      </c>
      <c r="H1534" s="14"/>
      <c r="I1534" s="4" t="s">
        <v>32</v>
      </c>
      <c r="J1534" s="14"/>
      <c r="K1534" s="14"/>
      <c r="L1534" s="14"/>
    </row>
    <row r="1535" ht="14.25" customHeight="1">
      <c r="A1535" s="1" t="s">
        <v>4417</v>
      </c>
      <c r="B1535" s="2" t="s">
        <v>27</v>
      </c>
      <c r="C1535" s="2" t="s">
        <v>28</v>
      </c>
      <c r="D1535" s="2" t="s">
        <v>4418</v>
      </c>
      <c r="E1535" s="3" t="s">
        <v>4419</v>
      </c>
      <c r="F1535" s="4" t="s">
        <v>38</v>
      </c>
      <c r="G1535" s="4" t="s">
        <v>113</v>
      </c>
      <c r="H1535" s="4" t="s">
        <v>357</v>
      </c>
      <c r="I1535" s="4" t="s">
        <v>419</v>
      </c>
      <c r="J1535" s="6" t="s">
        <v>3919</v>
      </c>
      <c r="K1535" s="25">
        <v>1.0</v>
      </c>
      <c r="L1535" s="8" t="str">
        <f t="shared" ref="L1535:L1539" si="199">UPPER(G1535)</f>
        <v>BARRANCABERMEJA</v>
      </c>
      <c r="O1535" s="10"/>
    </row>
    <row r="1536" ht="14.25" customHeight="1">
      <c r="A1536" s="1" t="s">
        <v>4420</v>
      </c>
      <c r="B1536" s="2" t="s">
        <v>27</v>
      </c>
      <c r="C1536" s="2" t="s">
        <v>28</v>
      </c>
      <c r="D1536" s="2" t="s">
        <v>4421</v>
      </c>
      <c r="E1536" s="3" t="s">
        <v>4422</v>
      </c>
      <c r="F1536" s="4" t="s">
        <v>38</v>
      </c>
      <c r="G1536" s="4" t="s">
        <v>39</v>
      </c>
      <c r="H1536" s="14"/>
      <c r="I1536" s="4" t="s">
        <v>561</v>
      </c>
      <c r="J1536" s="6" t="s">
        <v>643</v>
      </c>
      <c r="K1536" s="25">
        <v>3.0</v>
      </c>
      <c r="L1536" s="8" t="str">
        <f t="shared" si="199"/>
        <v>BUCARAMANGA</v>
      </c>
      <c r="O1536" s="10"/>
    </row>
    <row r="1537" ht="14.25" customHeight="1">
      <c r="A1537" s="1" t="s">
        <v>4423</v>
      </c>
      <c r="B1537" s="2" t="s">
        <v>27</v>
      </c>
      <c r="C1537" s="2" t="s">
        <v>28</v>
      </c>
      <c r="D1537" s="2" t="s">
        <v>4424</v>
      </c>
      <c r="E1537" s="3" t="s">
        <v>4425</v>
      </c>
      <c r="F1537" s="4" t="s">
        <v>38</v>
      </c>
      <c r="G1537" s="4" t="s">
        <v>81</v>
      </c>
      <c r="H1537" s="14"/>
      <c r="I1537" s="4" t="s">
        <v>561</v>
      </c>
      <c r="J1537" s="6" t="s">
        <v>4426</v>
      </c>
      <c r="K1537" s="25">
        <v>8.0</v>
      </c>
      <c r="L1537" s="8" t="str">
        <f t="shared" si="199"/>
        <v>FLORIDABLANCA</v>
      </c>
      <c r="O1537" s="10"/>
    </row>
    <row r="1538" ht="14.25" customHeight="1">
      <c r="A1538" s="1" t="s">
        <v>4427</v>
      </c>
      <c r="B1538" s="2" t="s">
        <v>27</v>
      </c>
      <c r="C1538" s="2" t="s">
        <v>28</v>
      </c>
      <c r="D1538" s="2" t="s">
        <v>4428</v>
      </c>
      <c r="E1538" s="3" t="s">
        <v>4429</v>
      </c>
      <c r="F1538" s="4" t="s">
        <v>38</v>
      </c>
      <c r="G1538" s="4" t="s">
        <v>159</v>
      </c>
      <c r="H1538" s="4" t="s">
        <v>579</v>
      </c>
      <c r="I1538" s="4" t="s">
        <v>561</v>
      </c>
      <c r="J1538" s="6"/>
      <c r="K1538" s="7"/>
      <c r="L1538" s="8" t="str">
        <f t="shared" si="199"/>
        <v>PIEDECUESTA</v>
      </c>
      <c r="M1538" s="9"/>
      <c r="N1538" s="11" t="s">
        <v>59</v>
      </c>
      <c r="O1538" s="10"/>
      <c r="P1538" s="11" t="s">
        <v>4430</v>
      </c>
    </row>
    <row r="1539" ht="14.25" customHeight="1">
      <c r="A1539" s="1" t="s">
        <v>4431</v>
      </c>
      <c r="B1539" s="2" t="s">
        <v>27</v>
      </c>
      <c r="C1539" s="2" t="s">
        <v>28</v>
      </c>
      <c r="D1539" s="2" t="s">
        <v>4432</v>
      </c>
      <c r="E1539" s="3" t="s">
        <v>4433</v>
      </c>
      <c r="F1539" s="4" t="s">
        <v>38</v>
      </c>
      <c r="G1539" s="4" t="s">
        <v>81</v>
      </c>
      <c r="H1539" s="14"/>
      <c r="I1539" s="4" t="s">
        <v>561</v>
      </c>
      <c r="J1539" s="6" t="s">
        <v>4434</v>
      </c>
      <c r="K1539" s="25">
        <v>4.0</v>
      </c>
      <c r="L1539" s="8" t="str">
        <f t="shared" si="199"/>
        <v>FLORIDABLANCA</v>
      </c>
      <c r="O1539" s="10"/>
    </row>
    <row r="1540" ht="14.25" hidden="1" customHeight="1">
      <c r="A1540" s="13" t="s">
        <v>4435</v>
      </c>
      <c r="B1540" s="4" t="s">
        <v>27</v>
      </c>
      <c r="C1540" s="4" t="s">
        <v>28</v>
      </c>
      <c r="D1540" s="4" t="s">
        <v>4436</v>
      </c>
      <c r="E1540" s="4">
        <v>3.118713141E9</v>
      </c>
      <c r="F1540" s="4" t="s">
        <v>30</v>
      </c>
      <c r="G1540" s="4" t="s">
        <v>35</v>
      </c>
      <c r="H1540" s="14"/>
      <c r="I1540" s="4" t="s">
        <v>32</v>
      </c>
      <c r="J1540" s="14"/>
      <c r="K1540" s="14"/>
      <c r="L1540" s="14"/>
    </row>
    <row r="1541" ht="14.25" customHeight="1">
      <c r="A1541" s="1" t="s">
        <v>4437</v>
      </c>
      <c r="B1541" s="2" t="s">
        <v>27</v>
      </c>
      <c r="C1541" s="2" t="s">
        <v>28</v>
      </c>
      <c r="D1541" s="2" t="s">
        <v>4438</v>
      </c>
      <c r="E1541" s="3" t="s">
        <v>4439</v>
      </c>
      <c r="F1541" s="4" t="s">
        <v>38</v>
      </c>
      <c r="G1541" s="4" t="s">
        <v>39</v>
      </c>
      <c r="H1541" s="14"/>
      <c r="I1541" s="4" t="s">
        <v>164</v>
      </c>
      <c r="J1541" s="6" t="s">
        <v>851</v>
      </c>
      <c r="K1541" s="25">
        <v>10.0</v>
      </c>
      <c r="L1541" s="8" t="str">
        <f t="shared" ref="L1541:L1542" si="200">UPPER(G1541)</f>
        <v>BUCARAMANGA</v>
      </c>
      <c r="O1541" s="10"/>
    </row>
    <row r="1542" ht="14.25" customHeight="1">
      <c r="A1542" s="1" t="s">
        <v>4440</v>
      </c>
      <c r="B1542" s="2" t="s">
        <v>27</v>
      </c>
      <c r="C1542" s="2" t="s">
        <v>28</v>
      </c>
      <c r="D1542" s="2" t="s">
        <v>4441</v>
      </c>
      <c r="E1542" s="3" t="s">
        <v>4442</v>
      </c>
      <c r="F1542" s="4" t="s">
        <v>38</v>
      </c>
      <c r="G1542" s="4" t="s">
        <v>159</v>
      </c>
      <c r="H1542" s="14"/>
      <c r="I1542" s="4" t="s">
        <v>561</v>
      </c>
      <c r="J1542" s="6" t="s">
        <v>1208</v>
      </c>
      <c r="K1542" s="25">
        <v>10.0</v>
      </c>
      <c r="L1542" s="8" t="str">
        <f t="shared" si="200"/>
        <v>PIEDECUESTA</v>
      </c>
      <c r="O1542" s="10"/>
    </row>
    <row r="1543" ht="14.25" hidden="1" customHeight="1">
      <c r="A1543" s="13" t="s">
        <v>4443</v>
      </c>
      <c r="B1543" s="4" t="s">
        <v>27</v>
      </c>
      <c r="C1543" s="4" t="s">
        <v>28</v>
      </c>
      <c r="D1543" s="4" t="s">
        <v>4444</v>
      </c>
      <c r="E1543" s="4">
        <v>3.123295975E9</v>
      </c>
      <c r="F1543" s="4" t="s">
        <v>30</v>
      </c>
      <c r="G1543" s="4" t="s">
        <v>35</v>
      </c>
      <c r="H1543" s="14"/>
      <c r="I1543" s="4" t="s">
        <v>32</v>
      </c>
      <c r="J1543" s="14"/>
      <c r="K1543" s="14"/>
      <c r="L1543" s="14"/>
    </row>
    <row r="1544" ht="14.25" customHeight="1">
      <c r="A1544" s="1" t="s">
        <v>4445</v>
      </c>
      <c r="B1544" s="2" t="s">
        <v>27</v>
      </c>
      <c r="C1544" s="2" t="s">
        <v>28</v>
      </c>
      <c r="D1544" s="2" t="s">
        <v>4446</v>
      </c>
      <c r="E1544" s="3" t="s">
        <v>4447</v>
      </c>
      <c r="F1544" s="4" t="s">
        <v>38</v>
      </c>
      <c r="G1544" s="4" t="s">
        <v>4448</v>
      </c>
      <c r="H1544" s="14"/>
      <c r="I1544" s="4" t="s">
        <v>164</v>
      </c>
      <c r="J1544" s="6" t="s">
        <v>171</v>
      </c>
      <c r="K1544" s="25">
        <v>2.0</v>
      </c>
      <c r="L1544" s="8" t="str">
        <f>UPPER(G1544)</f>
        <v>EL GUACAMAYO</v>
      </c>
      <c r="O1544" s="10"/>
    </row>
    <row r="1545" ht="14.25" hidden="1" customHeight="1">
      <c r="A1545" s="13" t="s">
        <v>4449</v>
      </c>
      <c r="B1545" s="4" t="s">
        <v>27</v>
      </c>
      <c r="C1545" s="4" t="s">
        <v>28</v>
      </c>
      <c r="D1545" s="4" t="s">
        <v>4450</v>
      </c>
      <c r="E1545" s="4">
        <v>3.22292338E9</v>
      </c>
      <c r="F1545" s="4" t="s">
        <v>30</v>
      </c>
      <c r="G1545" s="4" t="s">
        <v>31</v>
      </c>
      <c r="H1545" s="14"/>
      <c r="I1545" s="4" t="s">
        <v>32</v>
      </c>
      <c r="J1545" s="14"/>
      <c r="K1545" s="14"/>
      <c r="L1545" s="14"/>
    </row>
    <row r="1546" ht="14.25" hidden="1" customHeight="1">
      <c r="A1546" s="13" t="s">
        <v>4451</v>
      </c>
      <c r="B1546" s="4" t="s">
        <v>27</v>
      </c>
      <c r="C1546" s="4" t="s">
        <v>28</v>
      </c>
      <c r="D1546" s="4" t="s">
        <v>4452</v>
      </c>
      <c r="E1546" s="4">
        <v>3.225958571E9</v>
      </c>
      <c r="F1546" s="4" t="s">
        <v>30</v>
      </c>
      <c r="G1546" s="4" t="s">
        <v>35</v>
      </c>
      <c r="H1546" s="14"/>
      <c r="I1546" s="4" t="s">
        <v>32</v>
      </c>
      <c r="J1546" s="14"/>
      <c r="K1546" s="14"/>
      <c r="L1546" s="14"/>
    </row>
    <row r="1547" ht="14.25" hidden="1" customHeight="1">
      <c r="A1547" s="13" t="s">
        <v>4453</v>
      </c>
      <c r="B1547" s="4" t="s">
        <v>27</v>
      </c>
      <c r="C1547" s="4" t="s">
        <v>28</v>
      </c>
      <c r="D1547" s="4" t="s">
        <v>4454</v>
      </c>
      <c r="E1547" s="4">
        <v>3.228791251E9</v>
      </c>
      <c r="F1547" s="4" t="s">
        <v>30</v>
      </c>
      <c r="G1547" s="4" t="s">
        <v>35</v>
      </c>
      <c r="H1547" s="14"/>
      <c r="I1547" s="4" t="s">
        <v>32</v>
      </c>
      <c r="J1547" s="14"/>
      <c r="K1547" s="14"/>
      <c r="L1547" s="14"/>
    </row>
    <row r="1548" ht="14.25" customHeight="1">
      <c r="A1548" s="1" t="s">
        <v>4455</v>
      </c>
      <c r="B1548" s="2" t="s">
        <v>27</v>
      </c>
      <c r="C1548" s="2" t="s">
        <v>28</v>
      </c>
      <c r="D1548" s="2" t="s">
        <v>4456</v>
      </c>
      <c r="E1548" s="3" t="s">
        <v>4457</v>
      </c>
      <c r="F1548" s="4" t="s">
        <v>1863</v>
      </c>
      <c r="G1548" s="4" t="s">
        <v>1356</v>
      </c>
      <c r="H1548" s="4" t="s">
        <v>3048</v>
      </c>
      <c r="I1548" s="4" t="s">
        <v>561</v>
      </c>
      <c r="J1548" s="6" t="s">
        <v>4458</v>
      </c>
      <c r="K1548" s="25">
        <v>29.0</v>
      </c>
      <c r="L1548" s="8" t="str">
        <f>UPPER(G1548)</f>
        <v>CALI</v>
      </c>
      <c r="O1548" s="10"/>
    </row>
    <row r="1549" ht="14.25" hidden="1" customHeight="1">
      <c r="A1549" s="13" t="s">
        <v>4459</v>
      </c>
      <c r="B1549" s="4" t="s">
        <v>27</v>
      </c>
      <c r="C1549" s="4" t="s">
        <v>28</v>
      </c>
      <c r="D1549" s="4" t="s">
        <v>4460</v>
      </c>
      <c r="E1549" s="4">
        <v>3.102211527E9</v>
      </c>
      <c r="F1549" s="4" t="s">
        <v>30</v>
      </c>
      <c r="G1549" s="4" t="s">
        <v>35</v>
      </c>
      <c r="H1549" s="14"/>
      <c r="I1549" s="4" t="s">
        <v>32</v>
      </c>
      <c r="J1549" s="14"/>
      <c r="K1549" s="14"/>
      <c r="L1549" s="14"/>
    </row>
    <row r="1550" ht="14.25" hidden="1" customHeight="1">
      <c r="A1550" s="13" t="s">
        <v>4461</v>
      </c>
      <c r="B1550" s="4" t="s">
        <v>27</v>
      </c>
      <c r="C1550" s="4" t="s">
        <v>28</v>
      </c>
      <c r="D1550" s="4" t="s">
        <v>4462</v>
      </c>
      <c r="E1550" s="4">
        <v>3.11849272E9</v>
      </c>
      <c r="F1550" s="4" t="s">
        <v>30</v>
      </c>
      <c r="G1550" s="4" t="s">
        <v>35</v>
      </c>
      <c r="H1550" s="14"/>
      <c r="I1550" s="4" t="s">
        <v>32</v>
      </c>
      <c r="J1550" s="14"/>
      <c r="K1550" s="14"/>
      <c r="L1550" s="14"/>
    </row>
    <row r="1551" ht="14.25" hidden="1" customHeight="1">
      <c r="A1551" s="13" t="s">
        <v>4463</v>
      </c>
      <c r="B1551" s="4" t="s">
        <v>27</v>
      </c>
      <c r="C1551" s="4" t="s">
        <v>28</v>
      </c>
      <c r="D1551" s="4" t="s">
        <v>4464</v>
      </c>
      <c r="E1551" s="4">
        <v>3.118713141E9</v>
      </c>
      <c r="F1551" s="4" t="s">
        <v>30</v>
      </c>
      <c r="G1551" s="4" t="s">
        <v>31</v>
      </c>
      <c r="H1551" s="14"/>
      <c r="I1551" s="4" t="s">
        <v>32</v>
      </c>
      <c r="J1551" s="14"/>
      <c r="K1551" s="14"/>
      <c r="L1551" s="14"/>
    </row>
    <row r="1552" ht="14.25" hidden="1" customHeight="1">
      <c r="A1552" s="13" t="s">
        <v>4465</v>
      </c>
      <c r="B1552" s="4" t="s">
        <v>27</v>
      </c>
      <c r="C1552" s="4" t="s">
        <v>28</v>
      </c>
      <c r="D1552" s="4" t="s">
        <v>4466</v>
      </c>
      <c r="E1552" s="4">
        <v>3.118713141E9</v>
      </c>
      <c r="F1552" s="4" t="s">
        <v>30</v>
      </c>
      <c r="G1552" s="4" t="s">
        <v>35</v>
      </c>
      <c r="H1552" s="14"/>
      <c r="I1552" s="4" t="s">
        <v>32</v>
      </c>
      <c r="J1552" s="14"/>
      <c r="K1552" s="14"/>
      <c r="L1552" s="14"/>
    </row>
    <row r="1553" ht="14.25" customHeight="1">
      <c r="A1553" s="1" t="s">
        <v>4467</v>
      </c>
      <c r="B1553" s="2" t="s">
        <v>27</v>
      </c>
      <c r="C1553" s="2" t="s">
        <v>28</v>
      </c>
      <c r="D1553" s="2" t="s">
        <v>4468</v>
      </c>
      <c r="E1553" s="3" t="s">
        <v>4469</v>
      </c>
      <c r="F1553" s="4" t="s">
        <v>105</v>
      </c>
      <c r="G1553" s="4" t="s">
        <v>2711</v>
      </c>
      <c r="H1553" s="4" t="s">
        <v>2712</v>
      </c>
      <c r="I1553" s="4" t="s">
        <v>32</v>
      </c>
      <c r="J1553" s="6" t="s">
        <v>4470</v>
      </c>
      <c r="K1553" s="25">
        <v>10.0</v>
      </c>
      <c r="L1553" s="8" t="str">
        <f t="shared" ref="L1553:L1554" si="201">UPPER(G1553)</f>
        <v>ENVIGADO</v>
      </c>
      <c r="O1553" s="10"/>
    </row>
    <row r="1554" ht="14.25" customHeight="1">
      <c r="A1554" s="1" t="s">
        <v>4471</v>
      </c>
      <c r="B1554" s="2" t="s">
        <v>27</v>
      </c>
      <c r="C1554" s="2" t="s">
        <v>28</v>
      </c>
      <c r="D1554" s="2" t="s">
        <v>4472</v>
      </c>
      <c r="E1554" s="3" t="s">
        <v>921</v>
      </c>
      <c r="F1554" s="4" t="s">
        <v>69</v>
      </c>
      <c r="G1554" s="4" t="s">
        <v>69</v>
      </c>
      <c r="H1554" s="30"/>
      <c r="I1554" s="4" t="s">
        <v>51</v>
      </c>
      <c r="J1554" s="6" t="s">
        <v>803</v>
      </c>
      <c r="K1554" s="25">
        <v>7.0</v>
      </c>
      <c r="L1554" s="8" t="str">
        <f t="shared" si="201"/>
        <v>BOGOTA</v>
      </c>
      <c r="O1554" s="10"/>
    </row>
    <row r="1555" ht="14.25" hidden="1" customHeight="1">
      <c r="A1555" s="13" t="s">
        <v>4473</v>
      </c>
      <c r="B1555" s="4" t="s">
        <v>27</v>
      </c>
      <c r="C1555" s="4" t="s">
        <v>28</v>
      </c>
      <c r="D1555" s="4" t="s">
        <v>4474</v>
      </c>
      <c r="E1555" s="4">
        <v>3.14294672E9</v>
      </c>
      <c r="F1555" s="4" t="s">
        <v>30</v>
      </c>
      <c r="G1555" s="4" t="s">
        <v>35</v>
      </c>
      <c r="H1555" s="14"/>
      <c r="I1555" s="4" t="s">
        <v>32</v>
      </c>
      <c r="J1555" s="14"/>
      <c r="K1555" s="14"/>
      <c r="L1555" s="14"/>
    </row>
    <row r="1556" ht="14.25" customHeight="1">
      <c r="A1556" s="1" t="s">
        <v>4475</v>
      </c>
      <c r="B1556" s="2" t="s">
        <v>27</v>
      </c>
      <c r="C1556" s="2" t="s">
        <v>28</v>
      </c>
      <c r="D1556" s="2" t="s">
        <v>4476</v>
      </c>
      <c r="E1556" s="3" t="s">
        <v>1031</v>
      </c>
      <c r="F1556" s="4" t="s">
        <v>647</v>
      </c>
      <c r="G1556" s="4" t="s">
        <v>4477</v>
      </c>
      <c r="H1556" s="14"/>
      <c r="I1556" s="4" t="s">
        <v>51</v>
      </c>
      <c r="J1556" s="6" t="s">
        <v>4478</v>
      </c>
      <c r="K1556" s="25">
        <v>10.0</v>
      </c>
      <c r="L1556" s="8" t="str">
        <f>UPPER(G1556)</f>
        <v>AQUITANIA</v>
      </c>
      <c r="O1556" s="10"/>
    </row>
    <row r="1557" ht="14.25" hidden="1" customHeight="1">
      <c r="A1557" s="13" t="s">
        <v>4479</v>
      </c>
      <c r="B1557" s="4" t="s">
        <v>27</v>
      </c>
      <c r="C1557" s="4" t="s">
        <v>28</v>
      </c>
      <c r="D1557" s="4" t="s">
        <v>4480</v>
      </c>
      <c r="E1557" s="4">
        <v>3.118713141E9</v>
      </c>
      <c r="F1557" s="4" t="s">
        <v>30</v>
      </c>
      <c r="G1557" s="4" t="s">
        <v>35</v>
      </c>
      <c r="H1557" s="14"/>
      <c r="I1557" s="4" t="s">
        <v>32</v>
      </c>
      <c r="J1557" s="14"/>
      <c r="K1557" s="14"/>
      <c r="L1557" s="14"/>
    </row>
    <row r="1558" ht="14.25" hidden="1" customHeight="1">
      <c r="A1558" s="13" t="s">
        <v>4481</v>
      </c>
      <c r="B1558" s="4" t="s">
        <v>27</v>
      </c>
      <c r="C1558" s="4" t="s">
        <v>28</v>
      </c>
      <c r="D1558" s="4" t="s">
        <v>4482</v>
      </c>
      <c r="E1558" s="4">
        <v>3.123645498E9</v>
      </c>
      <c r="F1558" s="4" t="s">
        <v>30</v>
      </c>
      <c r="G1558" s="4" t="s">
        <v>35</v>
      </c>
      <c r="H1558" s="14"/>
      <c r="I1558" s="4" t="s">
        <v>32</v>
      </c>
      <c r="J1558" s="14"/>
      <c r="K1558" s="14"/>
      <c r="L1558" s="14"/>
    </row>
    <row r="1559" ht="14.25" customHeight="1">
      <c r="A1559" s="1" t="s">
        <v>4483</v>
      </c>
      <c r="B1559" s="2" t="s">
        <v>27</v>
      </c>
      <c r="C1559" s="2" t="s">
        <v>28</v>
      </c>
      <c r="D1559" s="2" t="s">
        <v>4484</v>
      </c>
      <c r="E1559" s="3" t="s">
        <v>4485</v>
      </c>
      <c r="F1559" s="4" t="s">
        <v>38</v>
      </c>
      <c r="G1559" s="4" t="s">
        <v>39</v>
      </c>
      <c r="H1559" s="4" t="s">
        <v>58</v>
      </c>
      <c r="I1559" s="4" t="s">
        <v>182</v>
      </c>
      <c r="J1559" s="6" t="s">
        <v>4486</v>
      </c>
      <c r="K1559" s="25">
        <v>8.0</v>
      </c>
      <c r="L1559" s="8" t="str">
        <f t="shared" ref="L1559:L1560" si="202">UPPER(G1559)</f>
        <v>BUCARAMANGA</v>
      </c>
      <c r="O1559" s="10"/>
    </row>
    <row r="1560" ht="14.25" customHeight="1">
      <c r="A1560" s="1" t="s">
        <v>4487</v>
      </c>
      <c r="B1560" s="2" t="s">
        <v>27</v>
      </c>
      <c r="C1560" s="2" t="s">
        <v>28</v>
      </c>
      <c r="D1560" s="2" t="s">
        <v>4488</v>
      </c>
      <c r="E1560" s="3" t="s">
        <v>4489</v>
      </c>
      <c r="F1560" s="4" t="s">
        <v>1318</v>
      </c>
      <c r="G1560" s="4" t="s">
        <v>4490</v>
      </c>
      <c r="H1560" s="4" t="s">
        <v>118</v>
      </c>
      <c r="I1560" s="4" t="s">
        <v>561</v>
      </c>
      <c r="J1560" s="6" t="s">
        <v>4491</v>
      </c>
      <c r="K1560" s="25">
        <v>5.0</v>
      </c>
      <c r="L1560" s="8" t="str">
        <f t="shared" si="202"/>
        <v>ITALIA</v>
      </c>
      <c r="O1560" s="10"/>
    </row>
    <row r="1561" ht="14.25" hidden="1" customHeight="1">
      <c r="A1561" s="13" t="s">
        <v>4492</v>
      </c>
      <c r="B1561" s="4" t="s">
        <v>27</v>
      </c>
      <c r="C1561" s="4" t="s">
        <v>28</v>
      </c>
      <c r="D1561" s="4" t="s">
        <v>4493</v>
      </c>
      <c r="E1561" s="4">
        <v>3.133733641E9</v>
      </c>
      <c r="F1561" s="4" t="s">
        <v>30</v>
      </c>
      <c r="G1561" s="4" t="s">
        <v>35</v>
      </c>
      <c r="H1561" s="14"/>
      <c r="I1561" s="4" t="s">
        <v>32</v>
      </c>
      <c r="J1561" s="14"/>
      <c r="K1561" s="14"/>
      <c r="L1561" s="14"/>
    </row>
    <row r="1562" ht="14.25" hidden="1" customHeight="1">
      <c r="A1562" s="13" t="s">
        <v>4494</v>
      </c>
      <c r="B1562" s="4" t="s">
        <v>27</v>
      </c>
      <c r="C1562" s="4" t="s">
        <v>28</v>
      </c>
      <c r="D1562" s="4" t="s">
        <v>4495</v>
      </c>
      <c r="E1562" s="4">
        <v>3.112886292E9</v>
      </c>
      <c r="F1562" s="4" t="s">
        <v>30</v>
      </c>
      <c r="G1562" s="4" t="s">
        <v>35</v>
      </c>
      <c r="H1562" s="14"/>
      <c r="I1562" s="4" t="s">
        <v>32</v>
      </c>
      <c r="J1562" s="14"/>
      <c r="K1562" s="14"/>
      <c r="L1562" s="14"/>
    </row>
    <row r="1563" ht="14.25" customHeight="1">
      <c r="A1563" s="1" t="s">
        <v>4496</v>
      </c>
      <c r="B1563" s="2" t="s">
        <v>27</v>
      </c>
      <c r="C1563" s="2" t="s">
        <v>28</v>
      </c>
      <c r="D1563" s="2" t="s">
        <v>4497</v>
      </c>
      <c r="E1563" s="3" t="s">
        <v>4498</v>
      </c>
      <c r="F1563" s="4" t="s">
        <v>38</v>
      </c>
      <c r="G1563" s="4" t="s">
        <v>113</v>
      </c>
      <c r="H1563" s="4" t="s">
        <v>357</v>
      </c>
      <c r="I1563" s="4" t="s">
        <v>358</v>
      </c>
      <c r="J1563" s="6" t="s">
        <v>1348</v>
      </c>
      <c r="K1563" s="25">
        <v>7.0</v>
      </c>
      <c r="L1563" s="8" t="str">
        <f t="shared" ref="L1563:L1564" si="203">UPPER(G1563)</f>
        <v>BARRANCABERMEJA</v>
      </c>
      <c r="O1563" s="10"/>
    </row>
    <row r="1564" ht="14.25" customHeight="1">
      <c r="A1564" s="1" t="s">
        <v>4499</v>
      </c>
      <c r="B1564" s="2" t="s">
        <v>27</v>
      </c>
      <c r="C1564" s="2" t="s">
        <v>28</v>
      </c>
      <c r="D1564" s="2" t="s">
        <v>4500</v>
      </c>
      <c r="E1564" s="3" t="s">
        <v>4501</v>
      </c>
      <c r="F1564" s="4" t="s">
        <v>38</v>
      </c>
      <c r="G1564" s="4" t="s">
        <v>39</v>
      </c>
      <c r="H1564" s="4" t="s">
        <v>40</v>
      </c>
      <c r="I1564" s="4" t="s">
        <v>76</v>
      </c>
      <c r="J1564" s="6" t="s">
        <v>887</v>
      </c>
      <c r="K1564" s="25">
        <v>9.0</v>
      </c>
      <c r="L1564" s="8" t="str">
        <f t="shared" si="203"/>
        <v>BUCARAMANGA</v>
      </c>
      <c r="O1564" s="10"/>
    </row>
    <row r="1565" ht="14.25" hidden="1" customHeight="1">
      <c r="A1565" s="13" t="s">
        <v>4502</v>
      </c>
      <c r="B1565" s="4" t="s">
        <v>27</v>
      </c>
      <c r="C1565" s="4" t="s">
        <v>28</v>
      </c>
      <c r="D1565" s="4" t="s">
        <v>4503</v>
      </c>
      <c r="E1565" s="4">
        <v>3.228791251E9</v>
      </c>
      <c r="F1565" s="4" t="s">
        <v>30</v>
      </c>
      <c r="G1565" s="4" t="s">
        <v>35</v>
      </c>
      <c r="H1565" s="14"/>
      <c r="I1565" s="4" t="s">
        <v>32</v>
      </c>
      <c r="J1565" s="14"/>
      <c r="K1565" s="14"/>
      <c r="L1565" s="14"/>
    </row>
    <row r="1566" ht="14.25" customHeight="1">
      <c r="A1566" s="1" t="s">
        <v>4504</v>
      </c>
      <c r="B1566" s="2" t="s">
        <v>27</v>
      </c>
      <c r="C1566" s="2" t="s">
        <v>28</v>
      </c>
      <c r="D1566" s="2" t="s">
        <v>4505</v>
      </c>
      <c r="E1566" s="3" t="s">
        <v>4506</v>
      </c>
      <c r="F1566" s="4" t="s">
        <v>38</v>
      </c>
      <c r="G1566" s="4" t="s">
        <v>81</v>
      </c>
      <c r="H1566" s="4" t="s">
        <v>118</v>
      </c>
      <c r="I1566" s="4" t="s">
        <v>561</v>
      </c>
      <c r="J1566" s="6" t="s">
        <v>4507</v>
      </c>
      <c r="K1566" s="25">
        <v>4.0</v>
      </c>
      <c r="L1566" s="8" t="str">
        <f t="shared" ref="L1566:L1568" si="204">UPPER(G1566)</f>
        <v>FLORIDABLANCA</v>
      </c>
      <c r="O1566" s="10"/>
    </row>
    <row r="1567" ht="14.25" customHeight="1">
      <c r="A1567" s="1" t="s">
        <v>4508</v>
      </c>
      <c r="B1567" s="2" t="s">
        <v>27</v>
      </c>
      <c r="C1567" s="2" t="s">
        <v>28</v>
      </c>
      <c r="D1567" s="2" t="s">
        <v>4509</v>
      </c>
      <c r="E1567" s="3" t="s">
        <v>4510</v>
      </c>
      <c r="F1567" s="4" t="s">
        <v>38</v>
      </c>
      <c r="G1567" s="4" t="s">
        <v>81</v>
      </c>
      <c r="H1567" s="4" t="s">
        <v>308</v>
      </c>
      <c r="I1567" s="4" t="s">
        <v>561</v>
      </c>
      <c r="J1567" s="6"/>
      <c r="K1567" s="7"/>
      <c r="L1567" s="8" t="str">
        <f t="shared" si="204"/>
        <v>FLORIDABLANCA</v>
      </c>
      <c r="M1567" s="9"/>
      <c r="N1567" s="11" t="s">
        <v>59</v>
      </c>
      <c r="O1567" s="10"/>
      <c r="P1567" s="11" t="s">
        <v>4109</v>
      </c>
    </row>
    <row r="1568" ht="14.25" customHeight="1">
      <c r="A1568" s="1" t="s">
        <v>4511</v>
      </c>
      <c r="B1568" s="2" t="s">
        <v>27</v>
      </c>
      <c r="C1568" s="2" t="s">
        <v>28</v>
      </c>
      <c r="D1568" s="2" t="s">
        <v>4512</v>
      </c>
      <c r="E1568" s="3" t="s">
        <v>4513</v>
      </c>
      <c r="F1568" s="4" t="s">
        <v>38</v>
      </c>
      <c r="G1568" s="4" t="s">
        <v>39</v>
      </c>
      <c r="H1568" s="4" t="s">
        <v>40</v>
      </c>
      <c r="I1568" s="4" t="s">
        <v>561</v>
      </c>
      <c r="J1568" s="6" t="s">
        <v>371</v>
      </c>
      <c r="K1568" s="25">
        <v>24.0</v>
      </c>
      <c r="L1568" s="8" t="str">
        <f t="shared" si="204"/>
        <v>BUCARAMANGA</v>
      </c>
      <c r="O1568" s="10"/>
    </row>
    <row r="1569" ht="14.25" hidden="1" customHeight="1">
      <c r="A1569" s="13" t="s">
        <v>4514</v>
      </c>
      <c r="B1569" s="4" t="s">
        <v>27</v>
      </c>
      <c r="C1569" s="4" t="s">
        <v>28</v>
      </c>
      <c r="D1569" s="4" t="s">
        <v>4515</v>
      </c>
      <c r="E1569" s="4">
        <v>3.125540939E9</v>
      </c>
      <c r="F1569" s="4" t="s">
        <v>30</v>
      </c>
      <c r="G1569" s="4" t="s">
        <v>35</v>
      </c>
      <c r="H1569" s="14"/>
      <c r="I1569" s="4" t="s">
        <v>32</v>
      </c>
      <c r="J1569" s="14"/>
      <c r="K1569" s="14"/>
      <c r="L1569" s="14"/>
    </row>
    <row r="1570" ht="14.25" customHeight="1">
      <c r="A1570" s="1" t="s">
        <v>4516</v>
      </c>
      <c r="B1570" s="2" t="s">
        <v>27</v>
      </c>
      <c r="C1570" s="2" t="s">
        <v>962</v>
      </c>
      <c r="D1570" s="2" t="s">
        <v>4517</v>
      </c>
      <c r="E1570" s="3" t="s">
        <v>4518</v>
      </c>
      <c r="F1570" s="4" t="s">
        <v>38</v>
      </c>
      <c r="G1570" s="4" t="s">
        <v>201</v>
      </c>
      <c r="H1570" s="14"/>
      <c r="I1570" s="4" t="s">
        <v>76</v>
      </c>
      <c r="J1570" s="6" t="s">
        <v>4519</v>
      </c>
      <c r="K1570" s="25">
        <v>7.0</v>
      </c>
      <c r="L1570" s="8" t="str">
        <f>UPPER(G1570)</f>
        <v>LEBRIJA</v>
      </c>
      <c r="O1570" s="10"/>
    </row>
    <row r="1571" ht="14.25" hidden="1" customHeight="1">
      <c r="A1571" s="13" t="s">
        <v>4520</v>
      </c>
      <c r="B1571" s="4" t="s">
        <v>27</v>
      </c>
      <c r="C1571" s="4" t="s">
        <v>28</v>
      </c>
      <c r="D1571" s="4" t="s">
        <v>4521</v>
      </c>
      <c r="E1571" s="4">
        <v>3.228301978E9</v>
      </c>
      <c r="F1571" s="4" t="s">
        <v>30</v>
      </c>
      <c r="G1571" s="4" t="s">
        <v>35</v>
      </c>
      <c r="H1571" s="14"/>
      <c r="I1571" s="4" t="s">
        <v>32</v>
      </c>
      <c r="J1571" s="14"/>
      <c r="K1571" s="14"/>
      <c r="L1571" s="14"/>
    </row>
    <row r="1572" ht="14.25" hidden="1" customHeight="1">
      <c r="A1572" s="13" t="s">
        <v>4522</v>
      </c>
      <c r="B1572" s="4" t="s">
        <v>27</v>
      </c>
      <c r="C1572" s="4" t="s">
        <v>28</v>
      </c>
      <c r="D1572" s="4" t="s">
        <v>4523</v>
      </c>
      <c r="E1572" s="4">
        <v>3.118012734E9</v>
      </c>
      <c r="F1572" s="4" t="s">
        <v>30</v>
      </c>
      <c r="G1572" s="4" t="s">
        <v>35</v>
      </c>
      <c r="H1572" s="14"/>
      <c r="I1572" s="4" t="s">
        <v>32</v>
      </c>
      <c r="J1572" s="14"/>
      <c r="K1572" s="14"/>
      <c r="L1572" s="14"/>
    </row>
    <row r="1573" ht="14.25" customHeight="1">
      <c r="A1573" s="1" t="s">
        <v>4524</v>
      </c>
      <c r="B1573" s="2" t="s">
        <v>27</v>
      </c>
      <c r="C1573" s="2" t="s">
        <v>28</v>
      </c>
      <c r="D1573" s="2" t="s">
        <v>4525</v>
      </c>
      <c r="E1573" s="3" t="s">
        <v>4526</v>
      </c>
      <c r="F1573" s="4" t="s">
        <v>38</v>
      </c>
      <c r="G1573" s="4" t="s">
        <v>39</v>
      </c>
      <c r="H1573" s="14"/>
      <c r="I1573" s="4" t="s">
        <v>540</v>
      </c>
      <c r="J1573" s="6" t="s">
        <v>371</v>
      </c>
      <c r="K1573" s="25">
        <v>17.0</v>
      </c>
      <c r="L1573" s="8" t="str">
        <f t="shared" ref="L1573:L1576" si="205">UPPER(G1573)</f>
        <v>BUCARAMANGA</v>
      </c>
      <c r="O1573" s="10"/>
    </row>
    <row r="1574" ht="14.25" customHeight="1">
      <c r="A1574" s="1" t="s">
        <v>4527</v>
      </c>
      <c r="B1574" s="2" t="s">
        <v>27</v>
      </c>
      <c r="C1574" s="2" t="s">
        <v>28</v>
      </c>
      <c r="D1574" s="2" t="s">
        <v>4528</v>
      </c>
      <c r="E1574" s="3" t="s">
        <v>4529</v>
      </c>
      <c r="F1574" s="4" t="s">
        <v>38</v>
      </c>
      <c r="G1574" s="4" t="s">
        <v>113</v>
      </c>
      <c r="H1574" s="14"/>
      <c r="I1574" s="4" t="s">
        <v>1373</v>
      </c>
      <c r="J1574" s="6" t="s">
        <v>4530</v>
      </c>
      <c r="K1574" s="25">
        <v>18.0</v>
      </c>
      <c r="L1574" s="8" t="str">
        <f t="shared" si="205"/>
        <v>BARRANCABERMEJA</v>
      </c>
      <c r="O1574" s="10"/>
    </row>
    <row r="1575" ht="14.25" customHeight="1">
      <c r="A1575" s="1" t="s">
        <v>4531</v>
      </c>
      <c r="B1575" s="2" t="s">
        <v>27</v>
      </c>
      <c r="C1575" s="2" t="s">
        <v>28</v>
      </c>
      <c r="D1575" s="2" t="s">
        <v>4532</v>
      </c>
      <c r="E1575" s="3" t="s">
        <v>4533</v>
      </c>
      <c r="F1575" s="4" t="s">
        <v>38</v>
      </c>
      <c r="G1575" s="4" t="s">
        <v>113</v>
      </c>
      <c r="H1575" s="14"/>
      <c r="I1575" s="4" t="s">
        <v>358</v>
      </c>
      <c r="J1575" s="6" t="s">
        <v>3919</v>
      </c>
      <c r="K1575" s="25">
        <v>10.0</v>
      </c>
      <c r="L1575" s="8" t="str">
        <f t="shared" si="205"/>
        <v>BARRANCABERMEJA</v>
      </c>
      <c r="O1575" s="10"/>
    </row>
    <row r="1576" ht="14.25" customHeight="1">
      <c r="A1576" s="1" t="s">
        <v>4534</v>
      </c>
      <c r="B1576" s="2" t="s">
        <v>27</v>
      </c>
      <c r="C1576" s="2" t="s">
        <v>28</v>
      </c>
      <c r="D1576" s="2" t="s">
        <v>4535</v>
      </c>
      <c r="E1576" s="3" t="s">
        <v>4536</v>
      </c>
      <c r="F1576" s="4" t="s">
        <v>38</v>
      </c>
      <c r="G1576" s="4" t="s">
        <v>113</v>
      </c>
      <c r="H1576" s="14"/>
      <c r="I1576" s="4" t="s">
        <v>358</v>
      </c>
      <c r="J1576" s="6" t="s">
        <v>4537</v>
      </c>
      <c r="K1576" s="7">
        <v>6.0</v>
      </c>
      <c r="L1576" s="8" t="str">
        <f t="shared" si="205"/>
        <v>BARRANCABERMEJA</v>
      </c>
      <c r="O1576" s="10"/>
    </row>
    <row r="1577" ht="14.25" hidden="1" customHeight="1">
      <c r="A1577" s="13" t="s">
        <v>4538</v>
      </c>
      <c r="B1577" s="4" t="s">
        <v>27</v>
      </c>
      <c r="C1577" s="4" t="s">
        <v>28</v>
      </c>
      <c r="D1577" s="4" t="s">
        <v>4539</v>
      </c>
      <c r="E1577" s="4">
        <v>3.23450271E9</v>
      </c>
      <c r="F1577" s="4" t="s">
        <v>30</v>
      </c>
      <c r="G1577" s="4" t="s">
        <v>35</v>
      </c>
      <c r="H1577" s="14"/>
      <c r="I1577" s="4" t="s">
        <v>32</v>
      </c>
      <c r="J1577" s="14"/>
      <c r="K1577" s="14"/>
      <c r="L1577" s="14"/>
    </row>
    <row r="1578" ht="14.25" customHeight="1">
      <c r="A1578" s="1" t="s">
        <v>4540</v>
      </c>
      <c r="B1578" s="2" t="s">
        <v>27</v>
      </c>
      <c r="C1578" s="2" t="s">
        <v>28</v>
      </c>
      <c r="D1578" s="2" t="s">
        <v>4541</v>
      </c>
      <c r="E1578" s="3" t="s">
        <v>4542</v>
      </c>
      <c r="F1578" s="4" t="s">
        <v>38</v>
      </c>
      <c r="G1578" s="4" t="s">
        <v>113</v>
      </c>
      <c r="H1578" s="14"/>
      <c r="I1578" s="4" t="s">
        <v>76</v>
      </c>
      <c r="J1578" s="6" t="s">
        <v>4543</v>
      </c>
      <c r="K1578" s="25">
        <v>4.0</v>
      </c>
      <c r="L1578" s="8" t="str">
        <f>UPPER(G1578)</f>
        <v>BARRANCABERMEJA</v>
      </c>
      <c r="O1578" s="10"/>
    </row>
    <row r="1579" ht="14.25" hidden="1" customHeight="1">
      <c r="A1579" s="13" t="s">
        <v>4544</v>
      </c>
      <c r="B1579" s="4" t="s">
        <v>27</v>
      </c>
      <c r="C1579" s="4" t="s">
        <v>28</v>
      </c>
      <c r="D1579" s="4" t="s">
        <v>4545</v>
      </c>
      <c r="E1579" s="4">
        <v>3.229457091E9</v>
      </c>
      <c r="F1579" s="4" t="s">
        <v>30</v>
      </c>
      <c r="G1579" s="4" t="s">
        <v>35</v>
      </c>
      <c r="H1579" s="14"/>
      <c r="I1579" s="4" t="s">
        <v>32</v>
      </c>
      <c r="J1579" s="14"/>
      <c r="K1579" s="14"/>
      <c r="L1579" s="14"/>
    </row>
    <row r="1580" ht="14.25" hidden="1" customHeight="1">
      <c r="A1580" s="13" t="s">
        <v>4546</v>
      </c>
      <c r="B1580" s="4" t="s">
        <v>27</v>
      </c>
      <c r="C1580" s="4" t="s">
        <v>28</v>
      </c>
      <c r="D1580" s="4" t="s">
        <v>4547</v>
      </c>
      <c r="E1580" s="4">
        <v>3.118713141E9</v>
      </c>
      <c r="F1580" s="4" t="s">
        <v>30</v>
      </c>
      <c r="G1580" s="4" t="s">
        <v>35</v>
      </c>
      <c r="H1580" s="14"/>
      <c r="I1580" s="4" t="s">
        <v>32</v>
      </c>
      <c r="J1580" s="14"/>
      <c r="K1580" s="14"/>
      <c r="L1580" s="14"/>
    </row>
    <row r="1581" ht="14.25" hidden="1" customHeight="1">
      <c r="A1581" s="13" t="s">
        <v>4548</v>
      </c>
      <c r="B1581" s="4" t="s">
        <v>27</v>
      </c>
      <c r="C1581" s="4" t="s">
        <v>28</v>
      </c>
      <c r="D1581" s="4" t="s">
        <v>4549</v>
      </c>
      <c r="E1581" s="4">
        <v>3.14294672E9</v>
      </c>
      <c r="F1581" s="4" t="s">
        <v>30</v>
      </c>
      <c r="G1581" s="4" t="s">
        <v>35</v>
      </c>
      <c r="H1581" s="14"/>
      <c r="I1581" s="4" t="s">
        <v>32</v>
      </c>
      <c r="J1581" s="14"/>
      <c r="K1581" s="14"/>
      <c r="L1581" s="14"/>
    </row>
    <row r="1582" ht="14.25" hidden="1" customHeight="1">
      <c r="A1582" s="13" t="s">
        <v>4550</v>
      </c>
      <c r="B1582" s="4" t="s">
        <v>27</v>
      </c>
      <c r="C1582" s="4" t="s">
        <v>28</v>
      </c>
      <c r="D1582" s="4" t="s">
        <v>4551</v>
      </c>
      <c r="E1582" s="4">
        <v>3.124295466E9</v>
      </c>
      <c r="F1582" s="4" t="s">
        <v>30</v>
      </c>
      <c r="G1582" s="4" t="s">
        <v>35</v>
      </c>
      <c r="H1582" s="14"/>
      <c r="I1582" s="4" t="s">
        <v>32</v>
      </c>
      <c r="J1582" s="14"/>
      <c r="K1582" s="14"/>
      <c r="L1582" s="14"/>
    </row>
    <row r="1583" ht="14.25" customHeight="1">
      <c r="A1583" s="1" t="s">
        <v>4552</v>
      </c>
      <c r="B1583" s="2" t="s">
        <v>27</v>
      </c>
      <c r="C1583" s="2" t="s">
        <v>28</v>
      </c>
      <c r="D1583" s="2" t="s">
        <v>4553</v>
      </c>
      <c r="E1583" s="3" t="s">
        <v>4554</v>
      </c>
      <c r="F1583" s="4" t="s">
        <v>69</v>
      </c>
      <c r="G1583" s="4" t="s">
        <v>69</v>
      </c>
      <c r="H1583" s="14"/>
      <c r="I1583" s="4" t="s">
        <v>182</v>
      </c>
      <c r="J1583" s="6" t="s">
        <v>4555</v>
      </c>
      <c r="K1583" s="25">
        <v>41.0</v>
      </c>
      <c r="L1583" s="8" t="str">
        <f t="shared" ref="L1583:L1584" si="206">UPPER(G1583)</f>
        <v>BOGOTA</v>
      </c>
      <c r="O1583" s="10"/>
    </row>
    <row r="1584" ht="14.25" customHeight="1">
      <c r="A1584" s="1" t="s">
        <v>4556</v>
      </c>
      <c r="B1584" s="2" t="s">
        <v>27</v>
      </c>
      <c r="C1584" s="2" t="s">
        <v>28</v>
      </c>
      <c r="D1584" s="2" t="s">
        <v>4557</v>
      </c>
      <c r="E1584" s="3" t="s">
        <v>4558</v>
      </c>
      <c r="F1584" s="4" t="s">
        <v>38</v>
      </c>
      <c r="G1584" s="4" t="s">
        <v>39</v>
      </c>
      <c r="H1584" s="4" t="s">
        <v>58</v>
      </c>
      <c r="I1584" s="4" t="s">
        <v>561</v>
      </c>
      <c r="J1584" s="6" t="s">
        <v>723</v>
      </c>
      <c r="K1584" s="25">
        <v>11.0</v>
      </c>
      <c r="L1584" s="8" t="str">
        <f t="shared" si="206"/>
        <v>BUCARAMANGA</v>
      </c>
      <c r="O1584" s="10"/>
    </row>
    <row r="1585" ht="14.25" hidden="1" customHeight="1">
      <c r="A1585" s="13" t="s">
        <v>4559</v>
      </c>
      <c r="B1585" s="4" t="s">
        <v>27</v>
      </c>
      <c r="C1585" s="4" t="s">
        <v>28</v>
      </c>
      <c r="D1585" s="4" t="s">
        <v>4560</v>
      </c>
      <c r="E1585" s="4">
        <v>3.227649445E9</v>
      </c>
      <c r="F1585" s="4" t="s">
        <v>30</v>
      </c>
      <c r="G1585" s="4" t="s">
        <v>35</v>
      </c>
      <c r="H1585" s="14"/>
      <c r="I1585" s="4" t="s">
        <v>32</v>
      </c>
      <c r="J1585" s="14"/>
      <c r="K1585" s="14"/>
      <c r="L1585" s="14"/>
    </row>
    <row r="1586" ht="14.25" customHeight="1">
      <c r="A1586" s="1" t="s">
        <v>4561</v>
      </c>
      <c r="B1586" s="2" t="s">
        <v>27</v>
      </c>
      <c r="C1586" s="2" t="s">
        <v>28</v>
      </c>
      <c r="D1586" s="2" t="s">
        <v>4562</v>
      </c>
      <c r="E1586" s="3" t="s">
        <v>4563</v>
      </c>
      <c r="F1586" s="4" t="s">
        <v>69</v>
      </c>
      <c r="G1586" s="4" t="s">
        <v>69</v>
      </c>
      <c r="H1586" s="14"/>
      <c r="I1586" s="4" t="s">
        <v>182</v>
      </c>
      <c r="J1586" s="6" t="s">
        <v>4564</v>
      </c>
      <c r="K1586" s="25">
        <v>26.0</v>
      </c>
      <c r="L1586" s="8" t="str">
        <f t="shared" ref="L1586:L1587" si="207">UPPER(G1586)</f>
        <v>BOGOTA</v>
      </c>
      <c r="O1586" s="10"/>
    </row>
    <row r="1587" ht="14.25" customHeight="1">
      <c r="A1587" s="1" t="s">
        <v>4565</v>
      </c>
      <c r="B1587" s="2" t="s">
        <v>4566</v>
      </c>
      <c r="C1587" s="2" t="s">
        <v>28</v>
      </c>
      <c r="D1587" s="2" t="s">
        <v>4567</v>
      </c>
      <c r="E1587" s="3" t="s">
        <v>4568</v>
      </c>
      <c r="F1587" s="4" t="s">
        <v>38</v>
      </c>
      <c r="G1587" s="4" t="s">
        <v>81</v>
      </c>
      <c r="H1587" s="4" t="s">
        <v>58</v>
      </c>
      <c r="I1587" s="4" t="s">
        <v>540</v>
      </c>
      <c r="J1587" s="6" t="s">
        <v>411</v>
      </c>
      <c r="K1587" s="25">
        <v>9.0</v>
      </c>
      <c r="L1587" s="8" t="str">
        <f t="shared" si="207"/>
        <v>FLORIDABLANCA</v>
      </c>
      <c r="O1587" s="10"/>
    </row>
    <row r="1588" ht="14.25" hidden="1" customHeight="1">
      <c r="A1588" s="13" t="s">
        <v>4569</v>
      </c>
      <c r="B1588" s="4" t="s">
        <v>27</v>
      </c>
      <c r="C1588" s="4" t="s">
        <v>28</v>
      </c>
      <c r="D1588" s="4" t="s">
        <v>4570</v>
      </c>
      <c r="E1588" s="4">
        <v>3.125007711E9</v>
      </c>
      <c r="F1588" s="4" t="s">
        <v>30</v>
      </c>
      <c r="G1588" s="4" t="s">
        <v>35</v>
      </c>
      <c r="H1588" s="14"/>
      <c r="I1588" s="4" t="s">
        <v>32</v>
      </c>
      <c r="J1588" s="14"/>
      <c r="K1588" s="14"/>
      <c r="L1588" s="14"/>
    </row>
    <row r="1589" ht="14.25" customHeight="1">
      <c r="A1589" s="1" t="s">
        <v>4571</v>
      </c>
      <c r="B1589" s="2" t="s">
        <v>27</v>
      </c>
      <c r="C1589" s="2" t="s">
        <v>28</v>
      </c>
      <c r="D1589" s="2" t="s">
        <v>4572</v>
      </c>
      <c r="E1589" s="3" t="s">
        <v>4573</v>
      </c>
      <c r="F1589" s="4" t="s">
        <v>38</v>
      </c>
      <c r="G1589" s="4" t="s">
        <v>39</v>
      </c>
      <c r="H1589" s="14"/>
      <c r="I1589" s="4" t="s">
        <v>76</v>
      </c>
      <c r="J1589" s="6"/>
      <c r="K1589" s="7"/>
      <c r="L1589" s="8" t="str">
        <f>UPPER(G1589)</f>
        <v>BUCARAMANGA</v>
      </c>
      <c r="M1589" s="9"/>
      <c r="N1589" s="11" t="s">
        <v>59</v>
      </c>
      <c r="O1589" s="10"/>
      <c r="P1589" s="11" t="s">
        <v>4109</v>
      </c>
    </row>
    <row r="1590" ht="14.25" hidden="1" customHeight="1">
      <c r="A1590" s="13" t="s">
        <v>4574</v>
      </c>
      <c r="B1590" s="4" t="s">
        <v>27</v>
      </c>
      <c r="C1590" s="4" t="s">
        <v>28</v>
      </c>
      <c r="D1590" s="4" t="s">
        <v>4575</v>
      </c>
      <c r="E1590" s="4">
        <v>3.229457091E9</v>
      </c>
      <c r="F1590" s="4" t="s">
        <v>30</v>
      </c>
      <c r="G1590" s="4" t="s">
        <v>35</v>
      </c>
      <c r="H1590" s="14"/>
      <c r="I1590" s="4" t="s">
        <v>32</v>
      </c>
      <c r="J1590" s="14"/>
      <c r="K1590" s="14"/>
      <c r="L1590" s="14"/>
    </row>
    <row r="1591" ht="14.25" customHeight="1">
      <c r="A1591" s="1" t="s">
        <v>4576</v>
      </c>
      <c r="B1591" s="2" t="s">
        <v>27</v>
      </c>
      <c r="C1591" s="2" t="s">
        <v>66</v>
      </c>
      <c r="D1591" s="2" t="s">
        <v>4577</v>
      </c>
      <c r="E1591" s="3" t="s">
        <v>4578</v>
      </c>
      <c r="F1591" s="4" t="s">
        <v>38</v>
      </c>
      <c r="G1591" s="4" t="s">
        <v>39</v>
      </c>
      <c r="H1591" s="4" t="s">
        <v>229</v>
      </c>
      <c r="I1591" s="4" t="s">
        <v>76</v>
      </c>
      <c r="J1591" s="6" t="s">
        <v>1199</v>
      </c>
      <c r="K1591" s="25">
        <v>16.0</v>
      </c>
      <c r="L1591" s="8" t="str">
        <f t="shared" ref="L1591:L1593" si="208">UPPER(G1591)</f>
        <v>BUCARAMANGA</v>
      </c>
      <c r="O1591" s="10"/>
    </row>
    <row r="1592" ht="14.25" customHeight="1">
      <c r="A1592" s="1" t="s">
        <v>4579</v>
      </c>
      <c r="B1592" s="2" t="s">
        <v>27</v>
      </c>
      <c r="C1592" s="2" t="s">
        <v>28</v>
      </c>
      <c r="D1592" s="2" t="s">
        <v>4580</v>
      </c>
      <c r="E1592" s="3" t="s">
        <v>4581</v>
      </c>
      <c r="F1592" s="4" t="s">
        <v>38</v>
      </c>
      <c r="G1592" s="4" t="s">
        <v>39</v>
      </c>
      <c r="H1592" s="14"/>
      <c r="I1592" s="4" t="s">
        <v>76</v>
      </c>
      <c r="J1592" s="6" t="s">
        <v>4582</v>
      </c>
      <c r="K1592" s="25">
        <v>12.0</v>
      </c>
      <c r="L1592" s="8" t="str">
        <f t="shared" si="208"/>
        <v>BUCARAMANGA</v>
      </c>
      <c r="O1592" s="10"/>
    </row>
    <row r="1593" ht="14.25" customHeight="1">
      <c r="A1593" s="1" t="s">
        <v>4583</v>
      </c>
      <c r="B1593" s="2" t="s">
        <v>27</v>
      </c>
      <c r="C1593" s="2" t="s">
        <v>28</v>
      </c>
      <c r="D1593" s="2" t="s">
        <v>4584</v>
      </c>
      <c r="E1593" s="3" t="s">
        <v>4585</v>
      </c>
      <c r="F1593" s="4" t="s">
        <v>38</v>
      </c>
      <c r="G1593" s="4" t="s">
        <v>113</v>
      </c>
      <c r="H1593" s="14"/>
      <c r="I1593" s="4" t="s">
        <v>540</v>
      </c>
      <c r="J1593" s="6" t="s">
        <v>4586</v>
      </c>
      <c r="K1593" s="25">
        <v>4.0</v>
      </c>
      <c r="L1593" s="8" t="str">
        <f t="shared" si="208"/>
        <v>BARRANCABERMEJA</v>
      </c>
      <c r="O1593" s="10"/>
    </row>
    <row r="1594" ht="14.25" hidden="1" customHeight="1">
      <c r="A1594" s="13" t="s">
        <v>4587</v>
      </c>
      <c r="B1594" s="4" t="s">
        <v>27</v>
      </c>
      <c r="C1594" s="4" t="s">
        <v>28</v>
      </c>
      <c r="D1594" s="4" t="s">
        <v>4588</v>
      </c>
      <c r="E1594" s="4">
        <v>3.229457091E9</v>
      </c>
      <c r="F1594" s="4" t="s">
        <v>30</v>
      </c>
      <c r="G1594" s="4" t="s">
        <v>31</v>
      </c>
      <c r="H1594" s="14"/>
      <c r="I1594" s="4" t="s">
        <v>32</v>
      </c>
      <c r="J1594" s="14"/>
      <c r="K1594" s="14"/>
      <c r="L1594" s="14"/>
    </row>
    <row r="1595" ht="14.25" hidden="1" customHeight="1">
      <c r="A1595" s="13" t="s">
        <v>4589</v>
      </c>
      <c r="B1595" s="4" t="s">
        <v>27</v>
      </c>
      <c r="C1595" s="4" t="s">
        <v>28</v>
      </c>
      <c r="D1595" s="4" t="s">
        <v>4590</v>
      </c>
      <c r="E1595" s="4">
        <v>3.202040092E9</v>
      </c>
      <c r="F1595" s="4" t="s">
        <v>30</v>
      </c>
      <c r="G1595" s="4" t="s">
        <v>35</v>
      </c>
      <c r="H1595" s="14"/>
      <c r="I1595" s="4" t="s">
        <v>32</v>
      </c>
      <c r="J1595" s="14"/>
      <c r="K1595" s="14"/>
      <c r="L1595" s="14"/>
    </row>
    <row r="1596" ht="14.25" customHeight="1">
      <c r="A1596" s="1" t="s">
        <v>4591</v>
      </c>
      <c r="B1596" s="2" t="s">
        <v>27</v>
      </c>
      <c r="C1596" s="2" t="s">
        <v>28</v>
      </c>
      <c r="D1596" s="2" t="s">
        <v>4592</v>
      </c>
      <c r="E1596" s="3" t="s">
        <v>4593</v>
      </c>
      <c r="F1596" s="4" t="s">
        <v>38</v>
      </c>
      <c r="G1596" s="4" t="s">
        <v>81</v>
      </c>
      <c r="H1596" s="4" t="s">
        <v>229</v>
      </c>
      <c r="I1596" s="4" t="s">
        <v>76</v>
      </c>
      <c r="J1596" s="6" t="s">
        <v>388</v>
      </c>
      <c r="K1596" s="25">
        <v>14.0</v>
      </c>
      <c r="L1596" s="8" t="str">
        <f t="shared" ref="L1596:L1601" si="209">UPPER(G1596)</f>
        <v>FLORIDABLANCA</v>
      </c>
      <c r="O1596" s="10"/>
    </row>
    <row r="1597" ht="14.25" customHeight="1">
      <c r="A1597" s="1" t="s">
        <v>4594</v>
      </c>
      <c r="B1597" s="2" t="s">
        <v>27</v>
      </c>
      <c r="C1597" s="2" t="s">
        <v>28</v>
      </c>
      <c r="D1597" s="2" t="s">
        <v>4595</v>
      </c>
      <c r="E1597" s="3" t="s">
        <v>442</v>
      </c>
      <c r="F1597" s="4" t="s">
        <v>38</v>
      </c>
      <c r="G1597" s="4" t="s">
        <v>201</v>
      </c>
      <c r="H1597" s="14"/>
      <c r="I1597" s="4" t="s">
        <v>540</v>
      </c>
      <c r="J1597" s="6" t="s">
        <v>1237</v>
      </c>
      <c r="K1597" s="25">
        <v>24.0</v>
      </c>
      <c r="L1597" s="8" t="str">
        <f t="shared" si="209"/>
        <v>LEBRIJA</v>
      </c>
      <c r="O1597" s="10"/>
    </row>
    <row r="1598" ht="14.25" customHeight="1">
      <c r="A1598" s="1" t="s">
        <v>4596</v>
      </c>
      <c r="B1598" s="2" t="s">
        <v>27</v>
      </c>
      <c r="C1598" s="2" t="s">
        <v>66</v>
      </c>
      <c r="D1598" s="2" t="s">
        <v>4597</v>
      </c>
      <c r="E1598" s="3" t="s">
        <v>442</v>
      </c>
      <c r="F1598" s="4" t="s">
        <v>38</v>
      </c>
      <c r="G1598" s="4" t="s">
        <v>201</v>
      </c>
      <c r="H1598" s="14"/>
      <c r="I1598" s="4" t="s">
        <v>76</v>
      </c>
      <c r="J1598" s="6"/>
      <c r="K1598" s="7"/>
      <c r="L1598" s="8" t="str">
        <f t="shared" si="209"/>
        <v>LEBRIJA</v>
      </c>
      <c r="M1598" s="9"/>
      <c r="N1598" s="11" t="s">
        <v>59</v>
      </c>
      <c r="O1598" s="10"/>
      <c r="P1598" s="11" t="s">
        <v>4598</v>
      </c>
    </row>
    <row r="1599" ht="14.25" customHeight="1">
      <c r="A1599" s="1" t="s">
        <v>4599</v>
      </c>
      <c r="B1599" s="2" t="s">
        <v>27</v>
      </c>
      <c r="C1599" s="2" t="s">
        <v>28</v>
      </c>
      <c r="D1599" s="2" t="s">
        <v>4600</v>
      </c>
      <c r="E1599" s="3" t="s">
        <v>4601</v>
      </c>
      <c r="F1599" s="4" t="s">
        <v>38</v>
      </c>
      <c r="G1599" s="4" t="s">
        <v>81</v>
      </c>
      <c r="H1599" s="14"/>
      <c r="I1599" s="4" t="s">
        <v>561</v>
      </c>
      <c r="J1599" s="6" t="s">
        <v>205</v>
      </c>
      <c r="K1599" s="25">
        <v>11.0</v>
      </c>
      <c r="L1599" s="8" t="str">
        <f t="shared" si="209"/>
        <v>FLORIDABLANCA</v>
      </c>
      <c r="O1599" s="10"/>
    </row>
    <row r="1600" ht="14.25" customHeight="1">
      <c r="A1600" s="1" t="s">
        <v>4602</v>
      </c>
      <c r="B1600" s="2" t="s">
        <v>27</v>
      </c>
      <c r="C1600" s="2" t="s">
        <v>28</v>
      </c>
      <c r="D1600" s="2" t="s">
        <v>4603</v>
      </c>
      <c r="E1600" s="3" t="s">
        <v>4604</v>
      </c>
      <c r="F1600" s="4" t="s">
        <v>69</v>
      </c>
      <c r="G1600" s="4" t="s">
        <v>69</v>
      </c>
      <c r="H1600" s="14"/>
      <c r="I1600" s="4" t="s">
        <v>182</v>
      </c>
      <c r="J1600" s="6" t="s">
        <v>4605</v>
      </c>
      <c r="K1600" s="25">
        <v>12.0</v>
      </c>
      <c r="L1600" s="8" t="str">
        <f t="shared" si="209"/>
        <v>BOGOTA</v>
      </c>
      <c r="O1600" s="10"/>
    </row>
    <row r="1601" ht="14.25" customHeight="1">
      <c r="A1601" s="1" t="s">
        <v>4606</v>
      </c>
      <c r="B1601" s="2" t="s">
        <v>27</v>
      </c>
      <c r="C1601" s="2" t="s">
        <v>28</v>
      </c>
      <c r="D1601" s="2" t="s">
        <v>4607</v>
      </c>
      <c r="E1601" s="3" t="s">
        <v>4608</v>
      </c>
      <c r="F1601" s="4" t="s">
        <v>69</v>
      </c>
      <c r="G1601" s="4" t="s">
        <v>69</v>
      </c>
      <c r="H1601" s="14"/>
      <c r="I1601" s="4" t="s">
        <v>51</v>
      </c>
      <c r="J1601" s="6" t="s">
        <v>4609</v>
      </c>
      <c r="K1601" s="25">
        <v>15.0</v>
      </c>
      <c r="L1601" s="8" t="str">
        <f t="shared" si="209"/>
        <v>BOGOTA</v>
      </c>
      <c r="O1601" s="10"/>
    </row>
    <row r="1602" ht="14.25" hidden="1" customHeight="1">
      <c r="A1602" s="13" t="s">
        <v>4610</v>
      </c>
      <c r="B1602" s="4" t="s">
        <v>27</v>
      </c>
      <c r="C1602" s="4" t="s">
        <v>28</v>
      </c>
      <c r="D1602" s="4" t="s">
        <v>4611</v>
      </c>
      <c r="E1602" s="4">
        <v>3.132541018E9</v>
      </c>
      <c r="F1602" s="4" t="s">
        <v>30</v>
      </c>
      <c r="G1602" s="4" t="s">
        <v>31</v>
      </c>
      <c r="H1602" s="14"/>
      <c r="I1602" s="4" t="s">
        <v>32</v>
      </c>
      <c r="J1602" s="14"/>
      <c r="K1602" s="14"/>
      <c r="L1602" s="14"/>
    </row>
    <row r="1603" ht="14.25" customHeight="1">
      <c r="A1603" s="1" t="s">
        <v>4612</v>
      </c>
      <c r="B1603" s="2" t="s">
        <v>27</v>
      </c>
      <c r="C1603" s="2" t="s">
        <v>28</v>
      </c>
      <c r="D1603" s="2" t="s">
        <v>4613</v>
      </c>
      <c r="E1603" s="3" t="s">
        <v>4614</v>
      </c>
      <c r="F1603" s="4" t="s">
        <v>38</v>
      </c>
      <c r="G1603" s="4" t="s">
        <v>81</v>
      </c>
      <c r="H1603" s="14"/>
      <c r="I1603" s="4" t="s">
        <v>164</v>
      </c>
      <c r="J1603" s="6" t="s">
        <v>411</v>
      </c>
      <c r="K1603" s="25">
        <v>20.0</v>
      </c>
      <c r="L1603" s="8" t="str">
        <f t="shared" ref="L1603:L1610" si="210">UPPER(G1603)</f>
        <v>FLORIDABLANCA</v>
      </c>
      <c r="O1603" s="10"/>
    </row>
    <row r="1604" ht="14.25" customHeight="1">
      <c r="A1604" s="1" t="s">
        <v>4615</v>
      </c>
      <c r="B1604" s="2" t="s">
        <v>27</v>
      </c>
      <c r="C1604" s="2" t="s">
        <v>28</v>
      </c>
      <c r="D1604" s="2" t="s">
        <v>4616</v>
      </c>
      <c r="E1604" s="3" t="s">
        <v>4617</v>
      </c>
      <c r="F1604" s="4" t="s">
        <v>38</v>
      </c>
      <c r="G1604" s="4" t="s">
        <v>75</v>
      </c>
      <c r="H1604" s="14"/>
      <c r="I1604" s="4" t="s">
        <v>51</v>
      </c>
      <c r="J1604" s="6" t="s">
        <v>273</v>
      </c>
      <c r="K1604" s="25">
        <v>13.0</v>
      </c>
      <c r="L1604" s="8" t="str">
        <f t="shared" si="210"/>
        <v>GIRON</v>
      </c>
      <c r="O1604" s="10"/>
    </row>
    <row r="1605" ht="14.25" customHeight="1">
      <c r="A1605" s="1" t="s">
        <v>4618</v>
      </c>
      <c r="B1605" s="2" t="s">
        <v>27</v>
      </c>
      <c r="C1605" s="2" t="s">
        <v>28</v>
      </c>
      <c r="D1605" s="2" t="s">
        <v>4619</v>
      </c>
      <c r="E1605" s="3" t="s">
        <v>4620</v>
      </c>
      <c r="F1605" s="4" t="s">
        <v>38</v>
      </c>
      <c r="G1605" s="4" t="s">
        <v>39</v>
      </c>
      <c r="H1605" s="14"/>
      <c r="I1605" s="4" t="s">
        <v>76</v>
      </c>
      <c r="J1605" s="6" t="s">
        <v>4621</v>
      </c>
      <c r="K1605" s="25">
        <v>16.0</v>
      </c>
      <c r="L1605" s="8" t="str">
        <f t="shared" si="210"/>
        <v>BUCARAMANGA</v>
      </c>
      <c r="O1605" s="10"/>
    </row>
    <row r="1606" ht="14.25" customHeight="1">
      <c r="A1606" s="1" t="s">
        <v>4622</v>
      </c>
      <c r="B1606" s="2" t="s">
        <v>27</v>
      </c>
      <c r="C1606" s="2" t="s">
        <v>28</v>
      </c>
      <c r="D1606" s="2" t="s">
        <v>4623</v>
      </c>
      <c r="E1606" s="3" t="s">
        <v>4624</v>
      </c>
      <c r="F1606" s="4" t="s">
        <v>38</v>
      </c>
      <c r="G1606" s="4" t="s">
        <v>81</v>
      </c>
      <c r="H1606" s="4" t="s">
        <v>1781</v>
      </c>
      <c r="I1606" s="4" t="s">
        <v>846</v>
      </c>
      <c r="J1606" s="6" t="s">
        <v>264</v>
      </c>
      <c r="K1606" s="25">
        <v>25.0</v>
      </c>
      <c r="L1606" s="8" t="str">
        <f t="shared" si="210"/>
        <v>FLORIDABLANCA</v>
      </c>
      <c r="O1606" s="10"/>
    </row>
    <row r="1607" ht="14.25" customHeight="1">
      <c r="A1607" s="1" t="s">
        <v>4625</v>
      </c>
      <c r="B1607" s="2" t="s">
        <v>27</v>
      </c>
      <c r="C1607" s="2" t="s">
        <v>28</v>
      </c>
      <c r="D1607" s="2" t="s">
        <v>4626</v>
      </c>
      <c r="E1607" s="3" t="s">
        <v>4627</v>
      </c>
      <c r="F1607" s="4" t="s">
        <v>38</v>
      </c>
      <c r="G1607" s="4" t="s">
        <v>39</v>
      </c>
      <c r="H1607" s="14"/>
      <c r="I1607" s="4" t="s">
        <v>164</v>
      </c>
      <c r="J1607" s="6" t="s">
        <v>1199</v>
      </c>
      <c r="K1607" s="25">
        <v>9.0</v>
      </c>
      <c r="L1607" s="8" t="str">
        <f t="shared" si="210"/>
        <v>BUCARAMANGA</v>
      </c>
      <c r="O1607" s="10"/>
    </row>
    <row r="1608" ht="14.25" customHeight="1">
      <c r="A1608" s="1" t="s">
        <v>4628</v>
      </c>
      <c r="B1608" s="2" t="s">
        <v>27</v>
      </c>
      <c r="C1608" s="2" t="s">
        <v>28</v>
      </c>
      <c r="D1608" s="2" t="s">
        <v>4629</v>
      </c>
      <c r="E1608" s="3" t="s">
        <v>4630</v>
      </c>
      <c r="F1608" s="4" t="s">
        <v>38</v>
      </c>
      <c r="G1608" s="4" t="s">
        <v>4631</v>
      </c>
      <c r="H1608" s="4" t="s">
        <v>58</v>
      </c>
      <c r="I1608" s="4" t="s">
        <v>182</v>
      </c>
      <c r="J1608" s="6" t="s">
        <v>4632</v>
      </c>
      <c r="K1608" s="25">
        <v>15.0</v>
      </c>
      <c r="L1608" s="8" t="str">
        <f t="shared" si="210"/>
        <v>SAN VICENTE DE CHUCURI</v>
      </c>
      <c r="O1608" s="10"/>
    </row>
    <row r="1609" ht="14.25" customHeight="1">
      <c r="A1609" s="1" t="s">
        <v>4633</v>
      </c>
      <c r="B1609" s="2" t="s">
        <v>27</v>
      </c>
      <c r="C1609" s="2" t="s">
        <v>28</v>
      </c>
      <c r="D1609" s="2" t="s">
        <v>4634</v>
      </c>
      <c r="E1609" s="3" t="s">
        <v>4635</v>
      </c>
      <c r="F1609" s="4" t="s">
        <v>38</v>
      </c>
      <c r="G1609" s="4"/>
      <c r="H1609" s="14"/>
      <c r="I1609" s="4" t="s">
        <v>358</v>
      </c>
      <c r="J1609" s="6"/>
      <c r="K1609" s="7"/>
      <c r="L1609" s="8" t="str">
        <f t="shared" si="210"/>
        <v/>
      </c>
      <c r="M1609" s="9"/>
      <c r="N1609" s="11" t="s">
        <v>59</v>
      </c>
      <c r="O1609" s="10"/>
      <c r="P1609" s="11" t="s">
        <v>4109</v>
      </c>
    </row>
    <row r="1610" ht="14.25" customHeight="1">
      <c r="A1610" s="1" t="s">
        <v>4636</v>
      </c>
      <c r="B1610" s="2" t="s">
        <v>27</v>
      </c>
      <c r="C1610" s="2" t="s">
        <v>28</v>
      </c>
      <c r="D1610" s="2" t="s">
        <v>4637</v>
      </c>
      <c r="E1610" s="3" t="s">
        <v>4638</v>
      </c>
      <c r="F1610" s="4" t="s">
        <v>38</v>
      </c>
      <c r="G1610" s="4" t="s">
        <v>75</v>
      </c>
      <c r="H1610" s="4" t="s">
        <v>2163</v>
      </c>
      <c r="I1610" s="4" t="s">
        <v>561</v>
      </c>
      <c r="J1610" s="6" t="s">
        <v>4639</v>
      </c>
      <c r="K1610" s="25">
        <v>3.0</v>
      </c>
      <c r="L1610" s="8" t="str">
        <f t="shared" si="210"/>
        <v>GIRON</v>
      </c>
      <c r="O1610" s="10"/>
    </row>
    <row r="1611" ht="14.25" hidden="1" customHeight="1">
      <c r="A1611" s="13" t="s">
        <v>4640</v>
      </c>
      <c r="B1611" s="4" t="s">
        <v>27</v>
      </c>
      <c r="C1611" s="4" t="s">
        <v>28</v>
      </c>
      <c r="D1611" s="4" t="s">
        <v>4641</v>
      </c>
      <c r="E1611" s="4">
        <v>3.23450271E9</v>
      </c>
      <c r="F1611" s="4" t="s">
        <v>30</v>
      </c>
      <c r="G1611" s="4" t="s">
        <v>35</v>
      </c>
      <c r="H1611" s="14"/>
      <c r="I1611" s="4" t="s">
        <v>32</v>
      </c>
      <c r="J1611" s="14"/>
      <c r="K1611" s="14"/>
      <c r="L1611" s="14"/>
    </row>
    <row r="1612" ht="14.25" hidden="1" customHeight="1">
      <c r="A1612" s="13" t="s">
        <v>4642</v>
      </c>
      <c r="B1612" s="4" t="s">
        <v>27</v>
      </c>
      <c r="C1612" s="4" t="s">
        <v>28</v>
      </c>
      <c r="D1612" s="4" t="s">
        <v>4643</v>
      </c>
      <c r="E1612" s="4">
        <v>3.102211527E9</v>
      </c>
      <c r="F1612" s="4" t="s">
        <v>30</v>
      </c>
      <c r="G1612" s="4" t="s">
        <v>35</v>
      </c>
      <c r="H1612" s="14"/>
      <c r="I1612" s="4" t="s">
        <v>32</v>
      </c>
      <c r="J1612" s="14"/>
      <c r="K1612" s="14"/>
      <c r="L1612" s="14"/>
    </row>
    <row r="1613" ht="14.25" customHeight="1">
      <c r="A1613" s="1" t="s">
        <v>4644</v>
      </c>
      <c r="B1613" s="2" t="s">
        <v>27</v>
      </c>
      <c r="C1613" s="2" t="s">
        <v>28</v>
      </c>
      <c r="D1613" s="2" t="s">
        <v>4645</v>
      </c>
      <c r="E1613" s="3" t="s">
        <v>4646</v>
      </c>
      <c r="F1613" s="4" t="s">
        <v>38</v>
      </c>
      <c r="G1613" s="4" t="s">
        <v>75</v>
      </c>
      <c r="H1613" s="4" t="s">
        <v>2163</v>
      </c>
      <c r="I1613" s="4" t="s">
        <v>561</v>
      </c>
      <c r="J1613" s="6" t="s">
        <v>3469</v>
      </c>
      <c r="K1613" s="25">
        <v>24.0</v>
      </c>
      <c r="L1613" s="8" t="str">
        <f t="shared" ref="L1613:L1614" si="211">UPPER(G1613)</f>
        <v>GIRON</v>
      </c>
      <c r="O1613" s="10"/>
    </row>
    <row r="1614" ht="14.25" customHeight="1">
      <c r="A1614" s="1" t="s">
        <v>4647</v>
      </c>
      <c r="B1614" s="2" t="s">
        <v>27</v>
      </c>
      <c r="C1614" s="2" t="s">
        <v>551</v>
      </c>
      <c r="D1614" s="2" t="s">
        <v>4648</v>
      </c>
      <c r="E1614" s="3" t="s">
        <v>4649</v>
      </c>
      <c r="F1614" s="4" t="s">
        <v>38</v>
      </c>
      <c r="G1614" s="4" t="s">
        <v>39</v>
      </c>
      <c r="H1614" s="4" t="s">
        <v>584</v>
      </c>
      <c r="I1614" s="4" t="s">
        <v>540</v>
      </c>
      <c r="J1614" s="6" t="s">
        <v>4650</v>
      </c>
      <c r="K1614" s="25">
        <v>16.0</v>
      </c>
      <c r="L1614" s="8" t="str">
        <f t="shared" si="211"/>
        <v>BUCARAMANGA</v>
      </c>
      <c r="O1614" s="10"/>
    </row>
    <row r="1615" ht="14.25" hidden="1" customHeight="1">
      <c r="A1615" s="13" t="s">
        <v>4651</v>
      </c>
      <c r="B1615" s="4" t="s">
        <v>27</v>
      </c>
      <c r="C1615" s="4" t="s">
        <v>28</v>
      </c>
      <c r="D1615" s="4" t="s">
        <v>4652</v>
      </c>
      <c r="E1615" s="4">
        <v>3.227649445E9</v>
      </c>
      <c r="F1615" s="4" t="s">
        <v>30</v>
      </c>
      <c r="G1615" s="4" t="s">
        <v>35</v>
      </c>
      <c r="H1615" s="14"/>
      <c r="I1615" s="4" t="s">
        <v>32</v>
      </c>
      <c r="J1615" s="14"/>
      <c r="K1615" s="14"/>
      <c r="L1615" s="14"/>
    </row>
    <row r="1616" ht="14.25" customHeight="1">
      <c r="A1616" s="1" t="s">
        <v>4653</v>
      </c>
      <c r="B1616" s="2" t="s">
        <v>27</v>
      </c>
      <c r="C1616" s="2" t="s">
        <v>28</v>
      </c>
      <c r="D1616" s="2" t="s">
        <v>4654</v>
      </c>
      <c r="E1616" s="3" t="s">
        <v>4655</v>
      </c>
      <c r="F1616" s="4" t="s">
        <v>38</v>
      </c>
      <c r="G1616" s="4" t="s">
        <v>113</v>
      </c>
      <c r="H1616" s="4" t="s">
        <v>1985</v>
      </c>
      <c r="I1616" s="4" t="s">
        <v>419</v>
      </c>
      <c r="J1616" s="6" t="s">
        <v>4656</v>
      </c>
      <c r="K1616" s="25">
        <v>9.0</v>
      </c>
      <c r="L1616" s="8" t="str">
        <f>UPPER(G1616)</f>
        <v>BARRANCABERMEJA</v>
      </c>
      <c r="O1616" s="10"/>
    </row>
    <row r="1617" ht="14.25" hidden="1" customHeight="1">
      <c r="A1617" s="13" t="s">
        <v>4657</v>
      </c>
      <c r="B1617" s="4" t="s">
        <v>27</v>
      </c>
      <c r="C1617" s="4" t="s">
        <v>28</v>
      </c>
      <c r="D1617" s="4" t="s">
        <v>4658</v>
      </c>
      <c r="E1617" s="4">
        <v>3.124295466E9</v>
      </c>
      <c r="F1617" s="4" t="s">
        <v>30</v>
      </c>
      <c r="G1617" s="4" t="s">
        <v>35</v>
      </c>
      <c r="H1617" s="14"/>
      <c r="I1617" s="4" t="s">
        <v>32</v>
      </c>
      <c r="J1617" s="14"/>
      <c r="K1617" s="14"/>
      <c r="L1617" s="14"/>
    </row>
    <row r="1618" ht="14.25" customHeight="1">
      <c r="A1618" s="1" t="s">
        <v>4659</v>
      </c>
      <c r="B1618" s="2" t="s">
        <v>27</v>
      </c>
      <c r="C1618" s="2" t="s">
        <v>28</v>
      </c>
      <c r="D1618" s="2" t="s">
        <v>4660</v>
      </c>
      <c r="E1618" s="3" t="s">
        <v>4661</v>
      </c>
      <c r="F1618" s="4" t="s">
        <v>69</v>
      </c>
      <c r="G1618" s="4" t="s">
        <v>69</v>
      </c>
      <c r="H1618" s="14"/>
      <c r="I1618" s="4" t="s">
        <v>182</v>
      </c>
      <c r="J1618" s="38" t="s">
        <v>4662</v>
      </c>
      <c r="K1618" s="25">
        <v>18.0</v>
      </c>
      <c r="L1618" s="8" t="str">
        <f t="shared" ref="L1618:L1619" si="212">UPPER(G1618)</f>
        <v>BOGOTA</v>
      </c>
      <c r="O1618" s="10"/>
    </row>
    <row r="1619" ht="14.25" customHeight="1">
      <c r="A1619" s="1" t="s">
        <v>4663</v>
      </c>
      <c r="B1619" s="2" t="s">
        <v>27</v>
      </c>
      <c r="C1619" s="2" t="s">
        <v>28</v>
      </c>
      <c r="D1619" s="2" t="s">
        <v>4664</v>
      </c>
      <c r="E1619" s="3" t="s">
        <v>4665</v>
      </c>
      <c r="F1619" s="4" t="s">
        <v>38</v>
      </c>
      <c r="G1619" s="4" t="s">
        <v>39</v>
      </c>
      <c r="H1619" s="4" t="s">
        <v>40</v>
      </c>
      <c r="I1619" s="4" t="s">
        <v>561</v>
      </c>
      <c r="J1619" s="6" t="s">
        <v>643</v>
      </c>
      <c r="K1619" s="25">
        <v>14.0</v>
      </c>
      <c r="L1619" s="8" t="str">
        <f t="shared" si="212"/>
        <v>BUCARAMANGA</v>
      </c>
      <c r="O1619" s="10"/>
    </row>
    <row r="1620" ht="14.25" hidden="1" customHeight="1">
      <c r="A1620" s="13" t="s">
        <v>4666</v>
      </c>
      <c r="B1620" s="4" t="s">
        <v>27</v>
      </c>
      <c r="C1620" s="4" t="s">
        <v>28</v>
      </c>
      <c r="D1620" s="4" t="s">
        <v>4667</v>
      </c>
      <c r="E1620" s="4">
        <v>3.125007711E9</v>
      </c>
      <c r="F1620" s="4" t="s">
        <v>30</v>
      </c>
      <c r="G1620" s="4" t="s">
        <v>35</v>
      </c>
      <c r="H1620" s="14"/>
      <c r="I1620" s="4" t="s">
        <v>32</v>
      </c>
      <c r="J1620" s="14"/>
      <c r="K1620" s="14"/>
      <c r="L1620" s="14"/>
    </row>
    <row r="1621" ht="14.25" customHeight="1">
      <c r="A1621" s="1" t="s">
        <v>4668</v>
      </c>
      <c r="B1621" s="2" t="s">
        <v>27</v>
      </c>
      <c r="C1621" s="2" t="s">
        <v>28</v>
      </c>
      <c r="D1621" s="2" t="s">
        <v>4669</v>
      </c>
      <c r="E1621" s="3" t="s">
        <v>4670</v>
      </c>
      <c r="F1621" s="4" t="s">
        <v>38</v>
      </c>
      <c r="G1621" s="4" t="s">
        <v>81</v>
      </c>
      <c r="H1621" s="4" t="s">
        <v>2102</v>
      </c>
      <c r="I1621" s="4" t="s">
        <v>561</v>
      </c>
      <c r="J1621" s="6" t="s">
        <v>4671</v>
      </c>
      <c r="K1621" s="25">
        <v>7.0</v>
      </c>
      <c r="L1621" s="8" t="str">
        <f>UPPER(G1621)</f>
        <v>FLORIDABLANCA</v>
      </c>
      <c r="O1621" s="10"/>
    </row>
    <row r="1622" ht="14.25" hidden="1" customHeight="1">
      <c r="A1622" s="13" t="s">
        <v>4672</v>
      </c>
      <c r="B1622" s="4" t="s">
        <v>27</v>
      </c>
      <c r="C1622" s="4" t="s">
        <v>28</v>
      </c>
      <c r="D1622" s="4" t="s">
        <v>4673</v>
      </c>
      <c r="E1622" s="4">
        <v>3.229457091E9</v>
      </c>
      <c r="F1622" s="4" t="s">
        <v>30</v>
      </c>
      <c r="G1622" s="4" t="s">
        <v>35</v>
      </c>
      <c r="H1622" s="14"/>
      <c r="I1622" s="4" t="s">
        <v>32</v>
      </c>
      <c r="J1622" s="14"/>
      <c r="K1622" s="14"/>
      <c r="L1622" s="14"/>
    </row>
    <row r="1623" ht="14.25" customHeight="1">
      <c r="A1623" s="1" t="s">
        <v>4674</v>
      </c>
      <c r="B1623" s="2" t="s">
        <v>27</v>
      </c>
      <c r="C1623" s="2" t="s">
        <v>28</v>
      </c>
      <c r="D1623" s="2" t="s">
        <v>4675</v>
      </c>
      <c r="E1623" s="3" t="s">
        <v>4676</v>
      </c>
      <c r="F1623" s="4" t="s">
        <v>38</v>
      </c>
      <c r="G1623" s="4" t="s">
        <v>81</v>
      </c>
      <c r="H1623" s="14"/>
      <c r="I1623" s="4" t="s">
        <v>846</v>
      </c>
      <c r="J1623" s="6" t="s">
        <v>1059</v>
      </c>
      <c r="K1623" s="25">
        <v>22.0</v>
      </c>
      <c r="L1623" s="8" t="str">
        <f t="shared" ref="L1623:L1625" si="213">UPPER(G1623)</f>
        <v>FLORIDABLANCA</v>
      </c>
      <c r="O1623" s="10"/>
    </row>
    <row r="1624" ht="14.25" customHeight="1">
      <c r="A1624" s="1" t="s">
        <v>4677</v>
      </c>
      <c r="B1624" s="2" t="s">
        <v>27</v>
      </c>
      <c r="C1624" s="2" t="s">
        <v>28</v>
      </c>
      <c r="D1624" s="2" t="s">
        <v>4678</v>
      </c>
      <c r="E1624" s="3" t="s">
        <v>4679</v>
      </c>
      <c r="F1624" s="4" t="s">
        <v>38</v>
      </c>
      <c r="G1624" s="4" t="s">
        <v>39</v>
      </c>
      <c r="H1624" s="4" t="s">
        <v>2102</v>
      </c>
      <c r="I1624" s="4" t="s">
        <v>561</v>
      </c>
      <c r="J1624" s="6" t="s">
        <v>4680</v>
      </c>
      <c r="K1624" s="25">
        <v>17.0</v>
      </c>
      <c r="L1624" s="8" t="str">
        <f t="shared" si="213"/>
        <v>BUCARAMANGA</v>
      </c>
      <c r="O1624" s="10"/>
    </row>
    <row r="1625" ht="14.25" customHeight="1">
      <c r="A1625" s="1" t="s">
        <v>4681</v>
      </c>
      <c r="B1625" s="2" t="s">
        <v>27</v>
      </c>
      <c r="C1625" s="2" t="s">
        <v>28</v>
      </c>
      <c r="D1625" s="2" t="s">
        <v>4682</v>
      </c>
      <c r="E1625" s="3" t="s">
        <v>4683</v>
      </c>
      <c r="F1625" s="4" t="s">
        <v>38</v>
      </c>
      <c r="G1625" s="4" t="s">
        <v>39</v>
      </c>
      <c r="H1625" s="14"/>
      <c r="I1625" s="4" t="s">
        <v>76</v>
      </c>
      <c r="J1625" s="6" t="s">
        <v>99</v>
      </c>
      <c r="K1625" s="25">
        <v>26.0</v>
      </c>
      <c r="L1625" s="8" t="str">
        <f t="shared" si="213"/>
        <v>BUCARAMANGA</v>
      </c>
      <c r="O1625" s="10"/>
    </row>
    <row r="1626" ht="14.25" hidden="1" customHeight="1">
      <c r="A1626" s="13" t="s">
        <v>4684</v>
      </c>
      <c r="B1626" s="4" t="s">
        <v>27</v>
      </c>
      <c r="C1626" s="4" t="s">
        <v>28</v>
      </c>
      <c r="D1626" s="4" t="s">
        <v>4685</v>
      </c>
      <c r="E1626" s="4">
        <v>3.222721982E9</v>
      </c>
      <c r="F1626" s="4" t="s">
        <v>30</v>
      </c>
      <c r="G1626" s="4" t="s">
        <v>35</v>
      </c>
      <c r="H1626" s="14"/>
      <c r="I1626" s="4" t="s">
        <v>32</v>
      </c>
      <c r="J1626" s="14"/>
      <c r="K1626" s="14"/>
      <c r="L1626" s="14"/>
    </row>
    <row r="1627" ht="14.25" customHeight="1">
      <c r="A1627" s="1" t="s">
        <v>4686</v>
      </c>
      <c r="B1627" s="2" t="s">
        <v>27</v>
      </c>
      <c r="C1627" s="2" t="s">
        <v>28</v>
      </c>
      <c r="D1627" s="2" t="s">
        <v>4687</v>
      </c>
      <c r="E1627" s="3" t="s">
        <v>4688</v>
      </c>
      <c r="F1627" s="4" t="s">
        <v>38</v>
      </c>
      <c r="G1627" s="4" t="s">
        <v>39</v>
      </c>
      <c r="H1627" s="4" t="s">
        <v>4689</v>
      </c>
      <c r="I1627" s="4" t="s">
        <v>76</v>
      </c>
      <c r="J1627" s="6" t="s">
        <v>328</v>
      </c>
      <c r="K1627" s="25">
        <v>19.0</v>
      </c>
      <c r="L1627" s="8" t="str">
        <f t="shared" ref="L1627:L1630" si="214">UPPER(G1627)</f>
        <v>BUCARAMANGA</v>
      </c>
      <c r="O1627" s="10"/>
    </row>
    <row r="1628" ht="14.25" customHeight="1">
      <c r="A1628" s="1" t="s">
        <v>4690</v>
      </c>
      <c r="B1628" s="2" t="s">
        <v>27</v>
      </c>
      <c r="C1628" s="2" t="s">
        <v>28</v>
      </c>
      <c r="D1628" s="2" t="s">
        <v>4691</v>
      </c>
      <c r="E1628" s="3" t="s">
        <v>4692</v>
      </c>
      <c r="F1628" s="4" t="s">
        <v>38</v>
      </c>
      <c r="G1628" s="4" t="s">
        <v>39</v>
      </c>
      <c r="H1628" s="4" t="s">
        <v>4693</v>
      </c>
      <c r="I1628" s="4" t="s">
        <v>846</v>
      </c>
      <c r="J1628" s="6"/>
      <c r="K1628" s="7"/>
      <c r="L1628" s="8" t="str">
        <f t="shared" si="214"/>
        <v>BUCARAMANGA</v>
      </c>
      <c r="M1628" s="9"/>
      <c r="N1628" s="11" t="s">
        <v>59</v>
      </c>
      <c r="O1628" s="10"/>
      <c r="P1628" s="11" t="s">
        <v>4109</v>
      </c>
    </row>
    <row r="1629" ht="14.25" customHeight="1">
      <c r="A1629" s="1" t="s">
        <v>4694</v>
      </c>
      <c r="B1629" s="2" t="s">
        <v>27</v>
      </c>
      <c r="C1629" s="2" t="s">
        <v>28</v>
      </c>
      <c r="D1629" s="2" t="s">
        <v>4695</v>
      </c>
      <c r="E1629" s="3" t="s">
        <v>4692</v>
      </c>
      <c r="F1629" s="4" t="s">
        <v>38</v>
      </c>
      <c r="G1629" s="4" t="s">
        <v>81</v>
      </c>
      <c r="H1629" s="30"/>
      <c r="I1629" s="4" t="s">
        <v>846</v>
      </c>
      <c r="J1629" s="6" t="s">
        <v>4426</v>
      </c>
      <c r="K1629" s="25">
        <v>16.0</v>
      </c>
      <c r="L1629" s="8" t="str">
        <f t="shared" si="214"/>
        <v>FLORIDABLANCA</v>
      </c>
      <c r="O1629" s="10"/>
    </row>
    <row r="1630" ht="14.25" customHeight="1">
      <c r="A1630" s="1" t="s">
        <v>4696</v>
      </c>
      <c r="B1630" s="2" t="s">
        <v>27</v>
      </c>
      <c r="C1630" s="2" t="s">
        <v>28</v>
      </c>
      <c r="D1630" s="2" t="s">
        <v>4697</v>
      </c>
      <c r="E1630" s="3" t="s">
        <v>4698</v>
      </c>
      <c r="F1630" s="4" t="s">
        <v>38</v>
      </c>
      <c r="G1630" s="4" t="s">
        <v>81</v>
      </c>
      <c r="H1630" s="14"/>
      <c r="I1630" s="4" t="s">
        <v>76</v>
      </c>
      <c r="J1630" s="6" t="s">
        <v>264</v>
      </c>
      <c r="K1630" s="25">
        <v>21.0</v>
      </c>
      <c r="L1630" s="8" t="str">
        <f t="shared" si="214"/>
        <v>FLORIDABLANCA</v>
      </c>
      <c r="O1630" s="10"/>
    </row>
    <row r="1631" ht="14.25" hidden="1" customHeight="1">
      <c r="A1631" s="13" t="s">
        <v>4699</v>
      </c>
      <c r="B1631" s="4" t="s">
        <v>27</v>
      </c>
      <c r="C1631" s="4" t="s">
        <v>28</v>
      </c>
      <c r="D1631" s="4" t="s">
        <v>4700</v>
      </c>
      <c r="E1631" s="4">
        <v>3.22731419E9</v>
      </c>
      <c r="F1631" s="4" t="s">
        <v>30</v>
      </c>
      <c r="G1631" s="4" t="s">
        <v>35</v>
      </c>
      <c r="H1631" s="14"/>
      <c r="I1631" s="4" t="s">
        <v>32</v>
      </c>
      <c r="J1631" s="14"/>
      <c r="K1631" s="14"/>
      <c r="L1631" s="14"/>
    </row>
    <row r="1632" ht="14.25" hidden="1" customHeight="1">
      <c r="A1632" s="13" t="s">
        <v>4701</v>
      </c>
      <c r="B1632" s="4" t="s">
        <v>27</v>
      </c>
      <c r="C1632" s="4" t="s">
        <v>28</v>
      </c>
      <c r="D1632" s="4" t="s">
        <v>4702</v>
      </c>
      <c r="E1632" s="4">
        <v>3.118713141E9</v>
      </c>
      <c r="F1632" s="4" t="s">
        <v>30</v>
      </c>
      <c r="G1632" s="4" t="s">
        <v>31</v>
      </c>
      <c r="H1632" s="14"/>
      <c r="I1632" s="4" t="s">
        <v>32</v>
      </c>
      <c r="J1632" s="14"/>
      <c r="K1632" s="14"/>
      <c r="L1632" s="14"/>
    </row>
    <row r="1633" ht="14.25" customHeight="1">
      <c r="A1633" s="1" t="s">
        <v>4703</v>
      </c>
      <c r="B1633" s="2" t="s">
        <v>27</v>
      </c>
      <c r="C1633" s="2" t="s">
        <v>28</v>
      </c>
      <c r="D1633" s="2" t="s">
        <v>4704</v>
      </c>
      <c r="E1633" s="3" t="s">
        <v>4705</v>
      </c>
      <c r="F1633" s="4" t="s">
        <v>38</v>
      </c>
      <c r="G1633" s="4" t="s">
        <v>39</v>
      </c>
      <c r="H1633" s="30"/>
      <c r="I1633" s="4" t="s">
        <v>76</v>
      </c>
      <c r="J1633" s="6" t="s">
        <v>99</v>
      </c>
      <c r="K1633" s="25">
        <v>16.0</v>
      </c>
      <c r="L1633" s="8" t="str">
        <f t="shared" ref="L1633:L1637" si="215">UPPER(G1633)</f>
        <v>BUCARAMANGA</v>
      </c>
      <c r="O1633" s="10"/>
    </row>
    <row r="1634" ht="14.25" customHeight="1">
      <c r="A1634" s="1" t="s">
        <v>4706</v>
      </c>
      <c r="B1634" s="2" t="s">
        <v>27</v>
      </c>
      <c r="C1634" s="2" t="s">
        <v>28</v>
      </c>
      <c r="D1634" s="2" t="s">
        <v>4707</v>
      </c>
      <c r="E1634" s="3" t="s">
        <v>4708</v>
      </c>
      <c r="F1634" s="4" t="s">
        <v>731</v>
      </c>
      <c r="G1634" s="4" t="s">
        <v>4080</v>
      </c>
      <c r="H1634" s="4" t="s">
        <v>4081</v>
      </c>
      <c r="I1634" s="4" t="s">
        <v>540</v>
      </c>
      <c r="J1634" s="6" t="s">
        <v>4709</v>
      </c>
      <c r="K1634" s="25">
        <v>4.0</v>
      </c>
      <c r="L1634" s="8" t="str">
        <f t="shared" si="215"/>
        <v>SOLEDAD</v>
      </c>
      <c r="O1634" s="10"/>
    </row>
    <row r="1635" ht="14.25" customHeight="1">
      <c r="A1635" s="1" t="s">
        <v>4710</v>
      </c>
      <c r="B1635" s="2" t="s">
        <v>27</v>
      </c>
      <c r="C1635" s="2" t="s">
        <v>28</v>
      </c>
      <c r="D1635" s="2" t="s">
        <v>4711</v>
      </c>
      <c r="E1635" s="3" t="s">
        <v>4712</v>
      </c>
      <c r="F1635" s="4" t="s">
        <v>337</v>
      </c>
      <c r="G1635" s="4" t="s">
        <v>338</v>
      </c>
      <c r="H1635" s="30"/>
      <c r="I1635" s="4" t="s">
        <v>51</v>
      </c>
      <c r="J1635" s="6" t="s">
        <v>339</v>
      </c>
      <c r="K1635" s="25">
        <v>6.0</v>
      </c>
      <c r="L1635" s="8" t="str">
        <f t="shared" si="215"/>
        <v>IBAGUE</v>
      </c>
      <c r="O1635" s="10"/>
    </row>
    <row r="1636" ht="14.25" customHeight="1">
      <c r="A1636" s="1" t="s">
        <v>4713</v>
      </c>
      <c r="B1636" s="2" t="s">
        <v>27</v>
      </c>
      <c r="C1636" s="2" t="s">
        <v>28</v>
      </c>
      <c r="D1636" s="2" t="s">
        <v>4714</v>
      </c>
      <c r="E1636" s="3" t="s">
        <v>4715</v>
      </c>
      <c r="F1636" s="4" t="s">
        <v>38</v>
      </c>
      <c r="G1636" s="4" t="s">
        <v>221</v>
      </c>
      <c r="H1636" s="4" t="s">
        <v>40</v>
      </c>
      <c r="I1636" s="4" t="s">
        <v>561</v>
      </c>
      <c r="J1636" s="39" t="s">
        <v>836</v>
      </c>
      <c r="K1636" s="25">
        <v>1.0</v>
      </c>
      <c r="L1636" s="8" t="str">
        <f t="shared" si="215"/>
        <v>CHARTA</v>
      </c>
      <c r="O1636" s="10"/>
    </row>
    <row r="1637" ht="14.25" customHeight="1">
      <c r="A1637" s="1" t="s">
        <v>4716</v>
      </c>
      <c r="B1637" s="2" t="s">
        <v>27</v>
      </c>
      <c r="C1637" s="2" t="s">
        <v>28</v>
      </c>
      <c r="D1637" s="2" t="s">
        <v>4717</v>
      </c>
      <c r="E1637" s="3" t="s">
        <v>4718</v>
      </c>
      <c r="F1637" s="4" t="s">
        <v>38</v>
      </c>
      <c r="G1637" s="4" t="s">
        <v>39</v>
      </c>
      <c r="H1637" s="14"/>
      <c r="I1637" s="4" t="s">
        <v>76</v>
      </c>
      <c r="J1637" s="6" t="s">
        <v>128</v>
      </c>
      <c r="K1637" s="25">
        <v>33.0</v>
      </c>
      <c r="L1637" s="8" t="str">
        <f t="shared" si="215"/>
        <v>BUCARAMANGA</v>
      </c>
      <c r="O1637" s="10"/>
    </row>
    <row r="1638" ht="14.25" hidden="1" customHeight="1">
      <c r="A1638" s="13" t="s">
        <v>4719</v>
      </c>
      <c r="B1638" s="4" t="s">
        <v>27</v>
      </c>
      <c r="C1638" s="4" t="s">
        <v>28</v>
      </c>
      <c r="D1638" s="4" t="s">
        <v>4720</v>
      </c>
      <c r="E1638" s="4">
        <v>3.229457091E9</v>
      </c>
      <c r="F1638" s="4" t="s">
        <v>30</v>
      </c>
      <c r="G1638" s="4" t="s">
        <v>31</v>
      </c>
      <c r="H1638" s="14"/>
      <c r="I1638" s="4" t="s">
        <v>32</v>
      </c>
      <c r="J1638" s="14"/>
      <c r="K1638" s="14"/>
      <c r="L1638" s="14"/>
    </row>
    <row r="1639" ht="14.25" customHeight="1">
      <c r="A1639" s="1" t="s">
        <v>4721</v>
      </c>
      <c r="B1639" s="2" t="s">
        <v>65</v>
      </c>
      <c r="C1639" s="2" t="s">
        <v>66</v>
      </c>
      <c r="D1639" s="2" t="s">
        <v>4722</v>
      </c>
      <c r="E1639" s="3" t="s">
        <v>4723</v>
      </c>
      <c r="F1639" s="4" t="s">
        <v>38</v>
      </c>
      <c r="G1639" s="4" t="s">
        <v>113</v>
      </c>
      <c r="H1639" s="14"/>
      <c r="I1639" s="4" t="s">
        <v>540</v>
      </c>
      <c r="J1639" s="6" t="s">
        <v>4724</v>
      </c>
      <c r="K1639" s="25">
        <v>17.0</v>
      </c>
      <c r="L1639" s="8" t="str">
        <f t="shared" ref="L1639:L1640" si="216">UPPER(G1639)</f>
        <v>BARRANCABERMEJA</v>
      </c>
      <c r="O1639" s="10"/>
    </row>
    <row r="1640" ht="14.25" customHeight="1">
      <c r="A1640" s="1" t="s">
        <v>4725</v>
      </c>
      <c r="B1640" s="2" t="s">
        <v>27</v>
      </c>
      <c r="C1640" s="2" t="s">
        <v>28</v>
      </c>
      <c r="D1640" s="2" t="s">
        <v>4726</v>
      </c>
      <c r="E1640" s="3" t="s">
        <v>4727</v>
      </c>
      <c r="F1640" s="4" t="s">
        <v>38</v>
      </c>
      <c r="G1640" s="4" t="s">
        <v>75</v>
      </c>
      <c r="H1640" s="30"/>
      <c r="I1640" s="4" t="s">
        <v>51</v>
      </c>
      <c r="J1640" s="6" t="s">
        <v>1290</v>
      </c>
      <c r="K1640" s="25">
        <v>19.0</v>
      </c>
      <c r="L1640" s="8" t="str">
        <f t="shared" si="216"/>
        <v>GIRON</v>
      </c>
      <c r="O1640" s="10"/>
    </row>
    <row r="1641" ht="14.25" hidden="1" customHeight="1">
      <c r="A1641" s="13" t="s">
        <v>4728</v>
      </c>
      <c r="B1641" s="4" t="s">
        <v>27</v>
      </c>
      <c r="C1641" s="4" t="s">
        <v>28</v>
      </c>
      <c r="D1641" s="4" t="s">
        <v>4729</v>
      </c>
      <c r="E1641" s="4">
        <v>3.118713141E9</v>
      </c>
      <c r="F1641" s="4" t="s">
        <v>30</v>
      </c>
      <c r="G1641" s="4" t="s">
        <v>35</v>
      </c>
      <c r="H1641" s="14"/>
      <c r="I1641" s="4" t="s">
        <v>32</v>
      </c>
      <c r="J1641" s="14"/>
      <c r="K1641" s="14"/>
      <c r="L1641" s="14"/>
    </row>
    <row r="1642" ht="14.25" customHeight="1">
      <c r="A1642" s="1" t="s">
        <v>4730</v>
      </c>
      <c r="B1642" s="2" t="s">
        <v>27</v>
      </c>
      <c r="C1642" s="2" t="s">
        <v>28</v>
      </c>
      <c r="D1642" s="2" t="s">
        <v>4731</v>
      </c>
      <c r="E1642" s="3" t="s">
        <v>4732</v>
      </c>
      <c r="F1642" s="4" t="s">
        <v>38</v>
      </c>
      <c r="G1642" s="4" t="s">
        <v>39</v>
      </c>
      <c r="H1642" s="30"/>
      <c r="I1642" s="4" t="s">
        <v>76</v>
      </c>
      <c r="J1642" s="6" t="s">
        <v>259</v>
      </c>
      <c r="K1642" s="25">
        <v>2.0</v>
      </c>
      <c r="L1642" s="8" t="str">
        <f>UPPER(G1642)</f>
        <v>BUCARAMANGA</v>
      </c>
      <c r="O1642" s="10"/>
    </row>
    <row r="1643" ht="14.25" hidden="1" customHeight="1">
      <c r="A1643" s="13" t="s">
        <v>4733</v>
      </c>
      <c r="B1643" s="4" t="s">
        <v>27</v>
      </c>
      <c r="C1643" s="4" t="s">
        <v>28</v>
      </c>
      <c r="D1643" s="4" t="s">
        <v>4734</v>
      </c>
      <c r="E1643" s="4">
        <v>3.126882431E9</v>
      </c>
      <c r="F1643" s="4" t="s">
        <v>30</v>
      </c>
      <c r="G1643" s="4" t="s">
        <v>35</v>
      </c>
      <c r="H1643" s="14"/>
      <c r="I1643" s="4" t="s">
        <v>32</v>
      </c>
      <c r="J1643" s="14"/>
      <c r="K1643" s="14"/>
      <c r="L1643" s="14"/>
    </row>
    <row r="1644" ht="14.25" customHeight="1">
      <c r="A1644" s="1" t="s">
        <v>4735</v>
      </c>
      <c r="B1644" s="2" t="s">
        <v>27</v>
      </c>
      <c r="C1644" s="2" t="s">
        <v>28</v>
      </c>
      <c r="D1644" s="2" t="s">
        <v>4736</v>
      </c>
      <c r="E1644" s="3" t="s">
        <v>4737</v>
      </c>
      <c r="F1644" s="4" t="s">
        <v>69</v>
      </c>
      <c r="G1644" s="4" t="s">
        <v>69</v>
      </c>
      <c r="H1644" s="4" t="s">
        <v>133</v>
      </c>
      <c r="I1644" s="4" t="s">
        <v>51</v>
      </c>
      <c r="J1644" s="6" t="s">
        <v>4738</v>
      </c>
      <c r="K1644" s="25">
        <v>8.0</v>
      </c>
      <c r="L1644" s="8" t="str">
        <f>UPPER(G1644)</f>
        <v>BOGOTA</v>
      </c>
      <c r="O1644" s="10"/>
    </row>
    <row r="1645" ht="14.25" hidden="1" customHeight="1">
      <c r="A1645" s="13" t="s">
        <v>4739</v>
      </c>
      <c r="B1645" s="4" t="s">
        <v>27</v>
      </c>
      <c r="C1645" s="4" t="s">
        <v>28</v>
      </c>
      <c r="D1645" s="4" t="s">
        <v>4740</v>
      </c>
      <c r="E1645" s="4">
        <v>3.14294672E9</v>
      </c>
      <c r="F1645" s="4" t="s">
        <v>30</v>
      </c>
      <c r="G1645" s="4" t="s">
        <v>35</v>
      </c>
      <c r="H1645" s="14"/>
      <c r="I1645" s="4" t="s">
        <v>32</v>
      </c>
      <c r="J1645" s="14"/>
      <c r="K1645" s="14"/>
      <c r="L1645" s="14"/>
    </row>
    <row r="1646" ht="14.25" hidden="1" customHeight="1">
      <c r="A1646" s="13" t="s">
        <v>4741</v>
      </c>
      <c r="B1646" s="4" t="s">
        <v>27</v>
      </c>
      <c r="C1646" s="4" t="s">
        <v>28</v>
      </c>
      <c r="D1646" s="4" t="s">
        <v>4742</v>
      </c>
      <c r="E1646" s="4">
        <v>3.102211527E9</v>
      </c>
      <c r="F1646" s="4" t="s">
        <v>30</v>
      </c>
      <c r="G1646" s="4" t="s">
        <v>35</v>
      </c>
      <c r="H1646" s="30"/>
      <c r="I1646" s="4" t="s">
        <v>32</v>
      </c>
      <c r="J1646" s="14"/>
      <c r="K1646" s="14"/>
      <c r="L1646" s="14"/>
    </row>
    <row r="1647" ht="14.25" hidden="1" customHeight="1">
      <c r="A1647" s="13" t="s">
        <v>4743</v>
      </c>
      <c r="B1647" s="4" t="s">
        <v>27</v>
      </c>
      <c r="C1647" s="4" t="s">
        <v>28</v>
      </c>
      <c r="D1647" s="4" t="s">
        <v>4744</v>
      </c>
      <c r="E1647" s="4">
        <v>3.123645498E9</v>
      </c>
      <c r="F1647" s="4" t="s">
        <v>30</v>
      </c>
      <c r="G1647" s="4" t="s">
        <v>35</v>
      </c>
      <c r="H1647" s="30"/>
      <c r="I1647" s="4" t="s">
        <v>32</v>
      </c>
      <c r="J1647" s="14"/>
      <c r="K1647" s="14"/>
      <c r="L1647" s="14"/>
    </row>
    <row r="1648" ht="14.25" hidden="1" customHeight="1">
      <c r="A1648" s="13" t="s">
        <v>4745</v>
      </c>
      <c r="B1648" s="4" t="s">
        <v>27</v>
      </c>
      <c r="C1648" s="4" t="s">
        <v>28</v>
      </c>
      <c r="D1648" s="4" t="s">
        <v>4746</v>
      </c>
      <c r="E1648" s="4">
        <v>3.102211527E9</v>
      </c>
      <c r="F1648" s="4" t="s">
        <v>30</v>
      </c>
      <c r="G1648" s="4" t="s">
        <v>35</v>
      </c>
      <c r="H1648" s="30"/>
      <c r="I1648" s="4" t="s">
        <v>32</v>
      </c>
      <c r="J1648" s="14"/>
      <c r="K1648" s="14"/>
      <c r="L1648" s="14"/>
    </row>
    <row r="1649" ht="14.25" customHeight="1">
      <c r="A1649" s="1" t="s">
        <v>4747</v>
      </c>
      <c r="B1649" s="2" t="s">
        <v>27</v>
      </c>
      <c r="C1649" s="2" t="s">
        <v>28</v>
      </c>
      <c r="D1649" s="2" t="s">
        <v>4748</v>
      </c>
      <c r="E1649" s="3" t="s">
        <v>4749</v>
      </c>
      <c r="F1649" s="4" t="s">
        <v>38</v>
      </c>
      <c r="G1649" s="4" t="s">
        <v>113</v>
      </c>
      <c r="H1649" s="14"/>
      <c r="I1649" s="4" t="s">
        <v>358</v>
      </c>
      <c r="J1649" s="6" t="s">
        <v>4750</v>
      </c>
      <c r="K1649" s="25">
        <v>2.0</v>
      </c>
      <c r="L1649" s="8" t="str">
        <f>UPPER(G1649)</f>
        <v>BARRANCABERMEJA</v>
      </c>
      <c r="O1649" s="10"/>
    </row>
    <row r="1650" ht="14.25" hidden="1" customHeight="1">
      <c r="A1650" s="13" t="s">
        <v>4751</v>
      </c>
      <c r="B1650" s="4" t="s">
        <v>27</v>
      </c>
      <c r="C1650" s="4" t="s">
        <v>28</v>
      </c>
      <c r="D1650" s="4" t="s">
        <v>4752</v>
      </c>
      <c r="E1650" s="4">
        <v>3.118713141E9</v>
      </c>
      <c r="F1650" s="4" t="s">
        <v>30</v>
      </c>
      <c r="G1650" s="4" t="s">
        <v>35</v>
      </c>
      <c r="H1650" s="30"/>
      <c r="I1650" s="4" t="s">
        <v>32</v>
      </c>
      <c r="J1650" s="14"/>
      <c r="K1650" s="14"/>
      <c r="L1650" s="14"/>
    </row>
    <row r="1651" ht="14.25" hidden="1" customHeight="1">
      <c r="A1651" s="13" t="s">
        <v>4753</v>
      </c>
      <c r="B1651" s="4" t="s">
        <v>27</v>
      </c>
      <c r="C1651" s="4" t="s">
        <v>28</v>
      </c>
      <c r="D1651" s="4" t="s">
        <v>4754</v>
      </c>
      <c r="E1651" s="4">
        <v>3.124295466E9</v>
      </c>
      <c r="F1651" s="4" t="s">
        <v>30</v>
      </c>
      <c r="G1651" s="4" t="s">
        <v>35</v>
      </c>
      <c r="H1651" s="14"/>
      <c r="I1651" s="4" t="s">
        <v>32</v>
      </c>
      <c r="J1651" s="14"/>
      <c r="K1651" s="14"/>
      <c r="L1651" s="14"/>
    </row>
    <row r="1652" ht="14.25" customHeight="1">
      <c r="A1652" s="1" t="s">
        <v>4755</v>
      </c>
      <c r="B1652" s="2" t="s">
        <v>27</v>
      </c>
      <c r="C1652" s="2" t="s">
        <v>28</v>
      </c>
      <c r="D1652" s="2" t="s">
        <v>4756</v>
      </c>
      <c r="E1652" s="3" t="s">
        <v>4757</v>
      </c>
      <c r="F1652" s="4" t="s">
        <v>38</v>
      </c>
      <c r="G1652" s="4" t="s">
        <v>113</v>
      </c>
      <c r="H1652" s="14"/>
      <c r="I1652" s="4" t="s">
        <v>419</v>
      </c>
      <c r="J1652" s="6" t="s">
        <v>256</v>
      </c>
      <c r="K1652" s="25">
        <v>8.0</v>
      </c>
      <c r="L1652" s="8" t="str">
        <f>UPPER(G1652)</f>
        <v>BARRANCABERMEJA</v>
      </c>
      <c r="O1652" s="10"/>
    </row>
    <row r="1653" ht="14.25" hidden="1" customHeight="1">
      <c r="A1653" s="13" t="s">
        <v>4758</v>
      </c>
      <c r="B1653" s="4" t="s">
        <v>27</v>
      </c>
      <c r="C1653" s="4" t="s">
        <v>28</v>
      </c>
      <c r="D1653" s="4" t="s">
        <v>4759</v>
      </c>
      <c r="E1653" s="4">
        <v>3.102211527E9</v>
      </c>
      <c r="F1653" s="4" t="s">
        <v>30</v>
      </c>
      <c r="G1653" s="4" t="s">
        <v>35</v>
      </c>
      <c r="H1653" s="14"/>
      <c r="I1653" s="4" t="s">
        <v>32</v>
      </c>
      <c r="J1653" s="14"/>
      <c r="K1653" s="14"/>
      <c r="L1653" s="14"/>
    </row>
    <row r="1654" ht="14.25" hidden="1" customHeight="1">
      <c r="A1654" s="13" t="s">
        <v>4760</v>
      </c>
      <c r="B1654" s="4" t="s">
        <v>27</v>
      </c>
      <c r="C1654" s="4" t="s">
        <v>28</v>
      </c>
      <c r="D1654" s="4" t="s">
        <v>4761</v>
      </c>
      <c r="E1654" s="4">
        <v>3.14294672E9</v>
      </c>
      <c r="F1654" s="4" t="s">
        <v>30</v>
      </c>
      <c r="G1654" s="4" t="s">
        <v>35</v>
      </c>
      <c r="H1654" s="14"/>
      <c r="I1654" s="4" t="s">
        <v>32</v>
      </c>
      <c r="J1654" s="14"/>
      <c r="K1654" s="14"/>
      <c r="L1654" s="14"/>
    </row>
    <row r="1655" ht="14.25" hidden="1" customHeight="1">
      <c r="A1655" s="13" t="s">
        <v>4762</v>
      </c>
      <c r="B1655" s="4" t="s">
        <v>27</v>
      </c>
      <c r="C1655" s="4" t="s">
        <v>28</v>
      </c>
      <c r="D1655" s="4" t="s">
        <v>4763</v>
      </c>
      <c r="E1655" s="4">
        <v>3.22292338E9</v>
      </c>
      <c r="F1655" s="4" t="s">
        <v>30</v>
      </c>
      <c r="G1655" s="4" t="s">
        <v>31</v>
      </c>
      <c r="H1655" s="14"/>
      <c r="I1655" s="4" t="s">
        <v>32</v>
      </c>
      <c r="J1655" s="14"/>
      <c r="K1655" s="14"/>
      <c r="L1655" s="14"/>
    </row>
    <row r="1656" ht="14.25" customHeight="1">
      <c r="A1656" s="1" t="s">
        <v>4764</v>
      </c>
      <c r="B1656" s="2" t="s">
        <v>27</v>
      </c>
      <c r="C1656" s="2" t="s">
        <v>28</v>
      </c>
      <c r="D1656" s="2" t="s">
        <v>4765</v>
      </c>
      <c r="E1656" s="3" t="s">
        <v>4766</v>
      </c>
      <c r="F1656" s="4" t="s">
        <v>38</v>
      </c>
      <c r="G1656" s="4" t="s">
        <v>39</v>
      </c>
      <c r="H1656" s="4" t="s">
        <v>118</v>
      </c>
      <c r="I1656" s="4" t="s">
        <v>561</v>
      </c>
      <c r="J1656" s="6" t="s">
        <v>328</v>
      </c>
      <c r="K1656" s="25">
        <v>24.0</v>
      </c>
      <c r="L1656" s="8" t="str">
        <f t="shared" ref="L1656:L1658" si="217">UPPER(G1656)</f>
        <v>BUCARAMANGA</v>
      </c>
      <c r="O1656" s="10"/>
    </row>
    <row r="1657" ht="14.25" customHeight="1">
      <c r="A1657" s="1" t="s">
        <v>4767</v>
      </c>
      <c r="B1657" s="2" t="s">
        <v>27</v>
      </c>
      <c r="C1657" s="2" t="s">
        <v>28</v>
      </c>
      <c r="D1657" s="2" t="s">
        <v>4768</v>
      </c>
      <c r="E1657" s="3" t="s">
        <v>4769</v>
      </c>
      <c r="F1657" s="4" t="s">
        <v>38</v>
      </c>
      <c r="G1657" s="4" t="s">
        <v>201</v>
      </c>
      <c r="H1657" s="30"/>
      <c r="I1657" s="4" t="s">
        <v>540</v>
      </c>
      <c r="J1657" s="6" t="s">
        <v>1237</v>
      </c>
      <c r="K1657" s="25">
        <v>15.0</v>
      </c>
      <c r="L1657" s="8" t="str">
        <f t="shared" si="217"/>
        <v>LEBRIJA</v>
      </c>
      <c r="O1657" s="10"/>
    </row>
    <row r="1658" ht="14.25" customHeight="1">
      <c r="A1658" s="1" t="s">
        <v>4770</v>
      </c>
      <c r="B1658" s="2" t="s">
        <v>27</v>
      </c>
      <c r="C1658" s="2" t="s">
        <v>28</v>
      </c>
      <c r="D1658" s="2" t="s">
        <v>4771</v>
      </c>
      <c r="E1658" s="3" t="s">
        <v>4772</v>
      </c>
      <c r="F1658" s="4" t="s">
        <v>38</v>
      </c>
      <c r="G1658" s="4" t="s">
        <v>4773</v>
      </c>
      <c r="H1658" s="30"/>
      <c r="I1658" s="4" t="s">
        <v>561</v>
      </c>
      <c r="J1658" s="6" t="s">
        <v>171</v>
      </c>
      <c r="K1658" s="25">
        <v>6.0</v>
      </c>
      <c r="L1658" s="8" t="str">
        <f t="shared" si="217"/>
        <v>MATANZA</v>
      </c>
      <c r="O1658" s="10"/>
    </row>
    <row r="1659" ht="14.25" hidden="1" customHeight="1">
      <c r="A1659" s="13" t="s">
        <v>4774</v>
      </c>
      <c r="B1659" s="4" t="s">
        <v>27</v>
      </c>
      <c r="C1659" s="4" t="s">
        <v>28</v>
      </c>
      <c r="D1659" s="4" t="s">
        <v>4775</v>
      </c>
      <c r="E1659" s="4">
        <v>3.14294672E9</v>
      </c>
      <c r="F1659" s="4" t="s">
        <v>30</v>
      </c>
      <c r="G1659" s="4" t="s">
        <v>35</v>
      </c>
      <c r="H1659" s="30"/>
      <c r="I1659" s="4" t="s">
        <v>32</v>
      </c>
      <c r="J1659" s="14"/>
      <c r="K1659" s="14"/>
      <c r="L1659" s="14"/>
    </row>
    <row r="1660" ht="14.25" customHeight="1">
      <c r="A1660" s="1" t="s">
        <v>4776</v>
      </c>
      <c r="B1660" s="2" t="s">
        <v>27</v>
      </c>
      <c r="C1660" s="2" t="s">
        <v>551</v>
      </c>
      <c r="D1660" s="2" t="s">
        <v>4777</v>
      </c>
      <c r="E1660" s="3" t="s">
        <v>4778</v>
      </c>
      <c r="F1660" s="4" t="s">
        <v>38</v>
      </c>
      <c r="G1660" s="4" t="s">
        <v>39</v>
      </c>
      <c r="H1660" s="4" t="s">
        <v>886</v>
      </c>
      <c r="I1660" s="4" t="s">
        <v>76</v>
      </c>
      <c r="J1660" s="6" t="s">
        <v>99</v>
      </c>
      <c r="K1660" s="25">
        <v>13.0</v>
      </c>
      <c r="L1660" s="8" t="str">
        <f>UPPER(G1660)</f>
        <v>BUCARAMANGA</v>
      </c>
      <c r="O1660" s="10"/>
    </row>
    <row r="1661" ht="14.25" hidden="1" customHeight="1">
      <c r="A1661" s="13" t="s">
        <v>4779</v>
      </c>
      <c r="B1661" s="4" t="s">
        <v>27</v>
      </c>
      <c r="C1661" s="4" t="s">
        <v>28</v>
      </c>
      <c r="D1661" s="4" t="s">
        <v>4780</v>
      </c>
      <c r="E1661" s="4">
        <v>3.22292338E9</v>
      </c>
      <c r="F1661" s="4" t="s">
        <v>30</v>
      </c>
      <c r="G1661" s="4" t="s">
        <v>31</v>
      </c>
      <c r="H1661" s="30"/>
      <c r="I1661" s="4" t="s">
        <v>32</v>
      </c>
      <c r="J1661" s="14"/>
      <c r="K1661" s="14"/>
      <c r="L1661" s="14"/>
    </row>
    <row r="1662" ht="14.25" hidden="1" customHeight="1">
      <c r="A1662" s="13" t="s">
        <v>4781</v>
      </c>
      <c r="B1662" s="4" t="s">
        <v>27</v>
      </c>
      <c r="C1662" s="4" t="s">
        <v>28</v>
      </c>
      <c r="D1662" s="4" t="s">
        <v>4782</v>
      </c>
      <c r="E1662" s="4">
        <v>3.213289711E9</v>
      </c>
      <c r="F1662" s="4" t="s">
        <v>30</v>
      </c>
      <c r="G1662" s="4" t="s">
        <v>35</v>
      </c>
      <c r="H1662" s="30"/>
      <c r="I1662" s="4" t="s">
        <v>32</v>
      </c>
      <c r="J1662" s="30"/>
      <c r="K1662" s="30"/>
      <c r="L1662" s="14"/>
    </row>
    <row r="1663" ht="14.25" customHeight="1">
      <c r="A1663" s="1" t="s">
        <v>4783</v>
      </c>
      <c r="B1663" s="2" t="s">
        <v>27</v>
      </c>
      <c r="C1663" s="2" t="s">
        <v>28</v>
      </c>
      <c r="D1663" s="2" t="s">
        <v>4784</v>
      </c>
      <c r="E1663" s="3" t="s">
        <v>4785</v>
      </c>
      <c r="F1663" s="4" t="s">
        <v>38</v>
      </c>
      <c r="G1663" s="4" t="s">
        <v>113</v>
      </c>
      <c r="H1663" s="4" t="s">
        <v>4786</v>
      </c>
      <c r="I1663" s="4" t="s">
        <v>182</v>
      </c>
      <c r="J1663" s="6" t="s">
        <v>1410</v>
      </c>
      <c r="K1663" s="25">
        <v>2.0</v>
      </c>
      <c r="L1663" s="8" t="str">
        <f>UPPER(G1663)</f>
        <v>BARRANCABERMEJA</v>
      </c>
      <c r="O1663" s="10"/>
    </row>
    <row r="1664" ht="14.25" hidden="1" customHeight="1">
      <c r="A1664" s="13" t="s">
        <v>4787</v>
      </c>
      <c r="B1664" s="4" t="s">
        <v>27</v>
      </c>
      <c r="C1664" s="4" t="s">
        <v>28</v>
      </c>
      <c r="D1664" s="4" t="s">
        <v>4788</v>
      </c>
      <c r="E1664" s="4">
        <v>3.102211527E9</v>
      </c>
      <c r="F1664" s="4" t="s">
        <v>30</v>
      </c>
      <c r="G1664" s="4" t="s">
        <v>35</v>
      </c>
      <c r="H1664" s="14"/>
      <c r="I1664" s="4" t="s">
        <v>32</v>
      </c>
      <c r="J1664" s="14"/>
      <c r="K1664" s="14"/>
      <c r="L1664" s="14"/>
    </row>
    <row r="1665" ht="14.25" customHeight="1">
      <c r="A1665" s="1" t="s">
        <v>4789</v>
      </c>
      <c r="B1665" s="2" t="s">
        <v>27</v>
      </c>
      <c r="C1665" s="2" t="s">
        <v>28</v>
      </c>
      <c r="D1665" s="2" t="s">
        <v>4790</v>
      </c>
      <c r="E1665" s="3" t="s">
        <v>4791</v>
      </c>
      <c r="F1665" s="4" t="s">
        <v>38</v>
      </c>
      <c r="G1665" s="4" t="s">
        <v>39</v>
      </c>
      <c r="H1665" s="4" t="s">
        <v>4792</v>
      </c>
      <c r="I1665" s="4" t="s">
        <v>561</v>
      </c>
      <c r="J1665" s="6" t="s">
        <v>851</v>
      </c>
      <c r="K1665" s="25">
        <v>52.0</v>
      </c>
      <c r="L1665" s="8" t="str">
        <f t="shared" ref="L1665:L1666" si="218">UPPER(G1665)</f>
        <v>BUCARAMANGA</v>
      </c>
      <c r="O1665" s="10"/>
    </row>
    <row r="1666" ht="14.25" customHeight="1">
      <c r="A1666" s="1" t="s">
        <v>4793</v>
      </c>
      <c r="B1666" s="2" t="s">
        <v>27</v>
      </c>
      <c r="C1666" s="2" t="s">
        <v>28</v>
      </c>
      <c r="D1666" s="2" t="s">
        <v>4794</v>
      </c>
      <c r="E1666" s="3" t="s">
        <v>4795</v>
      </c>
      <c r="F1666" s="4" t="s">
        <v>69</v>
      </c>
      <c r="G1666" s="4" t="s">
        <v>69</v>
      </c>
      <c r="H1666" s="14"/>
      <c r="I1666" s="4" t="s">
        <v>182</v>
      </c>
      <c r="J1666" s="6" t="s">
        <v>4796</v>
      </c>
      <c r="K1666" s="25">
        <v>9.0</v>
      </c>
      <c r="L1666" s="8" t="str">
        <f t="shared" si="218"/>
        <v>BOGOTA</v>
      </c>
      <c r="O1666" s="10"/>
    </row>
    <row r="1667" ht="14.25" hidden="1" customHeight="1">
      <c r="A1667" s="13" t="s">
        <v>4797</v>
      </c>
      <c r="B1667" s="4" t="s">
        <v>27</v>
      </c>
      <c r="C1667" s="4" t="s">
        <v>28</v>
      </c>
      <c r="D1667" s="4" t="s">
        <v>4798</v>
      </c>
      <c r="E1667" s="4">
        <v>3.125007711E9</v>
      </c>
      <c r="F1667" s="4" t="s">
        <v>30</v>
      </c>
      <c r="G1667" s="4" t="s">
        <v>35</v>
      </c>
      <c r="H1667" s="14"/>
      <c r="I1667" s="4" t="s">
        <v>32</v>
      </c>
      <c r="J1667" s="14"/>
      <c r="K1667" s="14"/>
      <c r="L1667" s="14"/>
    </row>
    <row r="1668" ht="14.25" customHeight="1">
      <c r="A1668" s="1" t="s">
        <v>4799</v>
      </c>
      <c r="B1668" s="2" t="s">
        <v>27</v>
      </c>
      <c r="C1668" s="2" t="s">
        <v>28</v>
      </c>
      <c r="D1668" s="2" t="s">
        <v>4800</v>
      </c>
      <c r="E1668" s="3" t="s">
        <v>2162</v>
      </c>
      <c r="F1668" s="4" t="s">
        <v>38</v>
      </c>
      <c r="G1668" s="4" t="s">
        <v>75</v>
      </c>
      <c r="H1668" s="4" t="s">
        <v>2163</v>
      </c>
      <c r="I1668" s="4" t="s">
        <v>561</v>
      </c>
      <c r="J1668" s="6" t="s">
        <v>4639</v>
      </c>
      <c r="K1668" s="25">
        <v>4.0</v>
      </c>
      <c r="L1668" s="8" t="str">
        <f>UPPER(G1668)</f>
        <v>GIRON</v>
      </c>
      <c r="O1668" s="10"/>
    </row>
    <row r="1669" ht="14.25" hidden="1" customHeight="1">
      <c r="A1669" s="13" t="s">
        <v>4801</v>
      </c>
      <c r="B1669" s="4" t="s">
        <v>27</v>
      </c>
      <c r="C1669" s="4" t="s">
        <v>28</v>
      </c>
      <c r="D1669" s="4" t="s">
        <v>4802</v>
      </c>
      <c r="E1669" s="4">
        <v>3.22292338E9</v>
      </c>
      <c r="F1669" s="4" t="s">
        <v>30</v>
      </c>
      <c r="G1669" s="4" t="s">
        <v>31</v>
      </c>
      <c r="H1669" s="14"/>
      <c r="I1669" s="4" t="s">
        <v>32</v>
      </c>
      <c r="J1669" s="14"/>
      <c r="K1669" s="14"/>
      <c r="L1669" s="14"/>
    </row>
    <row r="1670" ht="14.25" hidden="1" customHeight="1">
      <c r="A1670" s="13" t="s">
        <v>4803</v>
      </c>
      <c r="B1670" s="4" t="s">
        <v>27</v>
      </c>
      <c r="C1670" s="4" t="s">
        <v>28</v>
      </c>
      <c r="D1670" s="4" t="s">
        <v>4804</v>
      </c>
      <c r="E1670" s="4">
        <v>3.104858589E9</v>
      </c>
      <c r="F1670" s="4" t="s">
        <v>30</v>
      </c>
      <c r="G1670" s="4" t="s">
        <v>31</v>
      </c>
      <c r="H1670" s="14"/>
      <c r="I1670" s="4" t="s">
        <v>32</v>
      </c>
      <c r="J1670" s="14"/>
      <c r="K1670" s="14"/>
      <c r="L1670" s="14"/>
    </row>
    <row r="1671" ht="14.25" customHeight="1">
      <c r="A1671" s="1" t="s">
        <v>4805</v>
      </c>
      <c r="B1671" s="2" t="s">
        <v>27</v>
      </c>
      <c r="C1671" s="2" t="s">
        <v>28</v>
      </c>
      <c r="D1671" s="2" t="s">
        <v>4806</v>
      </c>
      <c r="E1671" s="3" t="s">
        <v>4807</v>
      </c>
      <c r="F1671" s="4" t="s">
        <v>655</v>
      </c>
      <c r="G1671" s="4" t="s">
        <v>4808</v>
      </c>
      <c r="H1671" s="14"/>
      <c r="I1671" s="4" t="s">
        <v>358</v>
      </c>
      <c r="J1671" s="6" t="s">
        <v>4809</v>
      </c>
      <c r="K1671" s="25">
        <v>10.0</v>
      </c>
      <c r="L1671" s="8" t="str">
        <f t="shared" ref="L1671:L1677" si="219">UPPER(G1671)</f>
        <v>OCAÑA</v>
      </c>
      <c r="O1671" s="10"/>
    </row>
    <row r="1672" ht="14.25" customHeight="1">
      <c r="A1672" s="1" t="s">
        <v>4810</v>
      </c>
      <c r="B1672" s="2" t="s">
        <v>27</v>
      </c>
      <c r="C1672" s="2" t="s">
        <v>28</v>
      </c>
      <c r="D1672" s="2" t="s">
        <v>4811</v>
      </c>
      <c r="E1672" s="3" t="s">
        <v>4812</v>
      </c>
      <c r="F1672" s="4" t="s">
        <v>69</v>
      </c>
      <c r="G1672" s="4" t="s">
        <v>69</v>
      </c>
      <c r="H1672" s="14"/>
      <c r="I1672" s="4" t="s">
        <v>51</v>
      </c>
      <c r="J1672" s="6" t="s">
        <v>171</v>
      </c>
      <c r="K1672" s="25">
        <v>31.0</v>
      </c>
      <c r="L1672" s="8" t="str">
        <f t="shared" si="219"/>
        <v>BOGOTA</v>
      </c>
      <c r="O1672" s="10"/>
    </row>
    <row r="1673" ht="14.25" customHeight="1">
      <c r="A1673" s="1" t="s">
        <v>4813</v>
      </c>
      <c r="B1673" s="2" t="s">
        <v>27</v>
      </c>
      <c r="C1673" s="2" t="s">
        <v>28</v>
      </c>
      <c r="D1673" s="2" t="s">
        <v>4814</v>
      </c>
      <c r="E1673" s="3" t="s">
        <v>4815</v>
      </c>
      <c r="F1673" s="4" t="s">
        <v>69</v>
      </c>
      <c r="G1673" s="4" t="s">
        <v>69</v>
      </c>
      <c r="H1673" s="14"/>
      <c r="I1673" s="4" t="s">
        <v>51</v>
      </c>
      <c r="J1673" s="6" t="s">
        <v>803</v>
      </c>
      <c r="K1673" s="25">
        <v>18.0</v>
      </c>
      <c r="L1673" s="8" t="str">
        <f t="shared" si="219"/>
        <v>BOGOTA</v>
      </c>
      <c r="O1673" s="10"/>
    </row>
    <row r="1674" ht="14.25" customHeight="1">
      <c r="A1674" s="1" t="s">
        <v>4816</v>
      </c>
      <c r="B1674" s="2" t="s">
        <v>27</v>
      </c>
      <c r="C1674" s="2" t="s">
        <v>28</v>
      </c>
      <c r="D1674" s="2" t="s">
        <v>4817</v>
      </c>
      <c r="E1674" s="3" t="s">
        <v>4818</v>
      </c>
      <c r="F1674" s="4" t="s">
        <v>69</v>
      </c>
      <c r="G1674" s="4" t="s">
        <v>69</v>
      </c>
      <c r="H1674" s="30"/>
      <c r="I1674" s="4" t="s">
        <v>51</v>
      </c>
      <c r="J1674" s="6" t="s">
        <v>4819</v>
      </c>
      <c r="K1674" s="25">
        <v>11.0</v>
      </c>
      <c r="L1674" s="8" t="str">
        <f t="shared" si="219"/>
        <v>BOGOTA</v>
      </c>
      <c r="O1674" s="10"/>
    </row>
    <row r="1675" ht="14.25" customHeight="1">
      <c r="A1675" s="1" t="s">
        <v>4820</v>
      </c>
      <c r="B1675" s="2" t="s">
        <v>27</v>
      </c>
      <c r="C1675" s="2" t="s">
        <v>28</v>
      </c>
      <c r="D1675" s="2" t="s">
        <v>4821</v>
      </c>
      <c r="E1675" s="3" t="s">
        <v>4822</v>
      </c>
      <c r="F1675" s="4" t="s">
        <v>38</v>
      </c>
      <c r="G1675" s="4" t="s">
        <v>113</v>
      </c>
      <c r="H1675" s="4" t="s">
        <v>357</v>
      </c>
      <c r="I1675" s="4" t="s">
        <v>358</v>
      </c>
      <c r="J1675" s="6" t="s">
        <v>256</v>
      </c>
      <c r="K1675" s="25">
        <v>15.0</v>
      </c>
      <c r="L1675" s="8" t="str">
        <f t="shared" si="219"/>
        <v>BARRANCABERMEJA</v>
      </c>
      <c r="O1675" s="10"/>
    </row>
    <row r="1676" ht="14.25" customHeight="1">
      <c r="A1676" s="1" t="s">
        <v>4823</v>
      </c>
      <c r="B1676" s="2" t="s">
        <v>27</v>
      </c>
      <c r="C1676" s="2" t="s">
        <v>28</v>
      </c>
      <c r="D1676" s="2" t="s">
        <v>4824</v>
      </c>
      <c r="E1676" s="3" t="s">
        <v>583</v>
      </c>
      <c r="F1676" s="4" t="s">
        <v>38</v>
      </c>
      <c r="G1676" s="4" t="s">
        <v>113</v>
      </c>
      <c r="H1676" s="14"/>
      <c r="I1676" s="4" t="s">
        <v>540</v>
      </c>
      <c r="J1676" s="6" t="s">
        <v>696</v>
      </c>
      <c r="K1676" s="25">
        <v>12.0</v>
      </c>
      <c r="L1676" s="8" t="str">
        <f t="shared" si="219"/>
        <v>BARRANCABERMEJA</v>
      </c>
      <c r="O1676" s="10"/>
    </row>
    <row r="1677" ht="14.25" customHeight="1">
      <c r="A1677" s="1" t="s">
        <v>4825</v>
      </c>
      <c r="B1677" s="2" t="s">
        <v>27</v>
      </c>
      <c r="C1677" s="2" t="s">
        <v>66</v>
      </c>
      <c r="D1677" s="2" t="s">
        <v>4826</v>
      </c>
      <c r="E1677" s="3" t="s">
        <v>4827</v>
      </c>
      <c r="F1677" s="4" t="s">
        <v>38</v>
      </c>
      <c r="G1677" s="4" t="s">
        <v>113</v>
      </c>
      <c r="H1677" s="4" t="s">
        <v>965</v>
      </c>
      <c r="I1677" s="4" t="s">
        <v>358</v>
      </c>
      <c r="J1677" s="6" t="s">
        <v>4828</v>
      </c>
      <c r="K1677" s="25">
        <v>11.0</v>
      </c>
      <c r="L1677" s="8" t="str">
        <f t="shared" si="219"/>
        <v>BARRANCABERMEJA</v>
      </c>
      <c r="O1677" s="10"/>
    </row>
    <row r="1678" ht="14.25" hidden="1" customHeight="1">
      <c r="A1678" s="13" t="s">
        <v>4829</v>
      </c>
      <c r="B1678" s="4" t="s">
        <v>27</v>
      </c>
      <c r="C1678" s="4" t="s">
        <v>28</v>
      </c>
      <c r="D1678" s="4" t="s">
        <v>4830</v>
      </c>
      <c r="E1678" s="4">
        <v>3.22292338E9</v>
      </c>
      <c r="F1678" s="4" t="s">
        <v>30</v>
      </c>
      <c r="G1678" s="4" t="s">
        <v>31</v>
      </c>
      <c r="H1678" s="14"/>
      <c r="I1678" s="4" t="s">
        <v>32</v>
      </c>
      <c r="J1678" s="30"/>
      <c r="K1678" s="30"/>
      <c r="L1678" s="14"/>
    </row>
    <row r="1679" ht="14.25" hidden="1" customHeight="1">
      <c r="A1679" s="13" t="s">
        <v>4831</v>
      </c>
      <c r="B1679" s="4" t="s">
        <v>27</v>
      </c>
      <c r="C1679" s="4" t="s">
        <v>28</v>
      </c>
      <c r="D1679" s="4" t="s">
        <v>4832</v>
      </c>
      <c r="E1679" s="4">
        <v>3.13684663E9</v>
      </c>
      <c r="F1679" s="4" t="s">
        <v>30</v>
      </c>
      <c r="G1679" s="4" t="s">
        <v>35</v>
      </c>
      <c r="H1679" s="14"/>
      <c r="I1679" s="4" t="s">
        <v>32</v>
      </c>
      <c r="J1679" s="14"/>
      <c r="K1679" s="14"/>
      <c r="L1679" s="14"/>
    </row>
    <row r="1680" ht="14.25" hidden="1" customHeight="1">
      <c r="A1680" s="13" t="s">
        <v>4833</v>
      </c>
      <c r="B1680" s="4" t="s">
        <v>27</v>
      </c>
      <c r="C1680" s="4" t="s">
        <v>28</v>
      </c>
      <c r="D1680" s="4" t="s">
        <v>4834</v>
      </c>
      <c r="E1680" s="4">
        <v>3.118713141E9</v>
      </c>
      <c r="F1680" s="4" t="s">
        <v>30</v>
      </c>
      <c r="G1680" s="4" t="s">
        <v>31</v>
      </c>
      <c r="H1680" s="30"/>
      <c r="I1680" s="4" t="s">
        <v>32</v>
      </c>
      <c r="J1680" s="14"/>
      <c r="K1680" s="14"/>
      <c r="L1680" s="14"/>
    </row>
    <row r="1681" ht="14.25" customHeight="1">
      <c r="A1681" s="1" t="s">
        <v>4835</v>
      </c>
      <c r="B1681" s="2" t="s">
        <v>27</v>
      </c>
      <c r="C1681" s="2" t="s">
        <v>28</v>
      </c>
      <c r="D1681" s="2" t="s">
        <v>4836</v>
      </c>
      <c r="E1681" s="3" t="s">
        <v>4837</v>
      </c>
      <c r="F1681" s="4" t="s">
        <v>38</v>
      </c>
      <c r="G1681" s="4" t="s">
        <v>39</v>
      </c>
      <c r="H1681" s="4" t="s">
        <v>642</v>
      </c>
      <c r="I1681" s="4" t="s">
        <v>561</v>
      </c>
      <c r="J1681" s="6" t="s">
        <v>851</v>
      </c>
      <c r="K1681" s="25">
        <v>48.0</v>
      </c>
      <c r="L1681" s="8" t="str">
        <f t="shared" ref="L1681:L1683" si="220">UPPER(G1681)</f>
        <v>BUCARAMANGA</v>
      </c>
      <c r="O1681" s="10"/>
    </row>
    <row r="1682" ht="14.25" customHeight="1">
      <c r="A1682" s="1" t="s">
        <v>4838</v>
      </c>
      <c r="B1682" s="2" t="s">
        <v>27</v>
      </c>
      <c r="C1682" s="2" t="s">
        <v>28</v>
      </c>
      <c r="D1682" s="2" t="s">
        <v>4839</v>
      </c>
      <c r="E1682" s="3" t="s">
        <v>4840</v>
      </c>
      <c r="F1682" s="4" t="s">
        <v>38</v>
      </c>
      <c r="G1682" s="4" t="s">
        <v>39</v>
      </c>
      <c r="H1682" s="4" t="s">
        <v>40</v>
      </c>
      <c r="I1682" s="4" t="s">
        <v>561</v>
      </c>
      <c r="J1682" s="6" t="s">
        <v>958</v>
      </c>
      <c r="K1682" s="25">
        <v>41.0</v>
      </c>
      <c r="L1682" s="8" t="str">
        <f t="shared" si="220"/>
        <v>BUCARAMANGA</v>
      </c>
      <c r="O1682" s="10"/>
    </row>
    <row r="1683" ht="14.25" customHeight="1">
      <c r="A1683" s="1" t="s">
        <v>4841</v>
      </c>
      <c r="B1683" s="2" t="s">
        <v>27</v>
      </c>
      <c r="C1683" s="2" t="s">
        <v>28</v>
      </c>
      <c r="D1683" s="2" t="s">
        <v>4842</v>
      </c>
      <c r="E1683" s="3" t="s">
        <v>4843</v>
      </c>
      <c r="F1683" s="4" t="s">
        <v>38</v>
      </c>
      <c r="G1683" s="4" t="s">
        <v>4844</v>
      </c>
      <c r="H1683" s="30"/>
      <c r="I1683" s="4" t="s">
        <v>76</v>
      </c>
      <c r="J1683" s="6" t="s">
        <v>4845</v>
      </c>
      <c r="K1683" s="25">
        <v>12.0</v>
      </c>
      <c r="L1683" s="8" t="str">
        <f t="shared" si="220"/>
        <v>SABANA DE TORRES</v>
      </c>
      <c r="O1683" s="10"/>
    </row>
    <row r="1684" ht="14.25" hidden="1" customHeight="1">
      <c r="A1684" s="13" t="s">
        <v>4846</v>
      </c>
      <c r="B1684" s="4" t="s">
        <v>27</v>
      </c>
      <c r="C1684" s="4" t="s">
        <v>28</v>
      </c>
      <c r="D1684" s="4" t="s">
        <v>4847</v>
      </c>
      <c r="E1684" s="4">
        <v>3.102211527E9</v>
      </c>
      <c r="F1684" s="4" t="s">
        <v>30</v>
      </c>
      <c r="G1684" s="4" t="s">
        <v>35</v>
      </c>
      <c r="H1684" s="14"/>
      <c r="I1684" s="4" t="s">
        <v>32</v>
      </c>
      <c r="J1684" s="14"/>
      <c r="K1684" s="14"/>
      <c r="L1684" s="14"/>
    </row>
    <row r="1685" ht="14.25" hidden="1" customHeight="1">
      <c r="A1685" s="13" t="s">
        <v>4848</v>
      </c>
      <c r="B1685" s="4" t="s">
        <v>27</v>
      </c>
      <c r="C1685" s="4" t="s">
        <v>28</v>
      </c>
      <c r="D1685" s="4" t="s">
        <v>4849</v>
      </c>
      <c r="E1685" s="4">
        <v>3.14294672E9</v>
      </c>
      <c r="F1685" s="4" t="s">
        <v>30</v>
      </c>
      <c r="G1685" s="4" t="s">
        <v>35</v>
      </c>
      <c r="H1685" s="14"/>
      <c r="I1685" s="4" t="s">
        <v>32</v>
      </c>
      <c r="J1685" s="14"/>
      <c r="K1685" s="14"/>
      <c r="L1685" s="14"/>
    </row>
    <row r="1686" ht="14.25" hidden="1" customHeight="1">
      <c r="A1686" s="13" t="s">
        <v>4850</v>
      </c>
      <c r="B1686" s="4" t="s">
        <v>27</v>
      </c>
      <c r="C1686" s="4" t="s">
        <v>28</v>
      </c>
      <c r="D1686" s="4" t="s">
        <v>4851</v>
      </c>
      <c r="E1686" s="4">
        <v>3.166026011E9</v>
      </c>
      <c r="F1686" s="4" t="s">
        <v>30</v>
      </c>
      <c r="G1686" s="4" t="s">
        <v>35</v>
      </c>
      <c r="H1686" s="14"/>
      <c r="I1686" s="4" t="s">
        <v>32</v>
      </c>
      <c r="J1686" s="14"/>
      <c r="K1686" s="14"/>
      <c r="L1686" s="14"/>
    </row>
    <row r="1687" ht="14.25" customHeight="1">
      <c r="A1687" s="1" t="s">
        <v>4852</v>
      </c>
      <c r="B1687" s="2" t="s">
        <v>27</v>
      </c>
      <c r="C1687" s="2" t="s">
        <v>28</v>
      </c>
      <c r="D1687" s="2" t="s">
        <v>4853</v>
      </c>
      <c r="E1687" s="3" t="s">
        <v>4854</v>
      </c>
      <c r="F1687" s="4" t="s">
        <v>38</v>
      </c>
      <c r="G1687" s="4" t="s">
        <v>113</v>
      </c>
      <c r="H1687" s="14"/>
      <c r="I1687" s="4" t="s">
        <v>358</v>
      </c>
      <c r="J1687" s="6" t="s">
        <v>4855</v>
      </c>
      <c r="K1687" s="25">
        <v>12.0</v>
      </c>
      <c r="L1687" s="8" t="str">
        <f>UPPER(G1687)</f>
        <v>BARRANCABERMEJA</v>
      </c>
      <c r="O1687" s="10"/>
    </row>
    <row r="1688" ht="14.25" hidden="1" customHeight="1">
      <c r="A1688" s="13" t="s">
        <v>4856</v>
      </c>
      <c r="B1688" s="4" t="s">
        <v>27</v>
      </c>
      <c r="C1688" s="4" t="s">
        <v>28</v>
      </c>
      <c r="D1688" s="4" t="s">
        <v>4857</v>
      </c>
      <c r="E1688" s="4">
        <v>3.125540939E9</v>
      </c>
      <c r="F1688" s="4" t="s">
        <v>30</v>
      </c>
      <c r="G1688" s="4" t="s">
        <v>35</v>
      </c>
      <c r="H1688" s="14"/>
      <c r="I1688" s="4" t="s">
        <v>32</v>
      </c>
      <c r="J1688" s="14"/>
      <c r="K1688" s="14"/>
      <c r="L1688" s="14"/>
    </row>
    <row r="1689" ht="14.25" customHeight="1">
      <c r="A1689" s="1" t="s">
        <v>4858</v>
      </c>
      <c r="B1689" s="2" t="s">
        <v>27</v>
      </c>
      <c r="C1689" s="2" t="s">
        <v>28</v>
      </c>
      <c r="D1689" s="2" t="s">
        <v>4859</v>
      </c>
      <c r="E1689" s="3" t="s">
        <v>4860</v>
      </c>
      <c r="F1689" s="4" t="s">
        <v>38</v>
      </c>
      <c r="G1689" s="4" t="s">
        <v>39</v>
      </c>
      <c r="H1689" s="4" t="s">
        <v>2102</v>
      </c>
      <c r="I1689" s="4" t="s">
        <v>76</v>
      </c>
      <c r="J1689" s="6" t="s">
        <v>250</v>
      </c>
      <c r="K1689" s="25">
        <v>12.0</v>
      </c>
      <c r="L1689" s="8" t="str">
        <f t="shared" ref="L1689:L1690" si="221">UPPER(G1689)</f>
        <v>BUCARAMANGA</v>
      </c>
      <c r="O1689" s="10"/>
    </row>
    <row r="1690" ht="14.25" customHeight="1">
      <c r="A1690" s="1" t="s">
        <v>4861</v>
      </c>
      <c r="B1690" s="2" t="s">
        <v>27</v>
      </c>
      <c r="C1690" s="2" t="s">
        <v>28</v>
      </c>
      <c r="D1690" s="2" t="s">
        <v>4862</v>
      </c>
      <c r="E1690" s="3" t="s">
        <v>4863</v>
      </c>
      <c r="F1690" s="4" t="s">
        <v>38</v>
      </c>
      <c r="G1690" s="4" t="s">
        <v>39</v>
      </c>
      <c r="H1690" s="14"/>
      <c r="I1690" s="4" t="s">
        <v>540</v>
      </c>
      <c r="J1690" s="6" t="s">
        <v>297</v>
      </c>
      <c r="K1690" s="25">
        <v>26.0</v>
      </c>
      <c r="L1690" s="8" t="str">
        <f t="shared" si="221"/>
        <v>BUCARAMANGA</v>
      </c>
      <c r="O1690" s="10"/>
    </row>
    <row r="1691" ht="14.25" hidden="1" customHeight="1">
      <c r="A1691" s="13" t="s">
        <v>4864</v>
      </c>
      <c r="B1691" s="4" t="s">
        <v>27</v>
      </c>
      <c r="C1691" s="4" t="s">
        <v>28</v>
      </c>
      <c r="D1691" s="4" t="s">
        <v>4865</v>
      </c>
      <c r="E1691" s="4">
        <v>3.138451306E9</v>
      </c>
      <c r="F1691" s="4" t="s">
        <v>30</v>
      </c>
      <c r="G1691" s="4" t="s">
        <v>35</v>
      </c>
      <c r="H1691" s="14"/>
      <c r="I1691" s="4" t="s">
        <v>32</v>
      </c>
      <c r="J1691" s="14"/>
      <c r="K1691" s="14"/>
      <c r="L1691" s="14"/>
    </row>
    <row r="1692" ht="14.25" customHeight="1">
      <c r="A1692" s="1" t="s">
        <v>4866</v>
      </c>
      <c r="B1692" s="2" t="s">
        <v>27</v>
      </c>
      <c r="C1692" s="2" t="s">
        <v>28</v>
      </c>
      <c r="D1692" s="2" t="s">
        <v>4867</v>
      </c>
      <c r="E1692" s="3" t="s">
        <v>4868</v>
      </c>
      <c r="F1692" s="4" t="s">
        <v>38</v>
      </c>
      <c r="G1692" s="4" t="s">
        <v>81</v>
      </c>
      <c r="H1692" s="4" t="s">
        <v>308</v>
      </c>
      <c r="I1692" s="4" t="s">
        <v>561</v>
      </c>
      <c r="J1692" s="6" t="s">
        <v>4869</v>
      </c>
      <c r="K1692" s="25">
        <v>19.0</v>
      </c>
      <c r="L1692" s="8" t="str">
        <f>UPPER(G1692)</f>
        <v>FLORIDABLANCA</v>
      </c>
      <c r="O1692" s="10"/>
    </row>
    <row r="1693" ht="14.25" hidden="1" customHeight="1">
      <c r="A1693" s="13" t="s">
        <v>4870</v>
      </c>
      <c r="B1693" s="4" t="s">
        <v>27</v>
      </c>
      <c r="C1693" s="4" t="s">
        <v>28</v>
      </c>
      <c r="D1693" s="4" t="s">
        <v>4871</v>
      </c>
      <c r="E1693" s="4">
        <v>3.22731914E9</v>
      </c>
      <c r="F1693" s="4" t="s">
        <v>30</v>
      </c>
      <c r="G1693" s="4" t="s">
        <v>35</v>
      </c>
      <c r="H1693" s="14"/>
      <c r="I1693" s="4" t="s">
        <v>32</v>
      </c>
      <c r="J1693" s="14"/>
      <c r="K1693" s="14"/>
      <c r="L1693" s="14"/>
    </row>
    <row r="1694" ht="14.25" hidden="1" customHeight="1">
      <c r="A1694" s="13" t="s">
        <v>4872</v>
      </c>
      <c r="B1694" s="4" t="s">
        <v>27</v>
      </c>
      <c r="C1694" s="4" t="s">
        <v>28</v>
      </c>
      <c r="D1694" s="4" t="s">
        <v>4873</v>
      </c>
      <c r="E1694" s="4">
        <v>3.125540939E9</v>
      </c>
      <c r="F1694" s="4" t="s">
        <v>30</v>
      </c>
      <c r="G1694" s="4" t="s">
        <v>35</v>
      </c>
      <c r="H1694" s="30"/>
      <c r="I1694" s="4" t="s">
        <v>32</v>
      </c>
      <c r="J1694" s="14"/>
      <c r="K1694" s="14"/>
      <c r="L1694" s="14"/>
    </row>
    <row r="1695" ht="14.25" hidden="1" customHeight="1">
      <c r="A1695" s="13" t="s">
        <v>4874</v>
      </c>
      <c r="B1695" s="4" t="s">
        <v>27</v>
      </c>
      <c r="C1695" s="4" t="s">
        <v>28</v>
      </c>
      <c r="D1695" s="4" t="s">
        <v>4875</v>
      </c>
      <c r="E1695" s="4">
        <v>3.124295466E9</v>
      </c>
      <c r="F1695" s="4" t="s">
        <v>30</v>
      </c>
      <c r="G1695" s="4" t="s">
        <v>35</v>
      </c>
      <c r="H1695" s="14"/>
      <c r="I1695" s="4" t="s">
        <v>32</v>
      </c>
      <c r="J1695" s="14"/>
      <c r="K1695" s="14"/>
      <c r="L1695" s="14"/>
    </row>
    <row r="1696" ht="14.25" customHeight="1">
      <c r="A1696" s="1" t="s">
        <v>4876</v>
      </c>
      <c r="B1696" s="2" t="s">
        <v>27</v>
      </c>
      <c r="C1696" s="2" t="s">
        <v>28</v>
      </c>
      <c r="D1696" s="2" t="s">
        <v>4877</v>
      </c>
      <c r="E1696" s="3" t="s">
        <v>4878</v>
      </c>
      <c r="F1696" s="4" t="s">
        <v>38</v>
      </c>
      <c r="G1696" s="4" t="s">
        <v>113</v>
      </c>
      <c r="H1696" s="14"/>
      <c r="I1696" s="4" t="s">
        <v>358</v>
      </c>
      <c r="J1696" s="6" t="s">
        <v>1237</v>
      </c>
      <c r="K1696" s="25">
        <v>6.0</v>
      </c>
      <c r="L1696" s="8" t="str">
        <f t="shared" ref="L1696:L1698" si="222">UPPER(G1696)</f>
        <v>BARRANCABERMEJA</v>
      </c>
      <c r="O1696" s="10"/>
    </row>
    <row r="1697" ht="14.25" customHeight="1">
      <c r="A1697" s="1" t="s">
        <v>4879</v>
      </c>
      <c r="B1697" s="2" t="s">
        <v>27</v>
      </c>
      <c r="C1697" s="2" t="s">
        <v>28</v>
      </c>
      <c r="D1697" s="2" t="s">
        <v>4880</v>
      </c>
      <c r="E1697" s="3" t="s">
        <v>4881</v>
      </c>
      <c r="F1697" s="4" t="s">
        <v>38</v>
      </c>
      <c r="G1697" s="4" t="s">
        <v>39</v>
      </c>
      <c r="H1697" s="4" t="s">
        <v>40</v>
      </c>
      <c r="I1697" s="4" t="s">
        <v>561</v>
      </c>
      <c r="J1697" s="6" t="s">
        <v>4882</v>
      </c>
      <c r="K1697" s="25">
        <v>17.0</v>
      </c>
      <c r="L1697" s="8" t="str">
        <f t="shared" si="222"/>
        <v>BUCARAMANGA</v>
      </c>
      <c r="O1697" s="10"/>
    </row>
    <row r="1698" ht="14.25" customHeight="1">
      <c r="A1698" s="1" t="s">
        <v>4883</v>
      </c>
      <c r="B1698" s="2" t="s">
        <v>27</v>
      </c>
      <c r="C1698" s="2" t="s">
        <v>28</v>
      </c>
      <c r="D1698" s="2" t="s">
        <v>4884</v>
      </c>
      <c r="E1698" s="3" t="s">
        <v>4885</v>
      </c>
      <c r="F1698" s="4" t="s">
        <v>38</v>
      </c>
      <c r="G1698" s="4" t="s">
        <v>39</v>
      </c>
      <c r="H1698" s="30"/>
      <c r="I1698" s="4" t="s">
        <v>76</v>
      </c>
      <c r="J1698" s="6"/>
      <c r="K1698" s="7"/>
      <c r="L1698" s="8" t="str">
        <f t="shared" si="222"/>
        <v>BUCARAMANGA</v>
      </c>
      <c r="M1698" s="9"/>
      <c r="N1698" s="11" t="s">
        <v>59</v>
      </c>
      <c r="O1698" s="10"/>
      <c r="P1698" s="11" t="s">
        <v>4886</v>
      </c>
    </row>
    <row r="1699" ht="14.25" hidden="1" customHeight="1">
      <c r="A1699" s="13" t="s">
        <v>4887</v>
      </c>
      <c r="B1699" s="4" t="s">
        <v>27</v>
      </c>
      <c r="C1699" s="4" t="s">
        <v>28</v>
      </c>
      <c r="D1699" s="4" t="s">
        <v>4888</v>
      </c>
      <c r="E1699" s="4">
        <v>3.016379406E9</v>
      </c>
      <c r="F1699" s="4" t="s">
        <v>30</v>
      </c>
      <c r="G1699" s="4" t="s">
        <v>31</v>
      </c>
      <c r="H1699" s="14"/>
      <c r="I1699" s="4" t="s">
        <v>32</v>
      </c>
      <c r="J1699" s="14"/>
      <c r="K1699" s="14"/>
      <c r="L1699" s="14"/>
    </row>
    <row r="1700" ht="14.25" hidden="1" customHeight="1">
      <c r="A1700" s="13" t="s">
        <v>4889</v>
      </c>
      <c r="B1700" s="4" t="s">
        <v>27</v>
      </c>
      <c r="C1700" s="4" t="s">
        <v>28</v>
      </c>
      <c r="D1700" s="4" t="s">
        <v>4890</v>
      </c>
      <c r="E1700" s="4">
        <v>3.227649445E9</v>
      </c>
      <c r="F1700" s="4" t="s">
        <v>30</v>
      </c>
      <c r="G1700" s="4" t="s">
        <v>35</v>
      </c>
      <c r="H1700" s="14"/>
      <c r="I1700" s="4" t="s">
        <v>32</v>
      </c>
      <c r="J1700" s="14"/>
      <c r="K1700" s="14"/>
      <c r="L1700" s="14"/>
    </row>
    <row r="1701" ht="14.25" hidden="1" customHeight="1">
      <c r="A1701" s="13" t="s">
        <v>4891</v>
      </c>
      <c r="B1701" s="4" t="s">
        <v>27</v>
      </c>
      <c r="C1701" s="4" t="s">
        <v>28</v>
      </c>
      <c r="D1701" s="4" t="s">
        <v>4892</v>
      </c>
      <c r="E1701" s="4">
        <v>3.227308748E9</v>
      </c>
      <c r="F1701" s="4" t="s">
        <v>30</v>
      </c>
      <c r="G1701" s="4" t="s">
        <v>35</v>
      </c>
      <c r="H1701" s="14"/>
      <c r="I1701" s="4" t="s">
        <v>32</v>
      </c>
      <c r="J1701" s="14"/>
      <c r="K1701" s="14"/>
      <c r="L1701" s="14"/>
    </row>
    <row r="1702" ht="14.25" customHeight="1">
      <c r="A1702" s="1" t="s">
        <v>4893</v>
      </c>
      <c r="B1702" s="2" t="s">
        <v>27</v>
      </c>
      <c r="C1702" s="2" t="s">
        <v>28</v>
      </c>
      <c r="D1702" s="2" t="s">
        <v>4894</v>
      </c>
      <c r="E1702" s="3" t="s">
        <v>4895</v>
      </c>
      <c r="F1702" s="4" t="s">
        <v>38</v>
      </c>
      <c r="G1702" s="4" t="s">
        <v>39</v>
      </c>
      <c r="H1702" s="14"/>
      <c r="I1702" s="4" t="s">
        <v>76</v>
      </c>
      <c r="J1702" s="6" t="s">
        <v>4896</v>
      </c>
      <c r="K1702" s="25">
        <v>15.0</v>
      </c>
      <c r="L1702" s="8" t="str">
        <f>UPPER(G1702)</f>
        <v>BUCARAMANGA</v>
      </c>
      <c r="O1702" s="10"/>
    </row>
    <row r="1703" ht="14.25" hidden="1" customHeight="1">
      <c r="A1703" s="13" t="s">
        <v>4897</v>
      </c>
      <c r="B1703" s="4" t="s">
        <v>27</v>
      </c>
      <c r="C1703" s="4" t="s">
        <v>28</v>
      </c>
      <c r="D1703" s="4" t="s">
        <v>4898</v>
      </c>
      <c r="E1703" s="4">
        <v>3.125540939E9</v>
      </c>
      <c r="F1703" s="4" t="s">
        <v>30</v>
      </c>
      <c r="G1703" s="4" t="s">
        <v>35</v>
      </c>
      <c r="H1703" s="30"/>
      <c r="I1703" s="4" t="s">
        <v>32</v>
      </c>
      <c r="J1703" s="30"/>
      <c r="K1703" s="30"/>
      <c r="L1703" s="14"/>
    </row>
    <row r="1704" ht="14.25" hidden="1" customHeight="1">
      <c r="A1704" s="13" t="s">
        <v>4899</v>
      </c>
      <c r="B1704" s="4" t="s">
        <v>27</v>
      </c>
      <c r="C1704" s="4" t="s">
        <v>28</v>
      </c>
      <c r="D1704" s="4" t="s">
        <v>4900</v>
      </c>
      <c r="E1704" s="4">
        <v>3.102836715E9</v>
      </c>
      <c r="F1704" s="4" t="s">
        <v>30</v>
      </c>
      <c r="G1704" s="4" t="s">
        <v>35</v>
      </c>
      <c r="H1704" s="14"/>
      <c r="I1704" s="4" t="s">
        <v>32</v>
      </c>
      <c r="J1704" s="14"/>
      <c r="K1704" s="14"/>
      <c r="L1704" s="14"/>
    </row>
    <row r="1705" ht="14.25" hidden="1" customHeight="1">
      <c r="A1705" s="13" t="s">
        <v>4901</v>
      </c>
      <c r="B1705" s="4" t="s">
        <v>27</v>
      </c>
      <c r="C1705" s="4" t="s">
        <v>28</v>
      </c>
      <c r="D1705" s="4" t="s">
        <v>4902</v>
      </c>
      <c r="E1705" s="4">
        <v>3.112822716E9</v>
      </c>
      <c r="F1705" s="4" t="s">
        <v>30</v>
      </c>
      <c r="G1705" s="4" t="s">
        <v>35</v>
      </c>
      <c r="H1705" s="30"/>
      <c r="I1705" s="4" t="s">
        <v>32</v>
      </c>
      <c r="J1705" s="14"/>
      <c r="K1705" s="14"/>
      <c r="L1705" s="14"/>
    </row>
    <row r="1706" ht="14.25" hidden="1" customHeight="1">
      <c r="A1706" s="13" t="s">
        <v>4903</v>
      </c>
      <c r="B1706" s="4" t="s">
        <v>27</v>
      </c>
      <c r="C1706" s="4" t="s">
        <v>28</v>
      </c>
      <c r="D1706" s="4" t="s">
        <v>4904</v>
      </c>
      <c r="E1706" s="4">
        <v>3.22292338E9</v>
      </c>
      <c r="F1706" s="4" t="s">
        <v>30</v>
      </c>
      <c r="G1706" s="4" t="s">
        <v>31</v>
      </c>
      <c r="H1706" s="14"/>
      <c r="I1706" s="4" t="s">
        <v>32</v>
      </c>
      <c r="J1706" s="14"/>
      <c r="K1706" s="14"/>
      <c r="L1706" s="14"/>
    </row>
    <row r="1707" ht="14.25" customHeight="1">
      <c r="A1707" s="1" t="s">
        <v>4905</v>
      </c>
      <c r="B1707" s="2" t="s">
        <v>27</v>
      </c>
      <c r="C1707" s="2" t="s">
        <v>28</v>
      </c>
      <c r="D1707" s="2" t="s">
        <v>4906</v>
      </c>
      <c r="E1707" s="3" t="s">
        <v>4907</v>
      </c>
      <c r="F1707" s="4" t="s">
        <v>38</v>
      </c>
      <c r="G1707" s="4" t="s">
        <v>113</v>
      </c>
      <c r="H1707" s="4" t="s">
        <v>357</v>
      </c>
      <c r="I1707" s="4" t="s">
        <v>358</v>
      </c>
      <c r="J1707" s="6" t="s">
        <v>624</v>
      </c>
      <c r="K1707" s="25">
        <v>16.0</v>
      </c>
      <c r="L1707" s="8" t="str">
        <f t="shared" ref="L1707:L1708" si="223">UPPER(G1707)</f>
        <v>BARRANCABERMEJA</v>
      </c>
      <c r="O1707" s="10"/>
    </row>
    <row r="1708" ht="14.25" customHeight="1">
      <c r="A1708" s="1" t="s">
        <v>4908</v>
      </c>
      <c r="B1708" s="2" t="s">
        <v>27</v>
      </c>
      <c r="C1708" s="2" t="s">
        <v>28</v>
      </c>
      <c r="D1708" s="2" t="s">
        <v>4909</v>
      </c>
      <c r="E1708" s="3" t="s">
        <v>4910</v>
      </c>
      <c r="F1708" s="4" t="s">
        <v>38</v>
      </c>
      <c r="G1708" s="4" t="s">
        <v>39</v>
      </c>
      <c r="H1708" s="14"/>
      <c r="I1708" s="4" t="s">
        <v>76</v>
      </c>
      <c r="J1708" s="6" t="s">
        <v>643</v>
      </c>
      <c r="K1708" s="25">
        <v>16.0</v>
      </c>
      <c r="L1708" s="8" t="str">
        <f t="shared" si="223"/>
        <v>BUCARAMANGA</v>
      </c>
      <c r="O1708" s="10"/>
    </row>
    <row r="1709" ht="14.25" hidden="1" customHeight="1">
      <c r="A1709" s="13" t="s">
        <v>4911</v>
      </c>
      <c r="B1709" s="4" t="s">
        <v>27</v>
      </c>
      <c r="C1709" s="4" t="s">
        <v>28</v>
      </c>
      <c r="D1709" s="4" t="s">
        <v>4912</v>
      </c>
      <c r="E1709" s="4">
        <v>3.124295466E9</v>
      </c>
      <c r="F1709" s="4" t="s">
        <v>30</v>
      </c>
      <c r="G1709" s="4" t="s">
        <v>35</v>
      </c>
      <c r="H1709" s="14"/>
      <c r="I1709" s="4" t="s">
        <v>32</v>
      </c>
      <c r="J1709" s="14"/>
      <c r="K1709" s="14"/>
      <c r="L1709" s="14"/>
    </row>
    <row r="1710" ht="14.25" hidden="1" customHeight="1">
      <c r="A1710" s="13" t="s">
        <v>4913</v>
      </c>
      <c r="B1710" s="4" t="s">
        <v>27</v>
      </c>
      <c r="C1710" s="4" t="s">
        <v>28</v>
      </c>
      <c r="D1710" s="4" t="s">
        <v>4914</v>
      </c>
      <c r="E1710" s="4">
        <v>3.225958571E9</v>
      </c>
      <c r="F1710" s="4" t="s">
        <v>30</v>
      </c>
      <c r="G1710" s="4" t="s">
        <v>35</v>
      </c>
      <c r="H1710" s="14"/>
      <c r="I1710" s="4" t="s">
        <v>32</v>
      </c>
      <c r="J1710" s="14"/>
      <c r="K1710" s="14"/>
      <c r="L1710" s="14"/>
    </row>
    <row r="1711" ht="14.25" customHeight="1">
      <c r="A1711" s="1" t="s">
        <v>4915</v>
      </c>
      <c r="B1711" s="2" t="s">
        <v>27</v>
      </c>
      <c r="C1711" s="2" t="s">
        <v>28</v>
      </c>
      <c r="D1711" s="2" t="s">
        <v>4916</v>
      </c>
      <c r="E1711" s="3" t="s">
        <v>4917</v>
      </c>
      <c r="F1711" s="4" t="s">
        <v>38</v>
      </c>
      <c r="G1711" s="4" t="s">
        <v>39</v>
      </c>
      <c r="H1711" s="14"/>
      <c r="I1711" s="4" t="s">
        <v>76</v>
      </c>
      <c r="J1711" s="6" t="s">
        <v>481</v>
      </c>
      <c r="K1711" s="25">
        <v>11.0</v>
      </c>
      <c r="L1711" s="8" t="str">
        <f t="shared" ref="L1711:L1712" si="224">UPPER(G1711)</f>
        <v>BUCARAMANGA</v>
      </c>
      <c r="O1711" s="10"/>
    </row>
    <row r="1712" ht="14.25" customHeight="1">
      <c r="A1712" s="1" t="s">
        <v>4918</v>
      </c>
      <c r="B1712" s="2" t="s">
        <v>27</v>
      </c>
      <c r="C1712" s="2" t="s">
        <v>28</v>
      </c>
      <c r="D1712" s="2" t="s">
        <v>4919</v>
      </c>
      <c r="E1712" s="3" t="s">
        <v>4920</v>
      </c>
      <c r="F1712" s="4" t="s">
        <v>38</v>
      </c>
      <c r="G1712" s="4" t="s">
        <v>4921</v>
      </c>
      <c r="H1712" s="30"/>
      <c r="I1712" s="4" t="s">
        <v>358</v>
      </c>
      <c r="J1712" s="6" t="s">
        <v>4922</v>
      </c>
      <c r="K1712" s="25">
        <v>3.0</v>
      </c>
      <c r="L1712" s="8" t="str">
        <f t="shared" si="224"/>
        <v>MAGANGUE</v>
      </c>
      <c r="O1712" s="10"/>
    </row>
    <row r="1713" ht="14.25" hidden="1" customHeight="1">
      <c r="A1713" s="13" t="s">
        <v>4923</v>
      </c>
      <c r="B1713" s="4" t="s">
        <v>27</v>
      </c>
      <c r="C1713" s="4" t="s">
        <v>28</v>
      </c>
      <c r="D1713" s="4" t="s">
        <v>4924</v>
      </c>
      <c r="E1713" s="4">
        <v>3.113867755E9</v>
      </c>
      <c r="F1713" s="4" t="s">
        <v>30</v>
      </c>
      <c r="G1713" s="4" t="s">
        <v>35</v>
      </c>
      <c r="H1713" s="14"/>
      <c r="I1713" s="4" t="s">
        <v>32</v>
      </c>
      <c r="J1713" s="14"/>
      <c r="K1713" s="14"/>
      <c r="L1713" s="14"/>
    </row>
    <row r="1714" ht="14.25" hidden="1" customHeight="1">
      <c r="A1714" s="13" t="s">
        <v>4925</v>
      </c>
      <c r="B1714" s="4" t="s">
        <v>27</v>
      </c>
      <c r="C1714" s="4" t="s">
        <v>28</v>
      </c>
      <c r="D1714" s="4" t="s">
        <v>4926</v>
      </c>
      <c r="E1714" s="4">
        <v>3.23450271E9</v>
      </c>
      <c r="F1714" s="4" t="s">
        <v>30</v>
      </c>
      <c r="G1714" s="4" t="s">
        <v>35</v>
      </c>
      <c r="H1714" s="14"/>
      <c r="I1714" s="4" t="s">
        <v>32</v>
      </c>
      <c r="J1714" s="14"/>
      <c r="K1714" s="14"/>
      <c r="L1714" s="14"/>
    </row>
    <row r="1715" ht="14.25" customHeight="1">
      <c r="A1715" s="1" t="s">
        <v>4927</v>
      </c>
      <c r="B1715" s="2" t="s">
        <v>27</v>
      </c>
      <c r="C1715" s="2" t="s">
        <v>28</v>
      </c>
      <c r="D1715" s="2" t="s">
        <v>4928</v>
      </c>
      <c r="E1715" s="3" t="s">
        <v>4929</v>
      </c>
      <c r="F1715" s="4" t="s">
        <v>38</v>
      </c>
      <c r="G1715" s="4" t="s">
        <v>39</v>
      </c>
      <c r="H1715" s="14"/>
      <c r="I1715" s="4" t="s">
        <v>76</v>
      </c>
      <c r="J1715" s="6" t="s">
        <v>230</v>
      </c>
      <c r="K1715" s="25">
        <v>2.0</v>
      </c>
      <c r="L1715" s="8" t="str">
        <f>UPPER(G1715)</f>
        <v>BUCARAMANGA</v>
      </c>
      <c r="O1715" s="10"/>
    </row>
    <row r="1716" ht="14.25" hidden="1" customHeight="1">
      <c r="A1716" s="13" t="s">
        <v>4930</v>
      </c>
      <c r="B1716" s="4" t="s">
        <v>27</v>
      </c>
      <c r="C1716" s="4" t="s">
        <v>28</v>
      </c>
      <c r="D1716" s="4" t="s">
        <v>4931</v>
      </c>
      <c r="E1716" s="4">
        <v>3.124295466E9</v>
      </c>
      <c r="F1716" s="4" t="s">
        <v>30</v>
      </c>
      <c r="G1716" s="4" t="s">
        <v>35</v>
      </c>
      <c r="H1716" s="14"/>
      <c r="I1716" s="4" t="s">
        <v>32</v>
      </c>
      <c r="J1716" s="14"/>
      <c r="K1716" s="14"/>
      <c r="L1716" s="14"/>
    </row>
    <row r="1717" ht="14.25" customHeight="1">
      <c r="A1717" s="1" t="s">
        <v>4932</v>
      </c>
      <c r="B1717" s="2" t="s">
        <v>27</v>
      </c>
      <c r="C1717" s="2" t="s">
        <v>28</v>
      </c>
      <c r="D1717" s="2" t="s">
        <v>4933</v>
      </c>
      <c r="E1717" s="3" t="s">
        <v>4934</v>
      </c>
      <c r="F1717" s="4" t="s">
        <v>69</v>
      </c>
      <c r="G1717" s="4" t="s">
        <v>30</v>
      </c>
      <c r="H1717" s="14"/>
      <c r="I1717" s="4" t="s">
        <v>51</v>
      </c>
      <c r="J1717" s="6" t="s">
        <v>4935</v>
      </c>
      <c r="K1717" s="25">
        <v>1.0</v>
      </c>
      <c r="L1717" s="8" t="str">
        <f>UPPER(G1717)</f>
        <v>AMAZONAS</v>
      </c>
      <c r="O1717" s="10"/>
    </row>
    <row r="1718" ht="14.25" hidden="1" customHeight="1">
      <c r="A1718" s="13" t="s">
        <v>4936</v>
      </c>
      <c r="B1718" s="4" t="s">
        <v>27</v>
      </c>
      <c r="C1718" s="4" t="s">
        <v>28</v>
      </c>
      <c r="D1718" s="4" t="s">
        <v>4937</v>
      </c>
      <c r="E1718" s="4">
        <v>3.202040092E9</v>
      </c>
      <c r="F1718" s="4" t="s">
        <v>30</v>
      </c>
      <c r="G1718" s="4" t="s">
        <v>35</v>
      </c>
      <c r="H1718" s="14"/>
      <c r="I1718" s="4" t="s">
        <v>32</v>
      </c>
      <c r="J1718" s="14"/>
      <c r="K1718" s="14"/>
      <c r="L1718" s="14"/>
    </row>
    <row r="1719" ht="14.25" customHeight="1">
      <c r="A1719" s="1" t="s">
        <v>4938</v>
      </c>
      <c r="B1719" s="2" t="s">
        <v>27</v>
      </c>
      <c r="C1719" s="2" t="s">
        <v>28</v>
      </c>
      <c r="D1719" s="2" t="s">
        <v>4939</v>
      </c>
      <c r="E1719" s="3" t="s">
        <v>4940</v>
      </c>
      <c r="F1719" s="4" t="s">
        <v>38</v>
      </c>
      <c r="G1719" s="4" t="s">
        <v>39</v>
      </c>
      <c r="H1719" s="14"/>
      <c r="I1719" s="4" t="s">
        <v>51</v>
      </c>
      <c r="J1719" s="6" t="s">
        <v>851</v>
      </c>
      <c r="K1719" s="25">
        <v>58.0</v>
      </c>
      <c r="L1719" s="8" t="str">
        <f>UPPER(G1719)</f>
        <v>BUCARAMANGA</v>
      </c>
      <c r="O1719" s="10"/>
    </row>
    <row r="1720" ht="14.25" hidden="1" customHeight="1">
      <c r="A1720" s="13" t="s">
        <v>4941</v>
      </c>
      <c r="B1720" s="4" t="s">
        <v>27</v>
      </c>
      <c r="C1720" s="4" t="s">
        <v>28</v>
      </c>
      <c r="D1720" s="4" t="s">
        <v>4942</v>
      </c>
      <c r="E1720" s="4">
        <v>3.118713141E9</v>
      </c>
      <c r="F1720" s="4" t="s">
        <v>30</v>
      </c>
      <c r="G1720" s="4" t="s">
        <v>35</v>
      </c>
      <c r="H1720" s="30"/>
      <c r="I1720" s="4" t="s">
        <v>32</v>
      </c>
      <c r="J1720" s="14"/>
      <c r="K1720" s="14"/>
      <c r="L1720" s="14"/>
    </row>
    <row r="1721" ht="14.25" customHeight="1">
      <c r="A1721" s="1" t="s">
        <v>4943</v>
      </c>
      <c r="B1721" s="2" t="s">
        <v>27</v>
      </c>
      <c r="C1721" s="2" t="s">
        <v>28</v>
      </c>
      <c r="D1721" s="2" t="s">
        <v>4944</v>
      </c>
      <c r="E1721" s="3" t="s">
        <v>4945</v>
      </c>
      <c r="F1721" s="4" t="s">
        <v>38</v>
      </c>
      <c r="G1721" s="4" t="s">
        <v>113</v>
      </c>
      <c r="H1721" s="4" t="s">
        <v>4946</v>
      </c>
      <c r="I1721" s="4" t="s">
        <v>1373</v>
      </c>
      <c r="J1721" s="6" t="s">
        <v>1374</v>
      </c>
      <c r="K1721" s="25">
        <v>8.0</v>
      </c>
      <c r="L1721" s="8" t="str">
        <f>UPPER(G1721)</f>
        <v>BARRANCABERMEJA</v>
      </c>
      <c r="O1721" s="10"/>
    </row>
    <row r="1722" ht="14.25" hidden="1" customHeight="1">
      <c r="A1722" s="13" t="s">
        <v>4947</v>
      </c>
      <c r="B1722" s="4" t="s">
        <v>27</v>
      </c>
      <c r="C1722" s="4" t="s">
        <v>28</v>
      </c>
      <c r="D1722" s="4" t="s">
        <v>4948</v>
      </c>
      <c r="E1722" s="4">
        <v>3.104858589E9</v>
      </c>
      <c r="F1722" s="4" t="s">
        <v>30</v>
      </c>
      <c r="G1722" s="4" t="s">
        <v>31</v>
      </c>
      <c r="H1722" s="14"/>
      <c r="I1722" s="4" t="s">
        <v>32</v>
      </c>
      <c r="J1722" s="14"/>
      <c r="K1722" s="14"/>
      <c r="L1722" s="14"/>
    </row>
    <row r="1723" ht="14.25" hidden="1" customHeight="1">
      <c r="A1723" s="13" t="s">
        <v>4949</v>
      </c>
      <c r="B1723" s="4" t="s">
        <v>27</v>
      </c>
      <c r="C1723" s="4" t="s">
        <v>28</v>
      </c>
      <c r="D1723" s="4" t="s">
        <v>4950</v>
      </c>
      <c r="E1723" s="4">
        <v>3.218545166E9</v>
      </c>
      <c r="F1723" s="4" t="s">
        <v>30</v>
      </c>
      <c r="G1723" s="4" t="s">
        <v>35</v>
      </c>
      <c r="H1723" s="30"/>
      <c r="I1723" s="4" t="s">
        <v>32</v>
      </c>
      <c r="J1723" s="14"/>
      <c r="K1723" s="14"/>
      <c r="L1723" s="14"/>
    </row>
    <row r="1724" ht="14.25" hidden="1" customHeight="1">
      <c r="A1724" s="13" t="s">
        <v>4951</v>
      </c>
      <c r="B1724" s="4" t="s">
        <v>27</v>
      </c>
      <c r="C1724" s="4" t="s">
        <v>28</v>
      </c>
      <c r="D1724" s="4" t="s">
        <v>4952</v>
      </c>
      <c r="E1724" s="4">
        <v>3.22292338E9</v>
      </c>
      <c r="F1724" s="4" t="s">
        <v>30</v>
      </c>
      <c r="G1724" s="4" t="s">
        <v>31</v>
      </c>
      <c r="H1724" s="14"/>
      <c r="I1724" s="4" t="s">
        <v>32</v>
      </c>
      <c r="J1724" s="14"/>
      <c r="K1724" s="14"/>
      <c r="L1724" s="14"/>
    </row>
    <row r="1725" ht="14.25" customHeight="1">
      <c r="A1725" s="1" t="s">
        <v>4953</v>
      </c>
      <c r="B1725" s="2" t="s">
        <v>27</v>
      </c>
      <c r="C1725" s="2" t="s">
        <v>28</v>
      </c>
      <c r="D1725" s="2" t="s">
        <v>4954</v>
      </c>
      <c r="E1725" s="3" t="s">
        <v>4955</v>
      </c>
      <c r="F1725" s="4" t="s">
        <v>38</v>
      </c>
      <c r="G1725" s="4" t="s">
        <v>75</v>
      </c>
      <c r="H1725" s="14"/>
      <c r="I1725" s="4" t="s">
        <v>540</v>
      </c>
      <c r="J1725" s="39" t="s">
        <v>4956</v>
      </c>
      <c r="K1725" s="25">
        <v>12.0</v>
      </c>
      <c r="L1725" s="8" t="str">
        <f t="shared" ref="L1725:L1728" si="225">UPPER(G1725)</f>
        <v>GIRON</v>
      </c>
      <c r="O1725" s="10"/>
    </row>
    <row r="1726" ht="14.25" customHeight="1">
      <c r="A1726" s="1" t="s">
        <v>4957</v>
      </c>
      <c r="B1726" s="2" t="s">
        <v>27</v>
      </c>
      <c r="C1726" s="2" t="s">
        <v>28</v>
      </c>
      <c r="D1726" s="2" t="s">
        <v>4958</v>
      </c>
      <c r="E1726" s="3" t="s">
        <v>4959</v>
      </c>
      <c r="F1726" s="4" t="s">
        <v>69</v>
      </c>
      <c r="G1726" s="4"/>
      <c r="H1726" s="14"/>
      <c r="I1726" s="4" t="s">
        <v>51</v>
      </c>
      <c r="J1726" s="6" t="s">
        <v>325</v>
      </c>
      <c r="K1726" s="25">
        <v>15.0</v>
      </c>
      <c r="L1726" s="8" t="str">
        <f t="shared" si="225"/>
        <v/>
      </c>
      <c r="O1726" s="10"/>
    </row>
    <row r="1727" ht="14.25" customHeight="1">
      <c r="A1727" s="1" t="s">
        <v>4960</v>
      </c>
      <c r="B1727" s="2" t="s">
        <v>27</v>
      </c>
      <c r="C1727" s="2" t="s">
        <v>28</v>
      </c>
      <c r="D1727" s="2" t="s">
        <v>4961</v>
      </c>
      <c r="E1727" s="3" t="s">
        <v>4962</v>
      </c>
      <c r="F1727" s="4" t="s">
        <v>69</v>
      </c>
      <c r="G1727" s="4" t="s">
        <v>69</v>
      </c>
      <c r="H1727" s="14"/>
      <c r="I1727" s="4" t="s">
        <v>182</v>
      </c>
      <c r="J1727" s="6" t="s">
        <v>4963</v>
      </c>
      <c r="K1727" s="25">
        <v>37.0</v>
      </c>
      <c r="L1727" s="8" t="str">
        <f t="shared" si="225"/>
        <v>BOGOTA</v>
      </c>
      <c r="O1727" s="10"/>
    </row>
    <row r="1728" ht="14.25" customHeight="1">
      <c r="A1728" s="1" t="s">
        <v>4964</v>
      </c>
      <c r="B1728" s="2" t="s">
        <v>27</v>
      </c>
      <c r="C1728" s="2" t="s">
        <v>28</v>
      </c>
      <c r="D1728" s="2" t="s">
        <v>4965</v>
      </c>
      <c r="E1728" s="3" t="s">
        <v>4966</v>
      </c>
      <c r="F1728" s="4" t="s">
        <v>38</v>
      </c>
      <c r="G1728" s="4" t="s">
        <v>39</v>
      </c>
      <c r="H1728" s="14"/>
      <c r="I1728" s="4" t="s">
        <v>76</v>
      </c>
      <c r="J1728" s="6" t="s">
        <v>4967</v>
      </c>
      <c r="K1728" s="25">
        <v>5.0</v>
      </c>
      <c r="L1728" s="8" t="str">
        <f t="shared" si="225"/>
        <v>BUCARAMANGA</v>
      </c>
      <c r="O1728" s="10"/>
    </row>
    <row r="1729" ht="14.25" hidden="1" customHeight="1">
      <c r="A1729" s="13" t="s">
        <v>4968</v>
      </c>
      <c r="B1729" s="4" t="s">
        <v>27</v>
      </c>
      <c r="C1729" s="4" t="s">
        <v>28</v>
      </c>
      <c r="D1729" s="4" t="s">
        <v>4969</v>
      </c>
      <c r="E1729" s="4">
        <v>3.104858589E9</v>
      </c>
      <c r="F1729" s="4" t="s">
        <v>30</v>
      </c>
      <c r="G1729" s="4" t="s">
        <v>31</v>
      </c>
      <c r="H1729" s="14"/>
      <c r="I1729" s="4" t="s">
        <v>32</v>
      </c>
      <c r="J1729" s="14"/>
      <c r="K1729" s="14"/>
      <c r="L1729" s="14"/>
    </row>
    <row r="1730" ht="14.25" hidden="1" customHeight="1">
      <c r="A1730" s="13" t="s">
        <v>4970</v>
      </c>
      <c r="B1730" s="4" t="s">
        <v>27</v>
      </c>
      <c r="C1730" s="4" t="s">
        <v>28</v>
      </c>
      <c r="D1730" s="4" t="s">
        <v>4971</v>
      </c>
      <c r="E1730" s="4">
        <v>3.104858589E9</v>
      </c>
      <c r="F1730" s="4" t="s">
        <v>30</v>
      </c>
      <c r="G1730" s="4" t="s">
        <v>31</v>
      </c>
      <c r="H1730" s="14"/>
      <c r="I1730" s="4" t="s">
        <v>32</v>
      </c>
      <c r="J1730" s="14"/>
      <c r="K1730" s="14"/>
      <c r="L1730" s="14"/>
    </row>
    <row r="1731" ht="14.25" customHeight="1">
      <c r="A1731" s="1" t="s">
        <v>4972</v>
      </c>
      <c r="B1731" s="2" t="s">
        <v>27</v>
      </c>
      <c r="C1731" s="2" t="s">
        <v>28</v>
      </c>
      <c r="D1731" s="2" t="s">
        <v>4973</v>
      </c>
      <c r="E1731" s="3" t="s">
        <v>4974</v>
      </c>
      <c r="F1731" s="4" t="s">
        <v>69</v>
      </c>
      <c r="G1731" s="4" t="s">
        <v>69</v>
      </c>
      <c r="H1731" s="14"/>
      <c r="I1731" s="4" t="s">
        <v>51</v>
      </c>
      <c r="J1731" s="6" t="s">
        <v>4975</v>
      </c>
      <c r="K1731" s="25">
        <v>2.0</v>
      </c>
      <c r="L1731" s="8" t="str">
        <f t="shared" ref="L1731:L1733" si="226">UPPER(G1731)</f>
        <v>BOGOTA</v>
      </c>
      <c r="O1731" s="10"/>
    </row>
    <row r="1732" ht="14.25" customHeight="1">
      <c r="A1732" s="1" t="s">
        <v>4976</v>
      </c>
      <c r="B1732" s="2" t="s">
        <v>27</v>
      </c>
      <c r="C1732" s="2" t="s">
        <v>28</v>
      </c>
      <c r="D1732" s="2" t="s">
        <v>4977</v>
      </c>
      <c r="E1732" s="3" t="s">
        <v>4978</v>
      </c>
      <c r="F1732" s="4" t="s">
        <v>38</v>
      </c>
      <c r="G1732" s="4" t="s">
        <v>113</v>
      </c>
      <c r="H1732" s="4" t="s">
        <v>357</v>
      </c>
      <c r="I1732" s="4" t="s">
        <v>358</v>
      </c>
      <c r="J1732" s="6" t="s">
        <v>1104</v>
      </c>
      <c r="K1732" s="25">
        <v>11.0</v>
      </c>
      <c r="L1732" s="8" t="str">
        <f t="shared" si="226"/>
        <v>BARRANCABERMEJA</v>
      </c>
      <c r="O1732" s="10"/>
    </row>
    <row r="1733" ht="14.25" customHeight="1">
      <c r="A1733" s="1" t="s">
        <v>4979</v>
      </c>
      <c r="B1733" s="2" t="s">
        <v>27</v>
      </c>
      <c r="C1733" s="2" t="s">
        <v>28</v>
      </c>
      <c r="D1733" s="2" t="s">
        <v>4980</v>
      </c>
      <c r="E1733" s="3" t="s">
        <v>4981</v>
      </c>
      <c r="F1733" s="4" t="s">
        <v>38</v>
      </c>
      <c r="G1733" s="4" t="s">
        <v>113</v>
      </c>
      <c r="H1733" s="4" t="s">
        <v>4982</v>
      </c>
      <c r="I1733" s="4" t="s">
        <v>561</v>
      </c>
      <c r="J1733" s="6" t="s">
        <v>4983</v>
      </c>
      <c r="K1733" s="7">
        <v>17.0</v>
      </c>
      <c r="L1733" s="8" t="str">
        <f t="shared" si="226"/>
        <v>BARRANCABERMEJA</v>
      </c>
      <c r="O1733" s="10"/>
    </row>
    <row r="1734" ht="14.25" hidden="1" customHeight="1">
      <c r="A1734" s="13" t="s">
        <v>4984</v>
      </c>
      <c r="B1734" s="4" t="s">
        <v>27</v>
      </c>
      <c r="C1734" s="4" t="s">
        <v>28</v>
      </c>
      <c r="D1734" s="4" t="s">
        <v>4985</v>
      </c>
      <c r="E1734" s="4">
        <v>3.22292338E9</v>
      </c>
      <c r="F1734" s="4" t="s">
        <v>30</v>
      </c>
      <c r="G1734" s="4" t="s">
        <v>31</v>
      </c>
      <c r="H1734" s="14"/>
      <c r="I1734" s="4" t="s">
        <v>32</v>
      </c>
      <c r="J1734" s="14"/>
      <c r="K1734" s="14"/>
      <c r="L1734" s="14"/>
    </row>
    <row r="1735" ht="14.25" customHeight="1">
      <c r="A1735" s="1" t="s">
        <v>4986</v>
      </c>
      <c r="B1735" s="2" t="s">
        <v>27</v>
      </c>
      <c r="C1735" s="2" t="s">
        <v>28</v>
      </c>
      <c r="D1735" s="2" t="s">
        <v>4987</v>
      </c>
      <c r="E1735" s="3" t="s">
        <v>4988</v>
      </c>
      <c r="F1735" s="4" t="s">
        <v>38</v>
      </c>
      <c r="G1735" s="4" t="s">
        <v>4989</v>
      </c>
      <c r="H1735" s="36"/>
      <c r="I1735" s="4" t="s">
        <v>76</v>
      </c>
      <c r="J1735" s="6" t="s">
        <v>1078</v>
      </c>
      <c r="K1735" s="7">
        <v>10.0</v>
      </c>
      <c r="L1735" s="8" t="str">
        <f t="shared" ref="L1735:L1738" si="227">UPPER(G1735)</f>
        <v>RIO NEGRO</v>
      </c>
      <c r="O1735" s="10"/>
    </row>
    <row r="1736" ht="14.25" customHeight="1">
      <c r="A1736" s="1" t="s">
        <v>4990</v>
      </c>
      <c r="B1736" s="2" t="s">
        <v>27</v>
      </c>
      <c r="C1736" s="2" t="s">
        <v>28</v>
      </c>
      <c r="D1736" s="2" t="s">
        <v>4991</v>
      </c>
      <c r="E1736" s="3" t="s">
        <v>4992</v>
      </c>
      <c r="F1736" s="4" t="s">
        <v>38</v>
      </c>
      <c r="G1736" s="4" t="s">
        <v>81</v>
      </c>
      <c r="H1736" s="37" t="s">
        <v>308</v>
      </c>
      <c r="I1736" s="4" t="s">
        <v>561</v>
      </c>
      <c r="J1736" s="6" t="s">
        <v>205</v>
      </c>
      <c r="K1736" s="7">
        <v>3.0</v>
      </c>
      <c r="L1736" s="8" t="str">
        <f t="shared" si="227"/>
        <v>FLORIDABLANCA</v>
      </c>
      <c r="O1736" s="10"/>
    </row>
    <row r="1737" ht="14.25" customHeight="1">
      <c r="A1737" s="1" t="s">
        <v>4993</v>
      </c>
      <c r="B1737" s="2" t="s">
        <v>27</v>
      </c>
      <c r="C1737" s="2" t="s">
        <v>28</v>
      </c>
      <c r="D1737" s="2" t="s">
        <v>4994</v>
      </c>
      <c r="E1737" s="3" t="s">
        <v>4995</v>
      </c>
      <c r="F1737" s="4" t="s">
        <v>38</v>
      </c>
      <c r="G1737" s="4" t="s">
        <v>159</v>
      </c>
      <c r="H1737" s="40"/>
      <c r="I1737" s="4" t="s">
        <v>561</v>
      </c>
      <c r="J1737" s="6" t="s">
        <v>4996</v>
      </c>
      <c r="K1737" s="7">
        <v>2.0</v>
      </c>
      <c r="L1737" s="8" t="str">
        <f t="shared" si="227"/>
        <v>PIEDECUESTA</v>
      </c>
      <c r="O1737" s="10"/>
    </row>
    <row r="1738" ht="14.25" customHeight="1">
      <c r="A1738" s="1" t="s">
        <v>4997</v>
      </c>
      <c r="B1738" s="2" t="s">
        <v>27</v>
      </c>
      <c r="C1738" s="2" t="s">
        <v>28</v>
      </c>
      <c r="D1738" s="2" t="s">
        <v>4998</v>
      </c>
      <c r="E1738" s="3" t="s">
        <v>4999</v>
      </c>
      <c r="F1738" s="4" t="s">
        <v>38</v>
      </c>
      <c r="G1738" s="4" t="s">
        <v>391</v>
      </c>
      <c r="H1738" s="40"/>
      <c r="I1738" s="4" t="s">
        <v>561</v>
      </c>
      <c r="J1738" s="6" t="s">
        <v>5000</v>
      </c>
      <c r="K1738" s="7">
        <v>1.0</v>
      </c>
      <c r="L1738" s="8" t="str">
        <f t="shared" si="227"/>
        <v>PUERTO WILCHES</v>
      </c>
      <c r="O1738" s="10"/>
    </row>
    <row r="1739" ht="14.25" hidden="1" customHeight="1">
      <c r="A1739" s="13" t="s">
        <v>5001</v>
      </c>
      <c r="B1739" s="4" t="s">
        <v>27</v>
      </c>
      <c r="C1739" s="4" t="s">
        <v>28</v>
      </c>
      <c r="D1739" s="4" t="s">
        <v>5002</v>
      </c>
      <c r="E1739" s="4">
        <v>3.118713141E9</v>
      </c>
      <c r="F1739" s="4" t="s">
        <v>30</v>
      </c>
      <c r="G1739" s="4" t="s">
        <v>35</v>
      </c>
      <c r="H1739" s="30"/>
      <c r="I1739" s="4" t="s">
        <v>32</v>
      </c>
      <c r="J1739" s="14"/>
      <c r="K1739" s="14"/>
      <c r="L1739" s="14"/>
    </row>
    <row r="1740" ht="14.25" customHeight="1">
      <c r="A1740" s="1" t="s">
        <v>5003</v>
      </c>
      <c r="B1740" s="2" t="s">
        <v>27</v>
      </c>
      <c r="C1740" s="2" t="s">
        <v>28</v>
      </c>
      <c r="D1740" s="2" t="s">
        <v>5004</v>
      </c>
      <c r="E1740" s="3" t="s">
        <v>5005</v>
      </c>
      <c r="F1740" s="4" t="s">
        <v>38</v>
      </c>
      <c r="G1740" s="4" t="s">
        <v>39</v>
      </c>
      <c r="H1740" s="37" t="s">
        <v>40</v>
      </c>
      <c r="I1740" s="4" t="s">
        <v>561</v>
      </c>
      <c r="J1740" s="6" t="s">
        <v>259</v>
      </c>
      <c r="K1740" s="7">
        <v>7.0</v>
      </c>
      <c r="L1740" s="8" t="str">
        <f>UPPER(G1740)</f>
        <v>BUCARAMANGA</v>
      </c>
      <c r="O1740" s="10"/>
    </row>
    <row r="1741" ht="14.25" hidden="1" customHeight="1">
      <c r="A1741" s="13" t="s">
        <v>5006</v>
      </c>
      <c r="B1741" s="4" t="s">
        <v>27</v>
      </c>
      <c r="C1741" s="4" t="s">
        <v>28</v>
      </c>
      <c r="D1741" s="4" t="s">
        <v>5007</v>
      </c>
      <c r="E1741" s="4">
        <v>3.102211527E9</v>
      </c>
      <c r="F1741" s="4" t="s">
        <v>30</v>
      </c>
      <c r="G1741" s="4" t="s">
        <v>35</v>
      </c>
      <c r="H1741" s="14"/>
      <c r="I1741" s="4" t="s">
        <v>32</v>
      </c>
      <c r="J1741" s="14"/>
      <c r="K1741" s="14"/>
      <c r="L1741" s="14"/>
    </row>
    <row r="1742" ht="14.25" customHeight="1">
      <c r="A1742" s="1" t="s">
        <v>5008</v>
      </c>
      <c r="B1742" s="2" t="s">
        <v>27</v>
      </c>
      <c r="C1742" s="2" t="s">
        <v>28</v>
      </c>
      <c r="D1742" s="2" t="s">
        <v>5009</v>
      </c>
      <c r="E1742" s="3" t="s">
        <v>5010</v>
      </c>
      <c r="F1742" s="4" t="s">
        <v>38</v>
      </c>
      <c r="G1742" s="4" t="s">
        <v>81</v>
      </c>
      <c r="H1742" s="37" t="s">
        <v>308</v>
      </c>
      <c r="I1742" s="4" t="s">
        <v>561</v>
      </c>
      <c r="J1742" s="6" t="s">
        <v>5011</v>
      </c>
      <c r="K1742" s="7">
        <v>39.0</v>
      </c>
      <c r="L1742" s="8" t="str">
        <f t="shared" ref="L1742:L1745" si="228">UPPER(G1742)</f>
        <v>FLORIDABLANCA</v>
      </c>
      <c r="O1742" s="10"/>
    </row>
    <row r="1743" ht="14.25" customHeight="1">
      <c r="A1743" s="1" t="s">
        <v>5012</v>
      </c>
      <c r="B1743" s="2" t="s">
        <v>27</v>
      </c>
      <c r="C1743" s="2" t="s">
        <v>28</v>
      </c>
      <c r="D1743" s="2" t="s">
        <v>5013</v>
      </c>
      <c r="E1743" s="3" t="s">
        <v>5014</v>
      </c>
      <c r="F1743" s="4" t="s">
        <v>38</v>
      </c>
      <c r="G1743" s="4" t="s">
        <v>39</v>
      </c>
      <c r="H1743" s="36"/>
      <c r="I1743" s="4" t="s">
        <v>540</v>
      </c>
      <c r="J1743" s="6" t="s">
        <v>297</v>
      </c>
      <c r="K1743" s="7">
        <v>9.0</v>
      </c>
      <c r="L1743" s="8" t="str">
        <f t="shared" si="228"/>
        <v>BUCARAMANGA</v>
      </c>
      <c r="O1743" s="10"/>
    </row>
    <row r="1744" ht="14.25" customHeight="1">
      <c r="A1744" s="1" t="s">
        <v>5015</v>
      </c>
      <c r="B1744" s="2" t="s">
        <v>27</v>
      </c>
      <c r="C1744" s="2" t="s">
        <v>28</v>
      </c>
      <c r="D1744" s="2" t="s">
        <v>5016</v>
      </c>
      <c r="E1744" s="3" t="s">
        <v>5017</v>
      </c>
      <c r="F1744" s="4" t="s">
        <v>38</v>
      </c>
      <c r="G1744" s="4" t="s">
        <v>113</v>
      </c>
      <c r="H1744" s="37" t="s">
        <v>5018</v>
      </c>
      <c r="I1744" s="4" t="s">
        <v>358</v>
      </c>
      <c r="J1744" s="6" t="s">
        <v>1435</v>
      </c>
      <c r="K1744" s="7">
        <v>6.0</v>
      </c>
      <c r="L1744" s="8" t="str">
        <f t="shared" si="228"/>
        <v>BARRANCABERMEJA</v>
      </c>
      <c r="O1744" s="10"/>
    </row>
    <row r="1745" ht="14.25" customHeight="1">
      <c r="A1745" s="1" t="s">
        <v>5019</v>
      </c>
      <c r="B1745" s="2" t="s">
        <v>27</v>
      </c>
      <c r="C1745" s="2" t="s">
        <v>28</v>
      </c>
      <c r="D1745" s="2" t="s">
        <v>5020</v>
      </c>
      <c r="E1745" s="3" t="s">
        <v>5021</v>
      </c>
      <c r="F1745" s="4" t="s">
        <v>38</v>
      </c>
      <c r="G1745" s="4" t="s">
        <v>39</v>
      </c>
      <c r="H1745" s="37" t="s">
        <v>308</v>
      </c>
      <c r="I1745" s="4" t="s">
        <v>561</v>
      </c>
      <c r="J1745" s="6" t="s">
        <v>1199</v>
      </c>
      <c r="K1745" s="7">
        <v>15.0</v>
      </c>
      <c r="L1745" s="8" t="str">
        <f t="shared" si="228"/>
        <v>BUCARAMANGA</v>
      </c>
      <c r="O1745" s="10"/>
    </row>
    <row r="1746" ht="14.25" hidden="1" customHeight="1">
      <c r="A1746" s="13" t="s">
        <v>5022</v>
      </c>
      <c r="B1746" s="4" t="s">
        <v>27</v>
      </c>
      <c r="C1746" s="4" t="s">
        <v>28</v>
      </c>
      <c r="D1746" s="4" t="s">
        <v>5023</v>
      </c>
      <c r="E1746" s="4">
        <v>3.22292338E9</v>
      </c>
      <c r="F1746" s="4" t="s">
        <v>30</v>
      </c>
      <c r="G1746" s="4" t="s">
        <v>31</v>
      </c>
      <c r="H1746" s="14"/>
      <c r="I1746" s="4" t="s">
        <v>32</v>
      </c>
      <c r="J1746" s="14"/>
      <c r="K1746" s="14"/>
      <c r="L1746" s="14"/>
    </row>
    <row r="1747" ht="14.25" customHeight="1">
      <c r="A1747" s="1" t="s">
        <v>5024</v>
      </c>
      <c r="B1747" s="2" t="s">
        <v>27</v>
      </c>
      <c r="C1747" s="2" t="s">
        <v>28</v>
      </c>
      <c r="D1747" s="2" t="s">
        <v>5025</v>
      </c>
      <c r="E1747" s="3" t="s">
        <v>423</v>
      </c>
      <c r="F1747" s="4" t="s">
        <v>424</v>
      </c>
      <c r="G1747" s="4" t="s">
        <v>425</v>
      </c>
      <c r="H1747" s="36"/>
      <c r="I1747" s="4" t="s">
        <v>32</v>
      </c>
      <c r="J1747" s="6" t="s">
        <v>5026</v>
      </c>
      <c r="K1747" s="7">
        <v>3.0</v>
      </c>
      <c r="L1747" s="8" t="str">
        <f t="shared" ref="L1747:L1748" si="229">UPPER(G1747)</f>
        <v>MONTERIA</v>
      </c>
      <c r="O1747" s="10"/>
    </row>
    <row r="1748" ht="14.25" customHeight="1">
      <c r="A1748" s="1" t="s">
        <v>5027</v>
      </c>
      <c r="B1748" s="2" t="s">
        <v>27</v>
      </c>
      <c r="C1748" s="2" t="s">
        <v>28</v>
      </c>
      <c r="D1748" s="2" t="s">
        <v>5028</v>
      </c>
      <c r="E1748" s="3" t="s">
        <v>5029</v>
      </c>
      <c r="F1748" s="4" t="s">
        <v>38</v>
      </c>
      <c r="G1748" s="4" t="s">
        <v>113</v>
      </c>
      <c r="H1748" s="37" t="s">
        <v>357</v>
      </c>
      <c r="I1748" s="4" t="s">
        <v>358</v>
      </c>
      <c r="J1748" s="6" t="s">
        <v>5030</v>
      </c>
      <c r="K1748" s="7">
        <v>2.0</v>
      </c>
      <c r="L1748" s="8" t="str">
        <f t="shared" si="229"/>
        <v>BARRANCABERMEJA</v>
      </c>
      <c r="O1748" s="10"/>
    </row>
    <row r="1749" ht="14.25" hidden="1" customHeight="1">
      <c r="A1749" s="13" t="s">
        <v>5031</v>
      </c>
      <c r="B1749" s="4" t="s">
        <v>27</v>
      </c>
      <c r="C1749" s="4" t="s">
        <v>28</v>
      </c>
      <c r="D1749" s="4" t="s">
        <v>5032</v>
      </c>
      <c r="E1749" s="4">
        <v>3.22292338E9</v>
      </c>
      <c r="F1749" s="4" t="s">
        <v>30</v>
      </c>
      <c r="G1749" s="4" t="s">
        <v>31</v>
      </c>
      <c r="H1749" s="14"/>
      <c r="I1749" s="4" t="s">
        <v>32</v>
      </c>
      <c r="J1749" s="14"/>
      <c r="K1749" s="14"/>
      <c r="L1749" s="14"/>
    </row>
    <row r="1750" ht="14.25" customHeight="1">
      <c r="A1750" s="1" t="s">
        <v>5033</v>
      </c>
      <c r="B1750" s="2" t="s">
        <v>27</v>
      </c>
      <c r="C1750" s="2" t="s">
        <v>28</v>
      </c>
      <c r="D1750" s="2" t="s">
        <v>5034</v>
      </c>
      <c r="E1750" s="3" t="s">
        <v>5035</v>
      </c>
      <c r="F1750" s="4" t="s">
        <v>38</v>
      </c>
      <c r="G1750" s="4" t="s">
        <v>39</v>
      </c>
      <c r="H1750" s="40"/>
      <c r="I1750" s="4" t="s">
        <v>540</v>
      </c>
      <c r="J1750" s="6" t="s">
        <v>607</v>
      </c>
      <c r="K1750" s="7">
        <v>16.0</v>
      </c>
      <c r="L1750" s="8" t="str">
        <f t="shared" ref="L1750:L1753" si="230">UPPER(G1750)</f>
        <v>BUCARAMANGA</v>
      </c>
      <c r="O1750" s="10"/>
    </row>
    <row r="1751" ht="14.25" customHeight="1">
      <c r="A1751" s="1" t="s">
        <v>5036</v>
      </c>
      <c r="B1751" s="2" t="s">
        <v>27</v>
      </c>
      <c r="C1751" s="2" t="s">
        <v>28</v>
      </c>
      <c r="D1751" s="2" t="s">
        <v>5037</v>
      </c>
      <c r="E1751" s="3" t="s">
        <v>5038</v>
      </c>
      <c r="F1751" s="4" t="s">
        <v>38</v>
      </c>
      <c r="G1751" s="4" t="s">
        <v>39</v>
      </c>
      <c r="H1751" s="36"/>
      <c r="I1751" s="4" t="s">
        <v>76</v>
      </c>
      <c r="J1751" s="6" t="s">
        <v>851</v>
      </c>
      <c r="K1751" s="7">
        <v>48.0</v>
      </c>
      <c r="L1751" s="8" t="str">
        <f t="shared" si="230"/>
        <v>BUCARAMANGA</v>
      </c>
      <c r="O1751" s="10"/>
    </row>
    <row r="1752" ht="14.25" customHeight="1">
      <c r="A1752" s="1" t="s">
        <v>5039</v>
      </c>
      <c r="B1752" s="2" t="s">
        <v>27</v>
      </c>
      <c r="C1752" s="2" t="s">
        <v>28</v>
      </c>
      <c r="D1752" s="2" t="s">
        <v>5040</v>
      </c>
      <c r="E1752" s="3" t="s">
        <v>5041</v>
      </c>
      <c r="F1752" s="4" t="s">
        <v>38</v>
      </c>
      <c r="G1752" s="4" t="s">
        <v>113</v>
      </c>
      <c r="H1752" s="37" t="s">
        <v>3635</v>
      </c>
      <c r="I1752" s="4" t="s">
        <v>358</v>
      </c>
      <c r="J1752" s="6" t="s">
        <v>5042</v>
      </c>
      <c r="K1752" s="7">
        <v>8.0</v>
      </c>
      <c r="L1752" s="8" t="str">
        <f t="shared" si="230"/>
        <v>BARRANCABERMEJA</v>
      </c>
      <c r="O1752" s="10"/>
    </row>
    <row r="1753" ht="14.25" customHeight="1">
      <c r="A1753" s="1" t="s">
        <v>5043</v>
      </c>
      <c r="B1753" s="2" t="s">
        <v>27</v>
      </c>
      <c r="C1753" s="2" t="s">
        <v>28</v>
      </c>
      <c r="D1753" s="2" t="s">
        <v>5044</v>
      </c>
      <c r="E1753" s="3" t="s">
        <v>5045</v>
      </c>
      <c r="F1753" s="4" t="s">
        <v>38</v>
      </c>
      <c r="G1753" s="4" t="s">
        <v>39</v>
      </c>
      <c r="H1753" s="41"/>
      <c r="I1753" s="4" t="s">
        <v>76</v>
      </c>
      <c r="J1753" s="6"/>
      <c r="K1753" s="7"/>
      <c r="L1753" s="8" t="str">
        <f t="shared" si="230"/>
        <v>BUCARAMANGA</v>
      </c>
      <c r="O1753" s="10"/>
    </row>
    <row r="1754" ht="14.25" hidden="1" customHeight="1">
      <c r="A1754" s="13" t="s">
        <v>5046</v>
      </c>
      <c r="B1754" s="4" t="s">
        <v>27</v>
      </c>
      <c r="C1754" s="4" t="s">
        <v>28</v>
      </c>
      <c r="D1754" s="4" t="s">
        <v>5047</v>
      </c>
      <c r="E1754" s="4">
        <v>3.113867755E9</v>
      </c>
      <c r="F1754" s="4" t="s">
        <v>30</v>
      </c>
      <c r="G1754" s="4" t="s">
        <v>35</v>
      </c>
      <c r="H1754" s="14"/>
      <c r="I1754" s="4" t="s">
        <v>32</v>
      </c>
      <c r="J1754" s="14"/>
      <c r="K1754" s="14"/>
      <c r="L1754" s="14"/>
    </row>
    <row r="1755" ht="14.25" customHeight="1">
      <c r="A1755" s="1" t="s">
        <v>5048</v>
      </c>
      <c r="B1755" s="2" t="s">
        <v>27</v>
      </c>
      <c r="C1755" s="2" t="s">
        <v>28</v>
      </c>
      <c r="D1755" s="2" t="s">
        <v>5049</v>
      </c>
      <c r="E1755" s="3" t="s">
        <v>5050</v>
      </c>
      <c r="F1755" s="4" t="s">
        <v>38</v>
      </c>
      <c r="G1755" s="4" t="s">
        <v>39</v>
      </c>
      <c r="H1755" s="36"/>
      <c r="I1755" s="4" t="s">
        <v>76</v>
      </c>
      <c r="J1755" s="6" t="s">
        <v>5051</v>
      </c>
      <c r="K1755" s="7">
        <v>8.0</v>
      </c>
      <c r="L1755" s="8" t="str">
        <f t="shared" ref="L1755:L1756" si="231">UPPER(G1755)</f>
        <v>BUCARAMANGA</v>
      </c>
      <c r="O1755" s="10"/>
    </row>
    <row r="1756" ht="14.25" customHeight="1">
      <c r="A1756" s="1" t="s">
        <v>5052</v>
      </c>
      <c r="B1756" s="2" t="s">
        <v>27</v>
      </c>
      <c r="C1756" s="2" t="s">
        <v>28</v>
      </c>
      <c r="D1756" s="2" t="s">
        <v>5053</v>
      </c>
      <c r="E1756" s="3" t="s">
        <v>5054</v>
      </c>
      <c r="F1756" s="4" t="s">
        <v>647</v>
      </c>
      <c r="G1756" s="4" t="s">
        <v>5055</v>
      </c>
      <c r="H1756" s="40"/>
      <c r="I1756" s="4" t="s">
        <v>358</v>
      </c>
      <c r="J1756" s="6" t="s">
        <v>171</v>
      </c>
      <c r="K1756" s="7">
        <v>35.0</v>
      </c>
      <c r="L1756" s="8" t="str">
        <f t="shared" si="231"/>
        <v>VENTAQUEMADA</v>
      </c>
      <c r="O1756" s="10"/>
    </row>
    <row r="1757" ht="14.25" hidden="1" customHeight="1">
      <c r="A1757" s="13" t="s">
        <v>5056</v>
      </c>
      <c r="B1757" s="4" t="s">
        <v>27</v>
      </c>
      <c r="C1757" s="4" t="s">
        <v>28</v>
      </c>
      <c r="D1757" s="4" t="s">
        <v>5057</v>
      </c>
      <c r="E1757" s="4">
        <v>3.222316412E9</v>
      </c>
      <c r="F1757" s="4" t="s">
        <v>30</v>
      </c>
      <c r="G1757" s="4" t="s">
        <v>35</v>
      </c>
      <c r="H1757" s="14"/>
      <c r="I1757" s="4" t="s">
        <v>32</v>
      </c>
      <c r="J1757" s="14"/>
      <c r="K1757" s="14"/>
      <c r="L1757" s="14"/>
    </row>
    <row r="1758" ht="14.25" hidden="1" customHeight="1">
      <c r="A1758" s="13" t="s">
        <v>5058</v>
      </c>
      <c r="B1758" s="4" t="s">
        <v>27</v>
      </c>
      <c r="C1758" s="4" t="s">
        <v>28</v>
      </c>
      <c r="D1758" s="4" t="s">
        <v>5059</v>
      </c>
      <c r="E1758" s="4">
        <v>3.113867755E9</v>
      </c>
      <c r="F1758" s="4" t="s">
        <v>30</v>
      </c>
      <c r="G1758" s="4" t="s">
        <v>35</v>
      </c>
      <c r="H1758" s="14"/>
      <c r="I1758" s="4" t="s">
        <v>32</v>
      </c>
      <c r="J1758" s="14"/>
      <c r="K1758" s="14"/>
      <c r="L1758" s="14"/>
    </row>
    <row r="1759" ht="14.25" hidden="1" customHeight="1">
      <c r="A1759" s="13" t="s">
        <v>5060</v>
      </c>
      <c r="B1759" s="4" t="s">
        <v>27</v>
      </c>
      <c r="C1759" s="4" t="s">
        <v>28</v>
      </c>
      <c r="D1759" s="4" t="s">
        <v>5061</v>
      </c>
      <c r="E1759" s="4">
        <v>3.226260319E9</v>
      </c>
      <c r="F1759" s="4" t="s">
        <v>30</v>
      </c>
      <c r="G1759" s="4" t="s">
        <v>35</v>
      </c>
      <c r="H1759" s="14"/>
      <c r="I1759" s="4" t="s">
        <v>32</v>
      </c>
      <c r="J1759" s="14"/>
      <c r="K1759" s="14"/>
      <c r="L1759" s="14"/>
    </row>
    <row r="1760" ht="14.25" hidden="1" customHeight="1">
      <c r="A1760" s="13" t="s">
        <v>5062</v>
      </c>
      <c r="B1760" s="4" t="s">
        <v>27</v>
      </c>
      <c r="C1760" s="4" t="s">
        <v>28</v>
      </c>
      <c r="D1760" s="4" t="s">
        <v>5063</v>
      </c>
      <c r="E1760" s="4">
        <v>3.22292338E9</v>
      </c>
      <c r="F1760" s="4" t="s">
        <v>30</v>
      </c>
      <c r="G1760" s="4" t="s">
        <v>31</v>
      </c>
      <c r="H1760" s="30"/>
      <c r="I1760" s="4" t="s">
        <v>32</v>
      </c>
      <c r="J1760" s="14"/>
      <c r="K1760" s="14"/>
      <c r="L1760" s="14"/>
    </row>
    <row r="1761" ht="14.25" hidden="1" customHeight="1">
      <c r="A1761" s="13" t="s">
        <v>5064</v>
      </c>
      <c r="B1761" s="4" t="s">
        <v>27</v>
      </c>
      <c r="C1761" s="4" t="s">
        <v>28</v>
      </c>
      <c r="D1761" s="4" t="s">
        <v>5065</v>
      </c>
      <c r="E1761" s="4">
        <v>3.124295466E9</v>
      </c>
      <c r="F1761" s="4" t="s">
        <v>30</v>
      </c>
      <c r="G1761" s="4" t="s">
        <v>35</v>
      </c>
      <c r="H1761" s="14"/>
      <c r="I1761" s="4" t="s">
        <v>32</v>
      </c>
      <c r="J1761" s="14"/>
      <c r="K1761" s="14"/>
      <c r="L1761" s="14"/>
    </row>
    <row r="1762" ht="14.25" customHeight="1">
      <c r="A1762" s="1" t="s">
        <v>5066</v>
      </c>
      <c r="B1762" s="2" t="s">
        <v>27</v>
      </c>
      <c r="C1762" s="2" t="s">
        <v>28</v>
      </c>
      <c r="D1762" s="2" t="s">
        <v>5067</v>
      </c>
      <c r="E1762" s="3" t="s">
        <v>5068</v>
      </c>
      <c r="F1762" s="4" t="s">
        <v>38</v>
      </c>
      <c r="G1762" s="4" t="s">
        <v>113</v>
      </c>
      <c r="H1762" s="40"/>
      <c r="I1762" s="4" t="s">
        <v>540</v>
      </c>
      <c r="J1762" s="6" t="s">
        <v>5069</v>
      </c>
      <c r="K1762" s="7">
        <v>37.0</v>
      </c>
      <c r="L1762" s="8" t="str">
        <f>UPPER(G1762)</f>
        <v>BARRANCABERMEJA</v>
      </c>
      <c r="O1762" s="10"/>
    </row>
    <row r="1763" ht="14.25" hidden="1" customHeight="1">
      <c r="A1763" s="13" t="s">
        <v>5070</v>
      </c>
      <c r="B1763" s="4" t="s">
        <v>27</v>
      </c>
      <c r="C1763" s="4" t="s">
        <v>28</v>
      </c>
      <c r="D1763" s="4" t="s">
        <v>5071</v>
      </c>
      <c r="E1763" s="4">
        <v>3.112482934E9</v>
      </c>
      <c r="F1763" s="4" t="s">
        <v>30</v>
      </c>
      <c r="G1763" s="4" t="s">
        <v>35</v>
      </c>
      <c r="H1763" s="14"/>
      <c r="I1763" s="4" t="s">
        <v>32</v>
      </c>
      <c r="J1763" s="14"/>
      <c r="K1763" s="14"/>
      <c r="L1763" s="14"/>
    </row>
    <row r="1764" ht="14.25" customHeight="1">
      <c r="A1764" s="1" t="s">
        <v>5072</v>
      </c>
      <c r="B1764" s="2" t="s">
        <v>65</v>
      </c>
      <c r="C1764" s="2" t="s">
        <v>28</v>
      </c>
      <c r="D1764" s="2" t="s">
        <v>5073</v>
      </c>
      <c r="E1764" s="3" t="s">
        <v>5074</v>
      </c>
      <c r="F1764" s="4" t="s">
        <v>38</v>
      </c>
      <c r="G1764" s="4" t="s">
        <v>113</v>
      </c>
      <c r="H1764" s="36"/>
      <c r="I1764" s="4" t="s">
        <v>540</v>
      </c>
      <c r="J1764" s="6" t="s">
        <v>4656</v>
      </c>
      <c r="K1764" s="7">
        <v>2.0</v>
      </c>
      <c r="L1764" s="8" t="str">
        <f>UPPER(G1764)</f>
        <v>BARRANCABERMEJA</v>
      </c>
      <c r="O1764" s="10"/>
    </row>
    <row r="1765" ht="14.25" hidden="1" customHeight="1">
      <c r="A1765" s="13" t="s">
        <v>5075</v>
      </c>
      <c r="B1765" s="4" t="s">
        <v>27</v>
      </c>
      <c r="C1765" s="4" t="s">
        <v>28</v>
      </c>
      <c r="D1765" s="4" t="s">
        <v>5076</v>
      </c>
      <c r="E1765" s="4">
        <v>3.224701842E9</v>
      </c>
      <c r="F1765" s="4" t="s">
        <v>30</v>
      </c>
      <c r="G1765" s="4" t="s">
        <v>35</v>
      </c>
      <c r="H1765" s="14"/>
      <c r="I1765" s="4" t="s">
        <v>32</v>
      </c>
      <c r="J1765" s="14"/>
      <c r="K1765" s="14"/>
      <c r="L1765" s="14"/>
    </row>
    <row r="1766" ht="14.25" hidden="1" customHeight="1">
      <c r="A1766" s="13" t="s">
        <v>5077</v>
      </c>
      <c r="B1766" s="4" t="s">
        <v>27</v>
      </c>
      <c r="C1766" s="4" t="s">
        <v>28</v>
      </c>
      <c r="D1766" s="4" t="s">
        <v>5078</v>
      </c>
      <c r="E1766" s="4">
        <v>3.126882431E9</v>
      </c>
      <c r="F1766" s="4" t="s">
        <v>30</v>
      </c>
      <c r="G1766" s="4" t="s">
        <v>35</v>
      </c>
      <c r="H1766" s="14"/>
      <c r="I1766" s="4" t="s">
        <v>32</v>
      </c>
      <c r="J1766" s="14"/>
      <c r="K1766" s="14"/>
      <c r="L1766" s="14"/>
    </row>
    <row r="1767" ht="14.25" customHeight="1">
      <c r="A1767" s="1" t="s">
        <v>5079</v>
      </c>
      <c r="B1767" s="2" t="s">
        <v>27</v>
      </c>
      <c r="C1767" s="2" t="s">
        <v>28</v>
      </c>
      <c r="D1767" s="2" t="s">
        <v>5080</v>
      </c>
      <c r="E1767" s="3" t="s">
        <v>5081</v>
      </c>
      <c r="F1767" s="4" t="s">
        <v>38</v>
      </c>
      <c r="G1767" s="4" t="s">
        <v>39</v>
      </c>
      <c r="H1767" s="37" t="s">
        <v>5082</v>
      </c>
      <c r="I1767" s="4" t="s">
        <v>76</v>
      </c>
      <c r="J1767" s="6" t="s">
        <v>596</v>
      </c>
      <c r="K1767" s="7">
        <v>42.0</v>
      </c>
      <c r="L1767" s="8" t="str">
        <f t="shared" ref="L1767:L1768" si="232">UPPER(G1767)</f>
        <v>BUCARAMANGA</v>
      </c>
      <c r="O1767" s="10"/>
    </row>
    <row r="1768" ht="14.25" customHeight="1">
      <c r="A1768" s="1" t="s">
        <v>5083</v>
      </c>
      <c r="B1768" s="2" t="s">
        <v>27</v>
      </c>
      <c r="C1768" s="2" t="s">
        <v>28</v>
      </c>
      <c r="D1768" s="2" t="s">
        <v>5084</v>
      </c>
      <c r="E1768" s="3" t="s">
        <v>5085</v>
      </c>
      <c r="F1768" s="4" t="s">
        <v>38</v>
      </c>
      <c r="G1768" s="4" t="s">
        <v>39</v>
      </c>
      <c r="H1768" s="37" t="s">
        <v>40</v>
      </c>
      <c r="I1768" s="4" t="s">
        <v>561</v>
      </c>
      <c r="J1768" s="6" t="s">
        <v>264</v>
      </c>
      <c r="K1768" s="7">
        <v>26.0</v>
      </c>
      <c r="L1768" s="8" t="str">
        <f t="shared" si="232"/>
        <v>BUCARAMANGA</v>
      </c>
      <c r="O1768" s="10"/>
    </row>
    <row r="1769" ht="14.25" hidden="1" customHeight="1">
      <c r="A1769" s="13" t="s">
        <v>5086</v>
      </c>
      <c r="B1769" s="4" t="s">
        <v>27</v>
      </c>
      <c r="C1769" s="4" t="s">
        <v>28</v>
      </c>
      <c r="D1769" s="4" t="s">
        <v>5087</v>
      </c>
      <c r="E1769" s="4">
        <v>3.146424864E9</v>
      </c>
      <c r="F1769" s="4" t="s">
        <v>30</v>
      </c>
      <c r="G1769" s="4" t="s">
        <v>35</v>
      </c>
      <c r="H1769" s="14"/>
      <c r="I1769" s="4" t="s">
        <v>32</v>
      </c>
      <c r="J1769" s="30"/>
      <c r="K1769" s="30"/>
      <c r="L1769" s="14"/>
    </row>
    <row r="1770" ht="14.25" hidden="1" customHeight="1">
      <c r="A1770" s="13" t="s">
        <v>5088</v>
      </c>
      <c r="B1770" s="4" t="s">
        <v>27</v>
      </c>
      <c r="C1770" s="4" t="s">
        <v>28</v>
      </c>
      <c r="D1770" s="4" t="s">
        <v>5089</v>
      </c>
      <c r="E1770" s="4">
        <v>3.113867755E9</v>
      </c>
      <c r="F1770" s="4" t="s">
        <v>30</v>
      </c>
      <c r="G1770" s="4" t="s">
        <v>35</v>
      </c>
      <c r="H1770" s="30"/>
      <c r="I1770" s="4" t="s">
        <v>32</v>
      </c>
      <c r="J1770" s="14"/>
      <c r="K1770" s="14"/>
      <c r="L1770" s="14"/>
    </row>
    <row r="1771" ht="14.25" customHeight="1">
      <c r="A1771" s="1" t="s">
        <v>5090</v>
      </c>
      <c r="B1771" s="2" t="s">
        <v>27</v>
      </c>
      <c r="C1771" s="2" t="s">
        <v>28</v>
      </c>
      <c r="D1771" s="2" t="s">
        <v>5091</v>
      </c>
      <c r="E1771" s="3" t="s">
        <v>5092</v>
      </c>
      <c r="F1771" s="4" t="s">
        <v>38</v>
      </c>
      <c r="G1771" s="4" t="s">
        <v>113</v>
      </c>
      <c r="H1771" s="37" t="s">
        <v>5093</v>
      </c>
      <c r="I1771" s="4" t="s">
        <v>1373</v>
      </c>
      <c r="J1771" s="6" t="s">
        <v>5094</v>
      </c>
      <c r="K1771" s="7">
        <v>9.0</v>
      </c>
      <c r="L1771" s="8" t="str">
        <f>UPPER(G1771)</f>
        <v>BARRANCABERMEJA</v>
      </c>
      <c r="O1771" s="10"/>
    </row>
    <row r="1772" ht="14.25" hidden="1" customHeight="1">
      <c r="A1772" s="13" t="s">
        <v>5095</v>
      </c>
      <c r="B1772" s="4" t="s">
        <v>27</v>
      </c>
      <c r="C1772" s="4" t="s">
        <v>28</v>
      </c>
      <c r="D1772" s="4" t="s">
        <v>5096</v>
      </c>
      <c r="E1772" s="4">
        <v>3.23450271E9</v>
      </c>
      <c r="F1772" s="4" t="s">
        <v>30</v>
      </c>
      <c r="G1772" s="4" t="s">
        <v>35</v>
      </c>
      <c r="H1772" s="14"/>
      <c r="I1772" s="4" t="s">
        <v>32</v>
      </c>
      <c r="J1772" s="14"/>
      <c r="K1772" s="14"/>
      <c r="L1772" s="14"/>
    </row>
    <row r="1773" ht="14.25" customHeight="1">
      <c r="A1773" s="1" t="s">
        <v>5097</v>
      </c>
      <c r="B1773" s="2" t="s">
        <v>27</v>
      </c>
      <c r="C1773" s="2" t="s">
        <v>28</v>
      </c>
      <c r="D1773" s="2" t="s">
        <v>5098</v>
      </c>
      <c r="E1773" s="3" t="s">
        <v>5099</v>
      </c>
      <c r="F1773" s="4" t="s">
        <v>455</v>
      </c>
      <c r="G1773" s="4" t="s">
        <v>2703</v>
      </c>
      <c r="H1773" s="36"/>
      <c r="I1773" s="4" t="s">
        <v>561</v>
      </c>
      <c r="J1773" s="6" t="s">
        <v>5100</v>
      </c>
      <c r="K1773" s="7">
        <v>13.0</v>
      </c>
      <c r="L1773" s="8" t="str">
        <f>UPPER(G1773)</f>
        <v>AGUACHICA</v>
      </c>
      <c r="O1773" s="10"/>
    </row>
    <row r="1774" ht="14.25" hidden="1" customHeight="1">
      <c r="A1774" s="13" t="s">
        <v>5101</v>
      </c>
      <c r="B1774" s="4" t="s">
        <v>27</v>
      </c>
      <c r="C1774" s="4" t="s">
        <v>28</v>
      </c>
      <c r="D1774" s="4" t="s">
        <v>5102</v>
      </c>
      <c r="E1774" s="4">
        <v>3.026780656E9</v>
      </c>
      <c r="F1774" s="4" t="s">
        <v>30</v>
      </c>
      <c r="G1774" s="4" t="s">
        <v>35</v>
      </c>
      <c r="H1774" s="14"/>
      <c r="I1774" s="4" t="s">
        <v>32</v>
      </c>
      <c r="J1774" s="14"/>
      <c r="K1774" s="14"/>
      <c r="L1774" s="14"/>
    </row>
    <row r="1775" ht="14.25" customHeight="1">
      <c r="A1775" s="1" t="s">
        <v>5103</v>
      </c>
      <c r="B1775" s="2" t="s">
        <v>27</v>
      </c>
      <c r="C1775" s="2" t="s">
        <v>28</v>
      </c>
      <c r="D1775" s="2" t="s">
        <v>5104</v>
      </c>
      <c r="E1775" s="3" t="s">
        <v>5105</v>
      </c>
      <c r="F1775" s="4" t="s">
        <v>38</v>
      </c>
      <c r="G1775" s="4" t="s">
        <v>39</v>
      </c>
      <c r="H1775" s="36"/>
      <c r="I1775" s="4" t="s">
        <v>76</v>
      </c>
      <c r="J1775" s="6" t="s">
        <v>607</v>
      </c>
      <c r="K1775" s="7">
        <v>23.0</v>
      </c>
      <c r="L1775" s="8" t="str">
        <f t="shared" ref="L1775:L1776" si="233">UPPER(G1775)</f>
        <v>BUCARAMANGA</v>
      </c>
      <c r="O1775" s="10"/>
    </row>
    <row r="1776" ht="14.25" customHeight="1">
      <c r="A1776" s="1" t="s">
        <v>5106</v>
      </c>
      <c r="B1776" s="2" t="s">
        <v>27</v>
      </c>
      <c r="C1776" s="2" t="s">
        <v>28</v>
      </c>
      <c r="D1776" s="2" t="s">
        <v>5107</v>
      </c>
      <c r="E1776" s="3" t="s">
        <v>2975</v>
      </c>
      <c r="F1776" s="4" t="s">
        <v>38</v>
      </c>
      <c r="G1776" s="4" t="s">
        <v>113</v>
      </c>
      <c r="H1776" s="36"/>
      <c r="I1776" s="4" t="s">
        <v>358</v>
      </c>
      <c r="J1776" s="6" t="s">
        <v>1488</v>
      </c>
      <c r="K1776" s="7">
        <v>1.0</v>
      </c>
      <c r="L1776" s="8" t="str">
        <f t="shared" si="233"/>
        <v>BARRANCABERMEJA</v>
      </c>
      <c r="O1776" s="10"/>
    </row>
    <row r="1777" ht="14.25" hidden="1" customHeight="1">
      <c r="A1777" s="13" t="s">
        <v>5108</v>
      </c>
      <c r="B1777" s="4" t="s">
        <v>27</v>
      </c>
      <c r="C1777" s="4" t="s">
        <v>28</v>
      </c>
      <c r="D1777" s="4" t="s">
        <v>5109</v>
      </c>
      <c r="E1777" s="4">
        <v>3.23450271E9</v>
      </c>
      <c r="F1777" s="4" t="s">
        <v>30</v>
      </c>
      <c r="G1777" s="4" t="s">
        <v>35</v>
      </c>
      <c r="H1777" s="30"/>
      <c r="I1777" s="4" t="s">
        <v>32</v>
      </c>
      <c r="J1777" s="14"/>
      <c r="K1777" s="14"/>
      <c r="L1777" s="14"/>
    </row>
    <row r="1778" ht="14.25" hidden="1" customHeight="1">
      <c r="A1778" s="13" t="s">
        <v>5110</v>
      </c>
      <c r="B1778" s="4" t="s">
        <v>27</v>
      </c>
      <c r="C1778" s="4" t="s">
        <v>28</v>
      </c>
      <c r="D1778" s="4" t="s">
        <v>5111</v>
      </c>
      <c r="E1778" s="4">
        <v>3.118713141E9</v>
      </c>
      <c r="F1778" s="4" t="s">
        <v>30</v>
      </c>
      <c r="G1778" s="4" t="s">
        <v>35</v>
      </c>
      <c r="H1778" s="30"/>
      <c r="I1778" s="4" t="s">
        <v>32</v>
      </c>
      <c r="J1778" s="14"/>
      <c r="K1778" s="14"/>
      <c r="L1778" s="14"/>
    </row>
    <row r="1779" ht="14.25" customHeight="1">
      <c r="A1779" s="1" t="s">
        <v>5112</v>
      </c>
      <c r="B1779" s="2" t="s">
        <v>27</v>
      </c>
      <c r="C1779" s="2" t="s">
        <v>28</v>
      </c>
      <c r="D1779" s="2" t="s">
        <v>5113</v>
      </c>
      <c r="E1779" s="3" t="s">
        <v>5114</v>
      </c>
      <c r="F1779" s="4" t="s">
        <v>38</v>
      </c>
      <c r="G1779" s="4" t="s">
        <v>39</v>
      </c>
      <c r="H1779" s="37" t="s">
        <v>40</v>
      </c>
      <c r="I1779" s="4" t="s">
        <v>76</v>
      </c>
      <c r="J1779" s="6" t="s">
        <v>5115</v>
      </c>
      <c r="K1779" s="7">
        <v>2.0</v>
      </c>
      <c r="L1779" s="8" t="str">
        <f t="shared" ref="L1779:L1784" si="234">UPPER(G1779)</f>
        <v>BUCARAMANGA</v>
      </c>
      <c r="O1779" s="10"/>
    </row>
    <row r="1780" ht="14.25" customHeight="1">
      <c r="A1780" s="1" t="s">
        <v>5116</v>
      </c>
      <c r="B1780" s="2" t="s">
        <v>27</v>
      </c>
      <c r="C1780" s="2" t="s">
        <v>28</v>
      </c>
      <c r="D1780" s="2" t="s">
        <v>5117</v>
      </c>
      <c r="E1780" s="3" t="s">
        <v>5118</v>
      </c>
      <c r="F1780" s="4" t="s">
        <v>38</v>
      </c>
      <c r="G1780" s="4" t="s">
        <v>113</v>
      </c>
      <c r="H1780" s="40"/>
      <c r="I1780" s="4" t="s">
        <v>358</v>
      </c>
      <c r="J1780" s="6" t="s">
        <v>5119</v>
      </c>
      <c r="K1780" s="7">
        <v>17.0</v>
      </c>
      <c r="L1780" s="8" t="str">
        <f t="shared" si="234"/>
        <v>BARRANCABERMEJA</v>
      </c>
      <c r="O1780" s="10"/>
    </row>
    <row r="1781" ht="14.25" customHeight="1">
      <c r="A1781" s="1" t="s">
        <v>5120</v>
      </c>
      <c r="B1781" s="2" t="s">
        <v>27</v>
      </c>
      <c r="C1781" s="2" t="s">
        <v>66</v>
      </c>
      <c r="D1781" s="2" t="s">
        <v>5121</v>
      </c>
      <c r="E1781" s="3" t="s">
        <v>5122</v>
      </c>
      <c r="F1781" s="4" t="s">
        <v>38</v>
      </c>
      <c r="G1781" s="4" t="s">
        <v>113</v>
      </c>
      <c r="H1781" s="37" t="s">
        <v>1911</v>
      </c>
      <c r="I1781" s="4" t="s">
        <v>419</v>
      </c>
      <c r="J1781" s="6" t="s">
        <v>5119</v>
      </c>
      <c r="K1781" s="7">
        <v>17.0</v>
      </c>
      <c r="L1781" s="8" t="str">
        <f t="shared" si="234"/>
        <v>BARRANCABERMEJA</v>
      </c>
      <c r="O1781" s="10"/>
    </row>
    <row r="1782" ht="14.25" customHeight="1">
      <c r="A1782" s="1" t="s">
        <v>5123</v>
      </c>
      <c r="B1782" s="2" t="s">
        <v>27</v>
      </c>
      <c r="C1782" s="2" t="s">
        <v>66</v>
      </c>
      <c r="D1782" s="2" t="s">
        <v>5124</v>
      </c>
      <c r="E1782" s="3" t="s">
        <v>5125</v>
      </c>
      <c r="F1782" s="4" t="s">
        <v>38</v>
      </c>
      <c r="G1782" s="4" t="s">
        <v>39</v>
      </c>
      <c r="H1782" s="42" t="s">
        <v>5126</v>
      </c>
      <c r="I1782" s="4" t="s">
        <v>540</v>
      </c>
      <c r="J1782" s="6" t="s">
        <v>643</v>
      </c>
      <c r="K1782" s="7">
        <v>18.0</v>
      </c>
      <c r="L1782" s="8" t="str">
        <f t="shared" si="234"/>
        <v>BUCARAMANGA</v>
      </c>
      <c r="M1782" s="9">
        <v>11.0</v>
      </c>
      <c r="N1782" s="9" t="s">
        <v>44</v>
      </c>
      <c r="O1782" s="10"/>
    </row>
    <row r="1783" ht="14.25" customHeight="1">
      <c r="A1783" s="1" t="s">
        <v>5127</v>
      </c>
      <c r="B1783" s="2" t="s">
        <v>27</v>
      </c>
      <c r="C1783" s="2" t="s">
        <v>28</v>
      </c>
      <c r="D1783" s="2" t="s">
        <v>5128</v>
      </c>
      <c r="E1783" s="3" t="s">
        <v>5129</v>
      </c>
      <c r="F1783" s="4" t="s">
        <v>38</v>
      </c>
      <c r="G1783" s="4" t="s">
        <v>113</v>
      </c>
      <c r="H1783" s="36"/>
      <c r="I1783" s="4" t="s">
        <v>540</v>
      </c>
      <c r="J1783" s="6" t="s">
        <v>256</v>
      </c>
      <c r="K1783" s="7">
        <v>11.0</v>
      </c>
      <c r="L1783" s="8" t="str">
        <f t="shared" si="234"/>
        <v>BARRANCABERMEJA</v>
      </c>
      <c r="O1783" s="10"/>
    </row>
    <row r="1784" ht="14.25" customHeight="1">
      <c r="A1784" s="1" t="s">
        <v>5130</v>
      </c>
      <c r="B1784" s="2" t="s">
        <v>27</v>
      </c>
      <c r="C1784" s="2" t="s">
        <v>28</v>
      </c>
      <c r="D1784" s="2" t="s">
        <v>5131</v>
      </c>
      <c r="E1784" s="3" t="s">
        <v>5132</v>
      </c>
      <c r="F1784" s="4" t="s">
        <v>38</v>
      </c>
      <c r="G1784" s="4" t="s">
        <v>39</v>
      </c>
      <c r="H1784" s="37" t="s">
        <v>229</v>
      </c>
      <c r="I1784" s="4" t="s">
        <v>76</v>
      </c>
      <c r="J1784" s="6" t="s">
        <v>230</v>
      </c>
      <c r="K1784" s="7">
        <v>5.0</v>
      </c>
      <c r="L1784" s="8" t="str">
        <f t="shared" si="234"/>
        <v>BUCARAMANGA</v>
      </c>
      <c r="O1784" s="10"/>
    </row>
    <row r="1785" ht="14.25" hidden="1" customHeight="1">
      <c r="A1785" s="13" t="s">
        <v>5133</v>
      </c>
      <c r="B1785" s="4" t="s">
        <v>27</v>
      </c>
      <c r="C1785" s="4" t="s">
        <v>28</v>
      </c>
      <c r="D1785" s="4" t="s">
        <v>5134</v>
      </c>
      <c r="E1785" s="4">
        <v>3.124295466E9</v>
      </c>
      <c r="F1785" s="4" t="s">
        <v>30</v>
      </c>
      <c r="G1785" s="4" t="s">
        <v>35</v>
      </c>
      <c r="H1785" s="30"/>
      <c r="I1785" s="4" t="s">
        <v>32</v>
      </c>
      <c r="J1785" s="14"/>
      <c r="K1785" s="14"/>
      <c r="L1785" s="14"/>
    </row>
    <row r="1786" ht="14.25" hidden="1" customHeight="1">
      <c r="A1786" s="13" t="s">
        <v>5135</v>
      </c>
      <c r="B1786" s="4" t="s">
        <v>27</v>
      </c>
      <c r="C1786" s="4" t="s">
        <v>28</v>
      </c>
      <c r="D1786" s="4" t="s">
        <v>5136</v>
      </c>
      <c r="E1786" s="4">
        <v>3.125540939E9</v>
      </c>
      <c r="F1786" s="4" t="s">
        <v>30</v>
      </c>
      <c r="G1786" s="4" t="s">
        <v>35</v>
      </c>
      <c r="H1786" s="14"/>
      <c r="I1786" s="4" t="s">
        <v>32</v>
      </c>
      <c r="J1786" s="14"/>
      <c r="K1786" s="14"/>
      <c r="L1786" s="14"/>
    </row>
    <row r="1787" ht="14.25" customHeight="1">
      <c r="A1787" s="1" t="s">
        <v>5137</v>
      </c>
      <c r="B1787" s="2" t="s">
        <v>27</v>
      </c>
      <c r="C1787" s="2" t="s">
        <v>28</v>
      </c>
      <c r="D1787" s="2" t="s">
        <v>5138</v>
      </c>
      <c r="E1787" s="3" t="s">
        <v>5139</v>
      </c>
      <c r="F1787" s="4" t="s">
        <v>105</v>
      </c>
      <c r="G1787" s="4" t="s">
        <v>2953</v>
      </c>
      <c r="H1787" s="41"/>
      <c r="I1787" s="4" t="s">
        <v>540</v>
      </c>
      <c r="J1787" s="6"/>
      <c r="K1787" s="7"/>
      <c r="L1787" s="8" t="str">
        <f t="shared" ref="L1787:L1788" si="235">UPPER(G1787)</f>
        <v>GRANADA</v>
      </c>
      <c r="M1787" s="9"/>
      <c r="N1787" s="9" t="s">
        <v>59</v>
      </c>
      <c r="O1787" s="10"/>
    </row>
    <row r="1788" ht="14.25" customHeight="1">
      <c r="A1788" s="1" t="s">
        <v>5140</v>
      </c>
      <c r="B1788" s="2" t="s">
        <v>27</v>
      </c>
      <c r="C1788" s="2" t="s">
        <v>28</v>
      </c>
      <c r="D1788" s="2" t="s">
        <v>5141</v>
      </c>
      <c r="E1788" s="3" t="s">
        <v>5142</v>
      </c>
      <c r="F1788" s="4" t="s">
        <v>731</v>
      </c>
      <c r="G1788" s="4" t="s">
        <v>732</v>
      </c>
      <c r="H1788" s="43" t="s">
        <v>4081</v>
      </c>
      <c r="I1788" s="4" t="s">
        <v>540</v>
      </c>
      <c r="J1788" s="6" t="s">
        <v>4709</v>
      </c>
      <c r="K1788" s="7">
        <v>2.0</v>
      </c>
      <c r="L1788" s="8" t="str">
        <f t="shared" si="235"/>
        <v>BARRANQUILLA</v>
      </c>
      <c r="M1788" s="9">
        <v>10.0</v>
      </c>
      <c r="N1788" s="9" t="s">
        <v>44</v>
      </c>
      <c r="O1788" s="10"/>
    </row>
    <row r="1789" ht="14.25" hidden="1" customHeight="1">
      <c r="A1789" s="13" t="s">
        <v>5143</v>
      </c>
      <c r="B1789" s="4" t="s">
        <v>27</v>
      </c>
      <c r="C1789" s="4" t="s">
        <v>28</v>
      </c>
      <c r="D1789" s="4" t="s">
        <v>5144</v>
      </c>
      <c r="E1789" s="4">
        <v>3.118713141E9</v>
      </c>
      <c r="F1789" s="4" t="s">
        <v>30</v>
      </c>
      <c r="G1789" s="4" t="s">
        <v>35</v>
      </c>
      <c r="H1789" s="14"/>
      <c r="I1789" s="4" t="s">
        <v>32</v>
      </c>
      <c r="J1789" s="14"/>
      <c r="K1789" s="14"/>
      <c r="L1789" s="14"/>
    </row>
    <row r="1790" ht="14.25" hidden="1" customHeight="1">
      <c r="A1790" s="13" t="s">
        <v>5145</v>
      </c>
      <c r="B1790" s="4" t="s">
        <v>27</v>
      </c>
      <c r="C1790" s="4" t="s">
        <v>28</v>
      </c>
      <c r="D1790" s="4" t="s">
        <v>5146</v>
      </c>
      <c r="E1790" s="4">
        <v>3.22292338E9</v>
      </c>
      <c r="F1790" s="4" t="s">
        <v>30</v>
      </c>
      <c r="G1790" s="4" t="s">
        <v>31</v>
      </c>
      <c r="H1790" s="14"/>
      <c r="I1790" s="4" t="s">
        <v>32</v>
      </c>
      <c r="J1790" s="14"/>
      <c r="K1790" s="14"/>
      <c r="L1790" s="14"/>
    </row>
    <row r="1791" ht="14.25" hidden="1" customHeight="1">
      <c r="A1791" s="13" t="s">
        <v>5147</v>
      </c>
      <c r="B1791" s="4" t="s">
        <v>27</v>
      </c>
      <c r="C1791" s="4" t="s">
        <v>28</v>
      </c>
      <c r="D1791" s="4" t="s">
        <v>5148</v>
      </c>
      <c r="E1791" s="4">
        <v>3.228791251E9</v>
      </c>
      <c r="F1791" s="4" t="s">
        <v>30</v>
      </c>
      <c r="G1791" s="4" t="s">
        <v>35</v>
      </c>
      <c r="H1791" s="30"/>
      <c r="I1791" s="4" t="s">
        <v>32</v>
      </c>
      <c r="J1791" s="30"/>
      <c r="K1791" s="14"/>
      <c r="L1791" s="14"/>
    </row>
    <row r="1792" ht="14.25" hidden="1" customHeight="1">
      <c r="A1792" s="13" t="s">
        <v>5149</v>
      </c>
      <c r="B1792" s="4" t="s">
        <v>27</v>
      </c>
      <c r="C1792" s="4" t="s">
        <v>28</v>
      </c>
      <c r="D1792" s="4" t="s">
        <v>5150</v>
      </c>
      <c r="E1792" s="4">
        <v>3.225958571E9</v>
      </c>
      <c r="F1792" s="4" t="s">
        <v>30</v>
      </c>
      <c r="G1792" s="4" t="s">
        <v>35</v>
      </c>
      <c r="H1792" s="14"/>
      <c r="I1792" s="4" t="s">
        <v>32</v>
      </c>
      <c r="J1792" s="14"/>
      <c r="K1792" s="14"/>
      <c r="L1792" s="14"/>
    </row>
    <row r="1793" ht="14.25" customHeight="1">
      <c r="A1793" s="1" t="s">
        <v>5151</v>
      </c>
      <c r="B1793" s="2" t="s">
        <v>27</v>
      </c>
      <c r="C1793" s="2" t="s">
        <v>28</v>
      </c>
      <c r="D1793" s="2" t="s">
        <v>5152</v>
      </c>
      <c r="E1793" s="3" t="s">
        <v>5153</v>
      </c>
      <c r="F1793" s="4" t="s">
        <v>38</v>
      </c>
      <c r="G1793" s="4" t="s">
        <v>113</v>
      </c>
      <c r="H1793" s="43" t="s">
        <v>357</v>
      </c>
      <c r="I1793" s="4" t="s">
        <v>419</v>
      </c>
      <c r="J1793" s="6" t="s">
        <v>3404</v>
      </c>
      <c r="K1793" s="7">
        <v>2.0</v>
      </c>
      <c r="L1793" s="8" t="str">
        <f t="shared" ref="L1793:L1796" si="236">UPPER(G1793)</f>
        <v>BARRANCABERMEJA</v>
      </c>
      <c r="M1793" s="9">
        <v>3.0</v>
      </c>
      <c r="N1793" s="9" t="s">
        <v>44</v>
      </c>
      <c r="O1793" s="10"/>
    </row>
    <row r="1794" ht="14.25" customHeight="1">
      <c r="A1794" s="1" t="s">
        <v>5154</v>
      </c>
      <c r="B1794" s="2" t="s">
        <v>27</v>
      </c>
      <c r="C1794" s="2" t="s">
        <v>28</v>
      </c>
      <c r="D1794" s="2" t="s">
        <v>5155</v>
      </c>
      <c r="E1794" s="3" t="s">
        <v>5156</v>
      </c>
      <c r="F1794" s="4" t="s">
        <v>38</v>
      </c>
      <c r="G1794" s="4" t="s">
        <v>81</v>
      </c>
      <c r="H1794" s="44"/>
      <c r="I1794" s="4" t="s">
        <v>561</v>
      </c>
      <c r="J1794" s="6" t="s">
        <v>5157</v>
      </c>
      <c r="K1794" s="7">
        <v>15.0</v>
      </c>
      <c r="L1794" s="8" t="str">
        <f t="shared" si="236"/>
        <v>FLORIDABLANCA</v>
      </c>
      <c r="M1794" s="9">
        <v>8.0</v>
      </c>
      <c r="N1794" s="9" t="s">
        <v>44</v>
      </c>
      <c r="O1794" s="10"/>
    </row>
    <row r="1795" ht="14.25" customHeight="1">
      <c r="A1795" s="1" t="s">
        <v>5158</v>
      </c>
      <c r="B1795" s="2" t="s">
        <v>27</v>
      </c>
      <c r="C1795" s="2" t="s">
        <v>66</v>
      </c>
      <c r="D1795" s="2" t="s">
        <v>5159</v>
      </c>
      <c r="E1795" s="3" t="s">
        <v>5160</v>
      </c>
      <c r="F1795" s="4" t="s">
        <v>38</v>
      </c>
      <c r="G1795" s="4" t="s">
        <v>81</v>
      </c>
      <c r="H1795" s="44"/>
      <c r="I1795" s="4" t="s">
        <v>164</v>
      </c>
      <c r="J1795" s="6" t="s">
        <v>253</v>
      </c>
      <c r="K1795" s="7">
        <v>9.0</v>
      </c>
      <c r="L1795" s="8" t="str">
        <f t="shared" si="236"/>
        <v>FLORIDABLANCA</v>
      </c>
      <c r="M1795" s="9">
        <v>4.0</v>
      </c>
      <c r="N1795" s="9" t="s">
        <v>44</v>
      </c>
      <c r="O1795" s="10"/>
    </row>
    <row r="1796" ht="14.25" customHeight="1">
      <c r="A1796" s="1" t="s">
        <v>5161</v>
      </c>
      <c r="B1796" s="2" t="s">
        <v>27</v>
      </c>
      <c r="C1796" s="2" t="s">
        <v>28</v>
      </c>
      <c r="D1796" s="2" t="s">
        <v>5162</v>
      </c>
      <c r="E1796" s="3" t="s">
        <v>5163</v>
      </c>
      <c r="F1796" s="4" t="s">
        <v>69</v>
      </c>
      <c r="G1796" s="4" t="s">
        <v>69</v>
      </c>
      <c r="H1796" s="45" t="s">
        <v>133</v>
      </c>
      <c r="I1796" s="4" t="s">
        <v>51</v>
      </c>
      <c r="J1796" s="6" t="s">
        <v>5164</v>
      </c>
      <c r="K1796" s="7">
        <v>16.0</v>
      </c>
      <c r="L1796" s="8" t="str">
        <f t="shared" si="236"/>
        <v>BOGOTA</v>
      </c>
      <c r="M1796" s="9">
        <v>16.0</v>
      </c>
      <c r="N1796" s="9" t="s">
        <v>59</v>
      </c>
      <c r="O1796" s="10"/>
    </row>
    <row r="1797" ht="14.25" hidden="1" customHeight="1">
      <c r="A1797" s="13" t="s">
        <v>5165</v>
      </c>
      <c r="B1797" s="4" t="s">
        <v>27</v>
      </c>
      <c r="C1797" s="4" t="s">
        <v>28</v>
      </c>
      <c r="D1797" s="4" t="s">
        <v>5166</v>
      </c>
      <c r="E1797" s="4">
        <v>3.229457091E9</v>
      </c>
      <c r="F1797" s="4" t="s">
        <v>30</v>
      </c>
      <c r="G1797" s="4" t="s">
        <v>35</v>
      </c>
      <c r="H1797" s="14"/>
      <c r="I1797" s="4" t="s">
        <v>32</v>
      </c>
      <c r="J1797" s="14"/>
      <c r="K1797" s="14"/>
      <c r="L1797" s="14"/>
    </row>
    <row r="1798" ht="14.25" customHeight="1">
      <c r="A1798" s="1" t="s">
        <v>5167</v>
      </c>
      <c r="B1798" s="2" t="s">
        <v>27</v>
      </c>
      <c r="C1798" s="2" t="s">
        <v>28</v>
      </c>
      <c r="D1798" s="2" t="s">
        <v>5168</v>
      </c>
      <c r="E1798" s="3" t="s">
        <v>5169</v>
      </c>
      <c r="F1798" s="4" t="s">
        <v>38</v>
      </c>
      <c r="G1798" s="4" t="s">
        <v>81</v>
      </c>
      <c r="H1798" s="43" t="s">
        <v>308</v>
      </c>
      <c r="I1798" s="4" t="s">
        <v>561</v>
      </c>
      <c r="J1798" s="6" t="s">
        <v>5170</v>
      </c>
      <c r="K1798" s="7">
        <v>7.0</v>
      </c>
      <c r="L1798" s="8" t="str">
        <f>UPPER(G1798)</f>
        <v>FLORIDABLANCA</v>
      </c>
      <c r="M1798" s="9">
        <v>3.0</v>
      </c>
      <c r="N1798" s="9" t="s">
        <v>44</v>
      </c>
      <c r="O1798" s="10"/>
    </row>
    <row r="1799" ht="14.25" hidden="1" customHeight="1">
      <c r="A1799" s="13" t="s">
        <v>5171</v>
      </c>
      <c r="B1799" s="4" t="s">
        <v>27</v>
      </c>
      <c r="C1799" s="4" t="s">
        <v>28</v>
      </c>
      <c r="D1799" s="4" t="s">
        <v>5172</v>
      </c>
      <c r="E1799" s="4">
        <v>3.118713141E9</v>
      </c>
      <c r="F1799" s="4" t="s">
        <v>30</v>
      </c>
      <c r="G1799" s="4" t="s">
        <v>35</v>
      </c>
      <c r="H1799" s="14"/>
      <c r="I1799" s="4" t="s">
        <v>32</v>
      </c>
      <c r="J1799" s="14"/>
      <c r="K1799" s="14"/>
      <c r="L1799" s="14"/>
    </row>
    <row r="1800" ht="14.25" customHeight="1">
      <c r="A1800" s="1" t="s">
        <v>5173</v>
      </c>
      <c r="B1800" s="2" t="s">
        <v>27</v>
      </c>
      <c r="C1800" s="2" t="s">
        <v>28</v>
      </c>
      <c r="D1800" s="2" t="s">
        <v>5174</v>
      </c>
      <c r="E1800" s="3" t="s">
        <v>2697</v>
      </c>
      <c r="F1800" s="4" t="s">
        <v>38</v>
      </c>
      <c r="G1800" s="4" t="s">
        <v>39</v>
      </c>
      <c r="H1800" s="44"/>
      <c r="I1800" s="4" t="s">
        <v>76</v>
      </c>
      <c r="J1800" s="6" t="s">
        <v>481</v>
      </c>
      <c r="K1800" s="7">
        <v>13.0</v>
      </c>
      <c r="L1800" s="8" t="str">
        <f>UPPER(G1800)</f>
        <v>BUCARAMANGA</v>
      </c>
      <c r="M1800" s="9">
        <v>1.0</v>
      </c>
      <c r="N1800" s="9" t="s">
        <v>44</v>
      </c>
      <c r="O1800" s="10"/>
    </row>
    <row r="1801" ht="14.25" hidden="1" customHeight="1">
      <c r="A1801" s="13" t="s">
        <v>5175</v>
      </c>
      <c r="B1801" s="4" t="s">
        <v>27</v>
      </c>
      <c r="C1801" s="4" t="s">
        <v>28</v>
      </c>
      <c r="D1801" s="4" t="s">
        <v>5176</v>
      </c>
      <c r="E1801" s="4">
        <v>3.218545166E9</v>
      </c>
      <c r="F1801" s="4" t="s">
        <v>30</v>
      </c>
      <c r="G1801" s="4" t="s">
        <v>35</v>
      </c>
      <c r="H1801" s="14"/>
      <c r="I1801" s="4" t="s">
        <v>32</v>
      </c>
      <c r="J1801" s="14"/>
      <c r="K1801" s="14"/>
      <c r="L1801" s="14"/>
    </row>
    <row r="1802" ht="14.25" customHeight="1">
      <c r="A1802" s="1" t="s">
        <v>5177</v>
      </c>
      <c r="B1802" s="2" t="s">
        <v>27</v>
      </c>
      <c r="C1802" s="2" t="s">
        <v>28</v>
      </c>
      <c r="D1802" s="2" t="s">
        <v>5178</v>
      </c>
      <c r="E1802" s="3" t="s">
        <v>5179</v>
      </c>
      <c r="F1802" s="4" t="s">
        <v>38</v>
      </c>
      <c r="G1802" s="4" t="s">
        <v>39</v>
      </c>
      <c r="H1802" s="43" t="s">
        <v>348</v>
      </c>
      <c r="I1802" s="4" t="s">
        <v>76</v>
      </c>
      <c r="J1802" s="6" t="s">
        <v>4896</v>
      </c>
      <c r="K1802" s="7">
        <v>34.0</v>
      </c>
      <c r="L1802" s="8" t="str">
        <f t="shared" ref="L1802:L1809" si="237">UPPER(G1802)</f>
        <v>BUCARAMANGA</v>
      </c>
      <c r="M1802" s="9">
        <v>3.0</v>
      </c>
      <c r="N1802" s="9" t="s">
        <v>44</v>
      </c>
      <c r="O1802" s="10"/>
    </row>
    <row r="1803" ht="14.25" customHeight="1">
      <c r="A1803" s="1" t="s">
        <v>5180</v>
      </c>
      <c r="B1803" s="2" t="s">
        <v>27</v>
      </c>
      <c r="C1803" s="2" t="s">
        <v>28</v>
      </c>
      <c r="D1803" s="2" t="s">
        <v>5181</v>
      </c>
      <c r="E1803" s="3" t="s">
        <v>5182</v>
      </c>
      <c r="F1803" s="4" t="s">
        <v>38</v>
      </c>
      <c r="G1803" s="4" t="s">
        <v>75</v>
      </c>
      <c r="H1803" s="43" t="s">
        <v>855</v>
      </c>
      <c r="I1803" s="4" t="s">
        <v>561</v>
      </c>
      <c r="J1803" s="6" t="s">
        <v>5183</v>
      </c>
      <c r="K1803" s="7">
        <v>26.0</v>
      </c>
      <c r="L1803" s="8" t="str">
        <f t="shared" si="237"/>
        <v>GIRON</v>
      </c>
      <c r="M1803" s="9">
        <v>2.0</v>
      </c>
      <c r="N1803" s="9" t="s">
        <v>44</v>
      </c>
      <c r="O1803" s="10"/>
    </row>
    <row r="1804" ht="14.25" customHeight="1">
      <c r="A1804" s="1" t="s">
        <v>5184</v>
      </c>
      <c r="B1804" s="2" t="s">
        <v>27</v>
      </c>
      <c r="C1804" s="2" t="s">
        <v>66</v>
      </c>
      <c r="D1804" s="2" t="s">
        <v>5185</v>
      </c>
      <c r="E1804" s="3" t="s">
        <v>5186</v>
      </c>
      <c r="F1804" s="4" t="s">
        <v>38</v>
      </c>
      <c r="G1804" s="4" t="s">
        <v>113</v>
      </c>
      <c r="H1804" s="43" t="s">
        <v>1911</v>
      </c>
      <c r="I1804" s="4" t="s">
        <v>419</v>
      </c>
      <c r="J1804" s="6" t="s">
        <v>5187</v>
      </c>
      <c r="K1804" s="7">
        <v>4.0</v>
      </c>
      <c r="L1804" s="8" t="str">
        <f t="shared" si="237"/>
        <v>BARRANCABERMEJA</v>
      </c>
      <c r="M1804" s="9">
        <v>5.0</v>
      </c>
      <c r="N1804" s="9" t="s">
        <v>44</v>
      </c>
      <c r="O1804" s="10"/>
    </row>
    <row r="1805" ht="14.25" customHeight="1">
      <c r="A1805" s="1" t="s">
        <v>5188</v>
      </c>
      <c r="B1805" s="2" t="s">
        <v>27</v>
      </c>
      <c r="C1805" s="2" t="s">
        <v>28</v>
      </c>
      <c r="D1805" s="2" t="s">
        <v>5189</v>
      </c>
      <c r="E1805" s="3" t="s">
        <v>5190</v>
      </c>
      <c r="F1805" s="4" t="s">
        <v>38</v>
      </c>
      <c r="G1805" s="4" t="s">
        <v>39</v>
      </c>
      <c r="H1805" s="44"/>
      <c r="I1805" s="4" t="s">
        <v>76</v>
      </c>
      <c r="J1805" s="6" t="s">
        <v>607</v>
      </c>
      <c r="K1805" s="7">
        <v>14.0</v>
      </c>
      <c r="L1805" s="8" t="str">
        <f t="shared" si="237"/>
        <v>BUCARAMANGA</v>
      </c>
      <c r="M1805" s="9">
        <v>1.0</v>
      </c>
      <c r="N1805" s="9" t="s">
        <v>44</v>
      </c>
      <c r="O1805" s="10"/>
    </row>
    <row r="1806" ht="14.25" customHeight="1">
      <c r="A1806" s="1" t="s">
        <v>5191</v>
      </c>
      <c r="B1806" s="2" t="s">
        <v>27</v>
      </c>
      <c r="C1806" s="2" t="s">
        <v>28</v>
      </c>
      <c r="D1806" s="2" t="s">
        <v>5192</v>
      </c>
      <c r="E1806" s="3" t="s">
        <v>5193</v>
      </c>
      <c r="F1806" s="4" t="s">
        <v>38</v>
      </c>
      <c r="G1806" s="4" t="s">
        <v>39</v>
      </c>
      <c r="H1806" s="41"/>
      <c r="I1806" s="4" t="s">
        <v>76</v>
      </c>
      <c r="J1806" s="6"/>
      <c r="K1806" s="7"/>
      <c r="L1806" s="8" t="str">
        <f t="shared" si="237"/>
        <v>BUCARAMANGA</v>
      </c>
      <c r="M1806" s="9"/>
      <c r="N1806" s="9" t="s">
        <v>59</v>
      </c>
      <c r="O1806" s="10"/>
    </row>
    <row r="1807" ht="14.25" customHeight="1">
      <c r="A1807" s="1" t="s">
        <v>5194</v>
      </c>
      <c r="B1807" s="2" t="s">
        <v>27</v>
      </c>
      <c r="C1807" s="2" t="s">
        <v>28</v>
      </c>
      <c r="D1807" s="2" t="s">
        <v>5195</v>
      </c>
      <c r="E1807" s="3" t="s">
        <v>5196</v>
      </c>
      <c r="F1807" s="4" t="s">
        <v>38</v>
      </c>
      <c r="G1807" s="4" t="s">
        <v>39</v>
      </c>
      <c r="H1807" s="44"/>
      <c r="I1807" s="4" t="s">
        <v>76</v>
      </c>
      <c r="J1807" s="6" t="s">
        <v>5197</v>
      </c>
      <c r="K1807" s="7">
        <v>11.0</v>
      </c>
      <c r="L1807" s="8" t="str">
        <f t="shared" si="237"/>
        <v>BUCARAMANGA</v>
      </c>
      <c r="M1807" s="9">
        <v>19.0</v>
      </c>
      <c r="N1807" s="9" t="s">
        <v>44</v>
      </c>
      <c r="O1807" s="10"/>
    </row>
    <row r="1808" ht="14.25" customHeight="1">
      <c r="A1808" s="1" t="s">
        <v>5198</v>
      </c>
      <c r="B1808" s="2" t="s">
        <v>27</v>
      </c>
      <c r="C1808" s="2" t="s">
        <v>28</v>
      </c>
      <c r="D1808" s="2" t="s">
        <v>5199</v>
      </c>
      <c r="E1808" s="3" t="s">
        <v>5200</v>
      </c>
      <c r="F1808" s="4" t="s">
        <v>3107</v>
      </c>
      <c r="G1808" s="4" t="s">
        <v>5201</v>
      </c>
      <c r="H1808" s="46"/>
      <c r="I1808" s="4" t="s">
        <v>358</v>
      </c>
      <c r="J1808" s="6" t="s">
        <v>5202</v>
      </c>
      <c r="K1808" s="7">
        <v>14.0</v>
      </c>
      <c r="L1808" s="8" t="str">
        <f t="shared" si="237"/>
        <v>SITIONUEVO</v>
      </c>
      <c r="M1808" s="9">
        <v>99.0</v>
      </c>
      <c r="N1808" s="9" t="s">
        <v>59</v>
      </c>
      <c r="O1808" s="10"/>
    </row>
    <row r="1809" ht="14.25" customHeight="1">
      <c r="A1809" s="1" t="s">
        <v>5203</v>
      </c>
      <c r="B1809" s="2" t="s">
        <v>27</v>
      </c>
      <c r="C1809" s="2" t="s">
        <v>28</v>
      </c>
      <c r="D1809" s="2" t="s">
        <v>5204</v>
      </c>
      <c r="E1809" s="3" t="s">
        <v>5205</v>
      </c>
      <c r="F1809" s="4" t="s">
        <v>38</v>
      </c>
      <c r="G1809" s="4" t="s">
        <v>39</v>
      </c>
      <c r="H1809" s="43" t="s">
        <v>40</v>
      </c>
      <c r="I1809" s="4" t="s">
        <v>76</v>
      </c>
      <c r="J1809" s="6" t="s">
        <v>596</v>
      </c>
      <c r="K1809" s="7">
        <v>35.0</v>
      </c>
      <c r="L1809" s="8" t="str">
        <f t="shared" si="237"/>
        <v>BUCARAMANGA</v>
      </c>
      <c r="M1809" s="9">
        <v>12.0</v>
      </c>
      <c r="N1809" s="9" t="s">
        <v>44</v>
      </c>
      <c r="O1809" s="10"/>
    </row>
    <row r="1810" ht="14.25" hidden="1" customHeight="1">
      <c r="A1810" s="13" t="s">
        <v>5206</v>
      </c>
      <c r="B1810" s="4" t="s">
        <v>27</v>
      </c>
      <c r="C1810" s="4" t="s">
        <v>28</v>
      </c>
      <c r="D1810" s="4" t="s">
        <v>5207</v>
      </c>
      <c r="E1810" s="4">
        <v>3.22731914E9</v>
      </c>
      <c r="F1810" s="4" t="s">
        <v>30</v>
      </c>
      <c r="G1810" s="4" t="s">
        <v>31</v>
      </c>
      <c r="H1810" s="30"/>
      <c r="I1810" s="4" t="s">
        <v>32</v>
      </c>
      <c r="J1810" s="30"/>
      <c r="K1810" s="30"/>
      <c r="L1810" s="14"/>
    </row>
    <row r="1811" ht="14.25" customHeight="1">
      <c r="A1811" s="1" t="s">
        <v>5208</v>
      </c>
      <c r="B1811" s="2" t="s">
        <v>27</v>
      </c>
      <c r="C1811" s="2" t="s">
        <v>28</v>
      </c>
      <c r="D1811" s="2" t="s">
        <v>5209</v>
      </c>
      <c r="E1811" s="3" t="s">
        <v>2589</v>
      </c>
      <c r="F1811" s="4" t="s">
        <v>38</v>
      </c>
      <c r="G1811" s="4" t="s">
        <v>4773</v>
      </c>
      <c r="H1811" s="46"/>
      <c r="I1811" s="4" t="s">
        <v>76</v>
      </c>
      <c r="J1811" s="6" t="s">
        <v>5210</v>
      </c>
      <c r="K1811" s="7">
        <v>4.0</v>
      </c>
      <c r="L1811" s="8" t="str">
        <f t="shared" ref="L1811:L1816" si="238">UPPER(G1811)</f>
        <v>MATANZA</v>
      </c>
      <c r="M1811" s="9">
        <v>99.0</v>
      </c>
      <c r="N1811" s="9" t="s">
        <v>59</v>
      </c>
      <c r="O1811" s="10"/>
    </row>
    <row r="1812" ht="14.25" customHeight="1">
      <c r="A1812" s="1" t="s">
        <v>5211</v>
      </c>
      <c r="B1812" s="2" t="s">
        <v>27</v>
      </c>
      <c r="C1812" s="2" t="s">
        <v>28</v>
      </c>
      <c r="D1812" s="2" t="s">
        <v>5212</v>
      </c>
      <c r="E1812" s="3" t="s">
        <v>5213</v>
      </c>
      <c r="F1812" s="4" t="s">
        <v>38</v>
      </c>
      <c r="G1812" s="4" t="s">
        <v>39</v>
      </c>
      <c r="H1812" s="44"/>
      <c r="I1812" s="4" t="s">
        <v>76</v>
      </c>
      <c r="J1812" s="6" t="s">
        <v>99</v>
      </c>
      <c r="K1812" s="7">
        <v>26.0</v>
      </c>
      <c r="L1812" s="8" t="str">
        <f t="shared" si="238"/>
        <v>BUCARAMANGA</v>
      </c>
      <c r="M1812" s="9">
        <v>1.0</v>
      </c>
      <c r="N1812" s="9" t="s">
        <v>44</v>
      </c>
      <c r="O1812" s="10"/>
    </row>
    <row r="1813" ht="14.25" customHeight="1">
      <c r="A1813" s="1" t="s">
        <v>5214</v>
      </c>
      <c r="B1813" s="2" t="s">
        <v>27</v>
      </c>
      <c r="C1813" s="2" t="s">
        <v>28</v>
      </c>
      <c r="D1813" s="2" t="s">
        <v>5215</v>
      </c>
      <c r="E1813" s="3" t="s">
        <v>5216</v>
      </c>
      <c r="F1813" s="4" t="s">
        <v>38</v>
      </c>
      <c r="G1813" s="4" t="s">
        <v>5217</v>
      </c>
      <c r="H1813" s="37" t="s">
        <v>40</v>
      </c>
      <c r="I1813" s="4" t="s">
        <v>561</v>
      </c>
      <c r="J1813" s="6" t="s">
        <v>5218</v>
      </c>
      <c r="K1813" s="7">
        <v>4.0</v>
      </c>
      <c r="L1813" s="8" t="str">
        <f t="shared" si="238"/>
        <v>ESPAÑA</v>
      </c>
      <c r="O1813" s="10"/>
    </row>
    <row r="1814" ht="14.25" customHeight="1">
      <c r="A1814" s="1" t="s">
        <v>5219</v>
      </c>
      <c r="B1814" s="2" t="s">
        <v>27</v>
      </c>
      <c r="C1814" s="2" t="s">
        <v>551</v>
      </c>
      <c r="D1814" s="2" t="s">
        <v>5220</v>
      </c>
      <c r="E1814" s="3" t="s">
        <v>5221</v>
      </c>
      <c r="F1814" s="4" t="s">
        <v>38</v>
      </c>
      <c r="G1814" s="4" t="s">
        <v>113</v>
      </c>
      <c r="H1814" s="44"/>
      <c r="I1814" s="4" t="s">
        <v>540</v>
      </c>
      <c r="J1814" s="6" t="s">
        <v>5222</v>
      </c>
      <c r="K1814" s="7">
        <v>13.0</v>
      </c>
      <c r="L1814" s="8" t="str">
        <f t="shared" si="238"/>
        <v>BARRANCABERMEJA</v>
      </c>
      <c r="M1814" s="9">
        <v>7.0</v>
      </c>
      <c r="N1814" s="9" t="s">
        <v>44</v>
      </c>
      <c r="O1814" s="10"/>
    </row>
    <row r="1815" ht="14.25" customHeight="1">
      <c r="A1815" s="1" t="s">
        <v>5223</v>
      </c>
      <c r="B1815" s="2" t="s">
        <v>27</v>
      </c>
      <c r="C1815" s="2" t="s">
        <v>28</v>
      </c>
      <c r="D1815" s="2" t="s">
        <v>5224</v>
      </c>
      <c r="E1815" s="3" t="s">
        <v>5225</v>
      </c>
      <c r="F1815" s="4" t="s">
        <v>38</v>
      </c>
      <c r="G1815" s="4" t="s">
        <v>39</v>
      </c>
      <c r="H1815" s="43" t="s">
        <v>642</v>
      </c>
      <c r="I1815" s="4" t="s">
        <v>561</v>
      </c>
      <c r="J1815" s="6" t="s">
        <v>851</v>
      </c>
      <c r="K1815" s="7">
        <v>28.0</v>
      </c>
      <c r="L1815" s="8" t="str">
        <f t="shared" si="238"/>
        <v>BUCARAMANGA</v>
      </c>
      <c r="M1815" s="9">
        <v>11.0</v>
      </c>
      <c r="N1815" s="9" t="s">
        <v>44</v>
      </c>
      <c r="O1815" s="10"/>
    </row>
    <row r="1816" ht="14.25" customHeight="1">
      <c r="A1816" s="1" t="s">
        <v>5226</v>
      </c>
      <c r="B1816" s="2" t="s">
        <v>27</v>
      </c>
      <c r="C1816" s="2" t="s">
        <v>28</v>
      </c>
      <c r="D1816" s="2" t="s">
        <v>5227</v>
      </c>
      <c r="E1816" s="3" t="s">
        <v>5228</v>
      </c>
      <c r="F1816" s="4" t="s">
        <v>38</v>
      </c>
      <c r="G1816" s="4" t="s">
        <v>221</v>
      </c>
      <c r="H1816" s="44"/>
      <c r="I1816" s="4" t="s">
        <v>561</v>
      </c>
      <c r="J1816" s="6" t="s">
        <v>836</v>
      </c>
      <c r="K1816" s="7">
        <v>1.0</v>
      </c>
      <c r="L1816" s="8" t="str">
        <f t="shared" si="238"/>
        <v>CHARTA</v>
      </c>
      <c r="M1816" s="9">
        <v>99.0</v>
      </c>
      <c r="N1816" s="9" t="s">
        <v>44</v>
      </c>
      <c r="O1816" s="10"/>
    </row>
    <row r="1817" ht="14.25" hidden="1" customHeight="1">
      <c r="A1817" s="13" t="s">
        <v>5229</v>
      </c>
      <c r="B1817" s="4" t="s">
        <v>27</v>
      </c>
      <c r="C1817" s="4" t="s">
        <v>28</v>
      </c>
      <c r="D1817" s="4" t="s">
        <v>5230</v>
      </c>
      <c r="E1817" s="4">
        <v>3.011963434E9</v>
      </c>
      <c r="F1817" s="4" t="s">
        <v>30</v>
      </c>
      <c r="G1817" s="4" t="s">
        <v>35</v>
      </c>
      <c r="H1817" s="14"/>
      <c r="I1817" s="4" t="s">
        <v>32</v>
      </c>
      <c r="J1817" s="14"/>
      <c r="K1817" s="14"/>
      <c r="L1817" s="14"/>
    </row>
    <row r="1818" ht="14.25" customHeight="1">
      <c r="A1818" s="1" t="s">
        <v>5231</v>
      </c>
      <c r="B1818" s="2" t="s">
        <v>27</v>
      </c>
      <c r="C1818" s="2" t="s">
        <v>28</v>
      </c>
      <c r="D1818" s="2" t="s">
        <v>5232</v>
      </c>
      <c r="E1818" s="3" t="s">
        <v>5233</v>
      </c>
      <c r="F1818" s="4" t="s">
        <v>38</v>
      </c>
      <c r="G1818" s="4" t="s">
        <v>39</v>
      </c>
      <c r="H1818" s="44"/>
      <c r="I1818" s="4" t="s">
        <v>540</v>
      </c>
      <c r="J1818" s="6" t="s">
        <v>1566</v>
      </c>
      <c r="K1818" s="7">
        <v>2.0</v>
      </c>
      <c r="L1818" s="8" t="str">
        <f>UPPER(G1818)</f>
        <v>BUCARAMANGA</v>
      </c>
      <c r="M1818" s="9">
        <v>16.0</v>
      </c>
      <c r="N1818" s="9" t="s">
        <v>44</v>
      </c>
      <c r="O1818" s="10"/>
    </row>
    <row r="1819" ht="14.25" hidden="1" customHeight="1">
      <c r="A1819" s="13" t="s">
        <v>5234</v>
      </c>
      <c r="B1819" s="4" t="s">
        <v>27</v>
      </c>
      <c r="C1819" s="4" t="s">
        <v>28</v>
      </c>
      <c r="D1819" s="4" t="s">
        <v>5235</v>
      </c>
      <c r="E1819" s="4">
        <v>3.126545437E9</v>
      </c>
      <c r="F1819" s="4" t="s">
        <v>30</v>
      </c>
      <c r="G1819" s="4" t="s">
        <v>35</v>
      </c>
      <c r="H1819" s="30"/>
      <c r="I1819" s="4" t="s">
        <v>32</v>
      </c>
      <c r="J1819" s="14"/>
      <c r="K1819" s="14"/>
      <c r="L1819" s="14"/>
    </row>
    <row r="1820" ht="14.25" customHeight="1">
      <c r="A1820" s="1" t="s">
        <v>5236</v>
      </c>
      <c r="B1820" s="2" t="s">
        <v>27</v>
      </c>
      <c r="C1820" s="2" t="s">
        <v>28</v>
      </c>
      <c r="D1820" s="2" t="s">
        <v>5237</v>
      </c>
      <c r="E1820" s="3" t="s">
        <v>1751</v>
      </c>
      <c r="F1820" s="4" t="s">
        <v>69</v>
      </c>
      <c r="G1820" s="4" t="s">
        <v>69</v>
      </c>
      <c r="H1820" s="47"/>
      <c r="I1820" s="4" t="s">
        <v>51</v>
      </c>
      <c r="J1820" s="6" t="s">
        <v>5238</v>
      </c>
      <c r="K1820" s="7">
        <v>7.0</v>
      </c>
      <c r="L1820" s="8" t="str">
        <f t="shared" ref="L1820:L1825" si="239">UPPER(G1820)</f>
        <v>BOGOTA</v>
      </c>
      <c r="M1820" s="9">
        <v>9.0</v>
      </c>
      <c r="N1820" s="9" t="s">
        <v>44</v>
      </c>
      <c r="O1820" s="10"/>
    </row>
    <row r="1821" ht="14.25" customHeight="1">
      <c r="A1821" s="1" t="s">
        <v>5239</v>
      </c>
      <c r="B1821" s="2" t="s">
        <v>27</v>
      </c>
      <c r="C1821" s="2" t="s">
        <v>28</v>
      </c>
      <c r="D1821" s="2" t="s">
        <v>5240</v>
      </c>
      <c r="E1821" s="3" t="s">
        <v>5241</v>
      </c>
      <c r="F1821" s="4" t="s">
        <v>38</v>
      </c>
      <c r="G1821" s="4" t="s">
        <v>113</v>
      </c>
      <c r="H1821" s="43" t="s">
        <v>3428</v>
      </c>
      <c r="I1821" s="4" t="s">
        <v>540</v>
      </c>
      <c r="J1821" s="6" t="s">
        <v>5242</v>
      </c>
      <c r="K1821" s="7">
        <v>2.0</v>
      </c>
      <c r="L1821" s="8" t="str">
        <f t="shared" si="239"/>
        <v>BARRANCABERMEJA</v>
      </c>
      <c r="M1821" s="9">
        <v>4.0</v>
      </c>
      <c r="N1821" s="9" t="s">
        <v>44</v>
      </c>
      <c r="O1821" s="10"/>
    </row>
    <row r="1822" ht="14.25" customHeight="1">
      <c r="A1822" s="1" t="s">
        <v>5243</v>
      </c>
      <c r="B1822" s="2" t="s">
        <v>27</v>
      </c>
      <c r="C1822" s="2" t="s">
        <v>28</v>
      </c>
      <c r="D1822" s="2" t="s">
        <v>5244</v>
      </c>
      <c r="E1822" s="3" t="s">
        <v>5245</v>
      </c>
      <c r="F1822" s="4" t="s">
        <v>38</v>
      </c>
      <c r="G1822" s="4" t="s">
        <v>39</v>
      </c>
      <c r="H1822" s="45" t="s">
        <v>40</v>
      </c>
      <c r="I1822" s="4" t="s">
        <v>561</v>
      </c>
      <c r="J1822" s="6"/>
      <c r="K1822" s="7"/>
      <c r="L1822" s="8" t="str">
        <f t="shared" si="239"/>
        <v>BUCARAMANGA</v>
      </c>
      <c r="M1822" s="9"/>
      <c r="N1822" s="9" t="s">
        <v>59</v>
      </c>
      <c r="O1822" s="10"/>
    </row>
    <row r="1823" ht="14.25" customHeight="1">
      <c r="A1823" s="1" t="s">
        <v>5246</v>
      </c>
      <c r="B1823" s="2" t="s">
        <v>27</v>
      </c>
      <c r="C1823" s="2" t="s">
        <v>28</v>
      </c>
      <c r="D1823" s="2" t="s">
        <v>5247</v>
      </c>
      <c r="E1823" s="3" t="s">
        <v>5248</v>
      </c>
      <c r="F1823" s="4" t="s">
        <v>38</v>
      </c>
      <c r="G1823" s="4" t="s">
        <v>39</v>
      </c>
      <c r="H1823" s="43" t="s">
        <v>40</v>
      </c>
      <c r="I1823" s="4" t="s">
        <v>561</v>
      </c>
      <c r="J1823" s="6" t="s">
        <v>230</v>
      </c>
      <c r="K1823" s="7">
        <v>9.0</v>
      </c>
      <c r="L1823" s="8" t="str">
        <f t="shared" si="239"/>
        <v>BUCARAMANGA</v>
      </c>
      <c r="M1823" s="9">
        <v>12.0</v>
      </c>
      <c r="N1823" s="9" t="s">
        <v>44</v>
      </c>
      <c r="O1823" s="10"/>
    </row>
    <row r="1824" ht="14.25" customHeight="1">
      <c r="A1824" s="1" t="s">
        <v>5249</v>
      </c>
      <c r="B1824" s="2" t="s">
        <v>27</v>
      </c>
      <c r="C1824" s="2" t="s">
        <v>28</v>
      </c>
      <c r="D1824" s="2" t="s">
        <v>5250</v>
      </c>
      <c r="E1824" s="3" t="s">
        <v>5251</v>
      </c>
      <c r="F1824" s="4" t="s">
        <v>69</v>
      </c>
      <c r="G1824" s="4" t="s">
        <v>69</v>
      </c>
      <c r="H1824" s="41"/>
      <c r="I1824" s="4" t="s">
        <v>182</v>
      </c>
      <c r="J1824" s="6" t="s">
        <v>5252</v>
      </c>
      <c r="K1824" s="7">
        <v>28.0</v>
      </c>
      <c r="L1824" s="8" t="str">
        <f t="shared" si="239"/>
        <v>BOGOTA</v>
      </c>
      <c r="M1824" s="9">
        <v>8.0</v>
      </c>
      <c r="N1824" s="9" t="s">
        <v>59</v>
      </c>
      <c r="O1824" s="10"/>
    </row>
    <row r="1825" ht="14.25" customHeight="1">
      <c r="A1825" s="1" t="s">
        <v>5253</v>
      </c>
      <c r="B1825" s="2" t="s">
        <v>27</v>
      </c>
      <c r="C1825" s="2" t="s">
        <v>28</v>
      </c>
      <c r="D1825" s="2" t="s">
        <v>5254</v>
      </c>
      <c r="E1825" s="3" t="s">
        <v>5255</v>
      </c>
      <c r="F1825" s="4" t="s">
        <v>38</v>
      </c>
      <c r="G1825" s="4" t="s">
        <v>39</v>
      </c>
      <c r="H1825" s="47"/>
      <c r="I1825" s="4" t="s">
        <v>76</v>
      </c>
      <c r="J1825" s="6" t="s">
        <v>5256</v>
      </c>
      <c r="K1825" s="7">
        <v>9.0</v>
      </c>
      <c r="L1825" s="8" t="str">
        <f t="shared" si="239"/>
        <v>BUCARAMANGA</v>
      </c>
      <c r="M1825" s="9">
        <v>2.0</v>
      </c>
      <c r="N1825" s="9" t="s">
        <v>44</v>
      </c>
      <c r="O1825" s="10"/>
    </row>
    <row r="1826" ht="14.25" customHeight="1">
      <c r="A1826" s="1"/>
      <c r="B1826" s="2"/>
      <c r="C1826" s="2"/>
      <c r="D1826" s="2"/>
      <c r="E1826" s="3"/>
      <c r="F1826" s="4"/>
      <c r="G1826" s="4"/>
      <c r="H1826" s="14"/>
      <c r="I1826" s="4"/>
      <c r="J1826" s="6"/>
      <c r="K1826" s="7"/>
      <c r="L1826" s="8"/>
      <c r="O1826" s="10"/>
    </row>
    <row r="1827" ht="14.25" customHeight="1">
      <c r="A1827" s="1"/>
      <c r="B1827" s="2"/>
      <c r="C1827" s="2"/>
      <c r="D1827" s="2"/>
      <c r="E1827" s="3"/>
      <c r="F1827" s="4"/>
      <c r="G1827" s="4"/>
      <c r="H1827" s="14"/>
      <c r="I1827" s="4"/>
      <c r="J1827" s="6"/>
      <c r="K1827" s="7"/>
      <c r="L1827" s="8"/>
      <c r="O1827" s="10"/>
    </row>
    <row r="1828" ht="14.25" customHeight="1">
      <c r="A1828" s="1"/>
      <c r="B1828" s="2"/>
      <c r="C1828" s="2"/>
      <c r="D1828" s="2"/>
      <c r="E1828" s="3"/>
      <c r="F1828" s="4"/>
      <c r="G1828" s="4"/>
      <c r="H1828" s="4"/>
      <c r="I1828" s="4"/>
      <c r="J1828" s="6"/>
      <c r="K1828" s="7"/>
      <c r="L1828" s="8"/>
      <c r="O1828" s="10"/>
    </row>
    <row r="1829" ht="14.25" customHeight="1">
      <c r="A1829" s="1"/>
      <c r="B1829" s="2"/>
      <c r="C1829" s="2"/>
      <c r="D1829" s="2"/>
      <c r="E1829" s="3"/>
      <c r="F1829" s="4"/>
      <c r="G1829" s="4"/>
      <c r="H1829" s="4"/>
      <c r="I1829" s="4"/>
      <c r="J1829" s="6"/>
      <c r="K1829" s="7"/>
      <c r="L1829" s="8"/>
      <c r="O1829" s="10"/>
    </row>
    <row r="1830" ht="14.25" customHeight="1">
      <c r="A1830" s="1"/>
      <c r="B1830" s="2"/>
      <c r="C1830" s="2"/>
      <c r="D1830" s="2"/>
      <c r="E1830" s="3"/>
      <c r="F1830" s="4"/>
      <c r="G1830" s="4"/>
      <c r="H1830" s="14"/>
      <c r="I1830" s="4"/>
      <c r="J1830" s="6"/>
      <c r="K1830" s="7"/>
      <c r="L1830" s="8"/>
      <c r="O1830" s="10"/>
    </row>
    <row r="1831" ht="14.25" customHeight="1">
      <c r="A1831" s="1"/>
      <c r="B1831" s="2"/>
      <c r="C1831" s="2"/>
      <c r="D1831" s="2"/>
      <c r="E1831" s="3"/>
      <c r="F1831" s="4"/>
      <c r="G1831" s="4"/>
      <c r="H1831" s="14"/>
      <c r="I1831" s="4"/>
      <c r="J1831" s="6"/>
      <c r="K1831" s="7"/>
      <c r="L1831" s="8"/>
      <c r="O1831" s="10"/>
    </row>
    <row r="1832" ht="14.25" customHeight="1">
      <c r="A1832" s="1"/>
      <c r="B1832" s="2"/>
      <c r="C1832" s="2"/>
      <c r="D1832" s="2"/>
      <c r="E1832" s="3"/>
      <c r="F1832" s="4"/>
      <c r="G1832" s="4"/>
      <c r="H1832" s="14"/>
      <c r="I1832" s="4"/>
      <c r="J1832" s="6"/>
      <c r="K1832" s="7"/>
      <c r="L1832" s="8"/>
      <c r="O1832" s="10"/>
    </row>
    <row r="1833" ht="14.25" customHeight="1">
      <c r="A1833" s="1"/>
      <c r="B1833" s="2"/>
      <c r="C1833" s="2"/>
      <c r="D1833" s="2"/>
      <c r="E1833" s="3"/>
      <c r="F1833" s="4"/>
      <c r="G1833" s="4"/>
      <c r="H1833" s="14"/>
      <c r="I1833" s="4"/>
      <c r="J1833" s="6"/>
      <c r="K1833" s="7"/>
      <c r="L1833" s="8"/>
      <c r="O1833" s="10"/>
    </row>
    <row r="1834" ht="14.25" customHeight="1">
      <c r="A1834" s="1"/>
      <c r="B1834" s="2"/>
      <c r="C1834" s="2"/>
      <c r="D1834" s="2"/>
      <c r="E1834" s="3"/>
      <c r="F1834" s="4"/>
      <c r="G1834" s="4"/>
      <c r="H1834" s="14"/>
      <c r="I1834" s="4"/>
      <c r="J1834" s="6"/>
      <c r="K1834" s="7"/>
      <c r="L1834" s="8"/>
      <c r="O1834" s="10"/>
    </row>
    <row r="1835" ht="14.25" customHeight="1">
      <c r="A1835" s="1"/>
      <c r="B1835" s="2"/>
      <c r="C1835" s="2"/>
      <c r="D1835" s="2"/>
      <c r="E1835" s="3"/>
      <c r="F1835" s="4"/>
      <c r="G1835" s="4"/>
      <c r="H1835" s="14"/>
      <c r="I1835" s="4"/>
      <c r="J1835" s="6"/>
      <c r="K1835" s="7"/>
      <c r="L1835" s="8"/>
      <c r="O1835" s="10"/>
    </row>
    <row r="1836" ht="14.25" customHeight="1">
      <c r="A1836" s="1"/>
      <c r="B1836" s="2"/>
      <c r="C1836" s="2"/>
      <c r="D1836" s="2"/>
      <c r="E1836" s="3"/>
      <c r="F1836" s="4"/>
      <c r="G1836" s="4"/>
      <c r="H1836" s="14"/>
      <c r="I1836" s="4"/>
      <c r="J1836" s="6"/>
      <c r="K1836" s="7"/>
      <c r="L1836" s="8"/>
      <c r="O1836" s="10"/>
    </row>
    <row r="1837" ht="14.25" customHeight="1">
      <c r="A1837" s="1"/>
      <c r="B1837" s="2"/>
      <c r="C1837" s="2"/>
      <c r="D1837" s="2"/>
      <c r="E1837" s="3"/>
      <c r="F1837" s="4"/>
      <c r="G1837" s="4"/>
      <c r="H1837" s="14"/>
      <c r="I1837" s="4"/>
      <c r="J1837" s="6"/>
      <c r="K1837" s="7"/>
      <c r="L1837" s="8"/>
      <c r="O1837" s="10"/>
    </row>
    <row r="1838" ht="14.25" customHeight="1">
      <c r="A1838" s="1"/>
      <c r="B1838" s="2"/>
      <c r="C1838" s="2"/>
      <c r="D1838" s="2"/>
      <c r="E1838" s="3"/>
      <c r="F1838" s="4"/>
      <c r="G1838" s="4"/>
      <c r="H1838" s="14"/>
      <c r="I1838" s="4"/>
      <c r="J1838" s="6"/>
      <c r="K1838" s="7"/>
      <c r="L1838" s="8"/>
      <c r="O1838" s="10"/>
    </row>
    <row r="1839" ht="14.25" customHeight="1">
      <c r="A1839" s="1"/>
      <c r="B1839" s="2"/>
      <c r="C1839" s="2"/>
      <c r="D1839" s="2"/>
      <c r="E1839" s="3"/>
      <c r="F1839" s="4"/>
      <c r="G1839" s="4"/>
      <c r="H1839" s="14"/>
      <c r="I1839" s="4"/>
      <c r="J1839" s="6"/>
      <c r="K1839" s="7"/>
      <c r="L1839" s="8"/>
      <c r="O1839" s="10"/>
    </row>
    <row r="1840" ht="14.25" customHeight="1">
      <c r="A1840" s="1"/>
      <c r="B1840" s="2"/>
      <c r="C1840" s="2"/>
      <c r="D1840" s="2"/>
      <c r="E1840" s="3"/>
      <c r="F1840" s="4"/>
      <c r="G1840" s="4"/>
      <c r="H1840" s="14"/>
      <c r="I1840" s="4"/>
      <c r="J1840" s="6"/>
      <c r="K1840" s="7"/>
      <c r="L1840" s="8"/>
      <c r="O1840" s="10"/>
    </row>
    <row r="1841" ht="14.25" customHeight="1">
      <c r="A1841" s="1"/>
      <c r="B1841" s="2"/>
      <c r="C1841" s="2"/>
      <c r="D1841" s="2"/>
      <c r="E1841" s="3"/>
      <c r="F1841" s="4"/>
      <c r="G1841" s="4"/>
      <c r="H1841" s="14"/>
      <c r="I1841" s="4"/>
      <c r="J1841" s="6"/>
      <c r="K1841" s="7"/>
      <c r="L1841" s="8"/>
      <c r="O1841" s="10"/>
    </row>
    <row r="1842" ht="14.25" customHeight="1">
      <c r="A1842" s="1"/>
      <c r="B1842" s="2"/>
      <c r="C1842" s="2"/>
      <c r="D1842" s="2"/>
      <c r="E1842" s="3"/>
      <c r="F1842" s="4"/>
      <c r="G1842" s="4"/>
      <c r="H1842" s="14"/>
      <c r="I1842" s="4"/>
      <c r="J1842" s="6"/>
      <c r="K1842" s="7"/>
      <c r="L1842" s="8"/>
      <c r="O1842" s="10"/>
    </row>
    <row r="1843" ht="14.25" customHeight="1">
      <c r="A1843" s="1"/>
      <c r="B1843" s="2"/>
      <c r="C1843" s="2"/>
      <c r="D1843" s="2"/>
      <c r="E1843" s="3"/>
      <c r="F1843" s="4"/>
      <c r="G1843" s="4"/>
      <c r="H1843" s="14"/>
      <c r="I1843" s="4"/>
      <c r="J1843" s="6"/>
      <c r="K1843" s="7"/>
      <c r="L1843" s="8"/>
      <c r="O1843" s="10"/>
    </row>
    <row r="1844" ht="14.25" customHeight="1">
      <c r="A1844" s="1"/>
      <c r="B1844" s="2"/>
      <c r="C1844" s="2"/>
      <c r="D1844" s="2"/>
      <c r="E1844" s="3"/>
      <c r="F1844" s="4"/>
      <c r="G1844" s="4"/>
      <c r="H1844" s="4"/>
      <c r="I1844" s="4"/>
      <c r="J1844" s="6"/>
      <c r="K1844" s="7"/>
      <c r="L1844" s="8"/>
      <c r="O1844" s="10"/>
    </row>
    <row r="1845" ht="14.25" customHeight="1">
      <c r="A1845" s="1"/>
      <c r="B1845" s="2"/>
      <c r="C1845" s="2"/>
      <c r="D1845" s="2"/>
      <c r="E1845" s="3"/>
      <c r="F1845" s="4"/>
      <c r="G1845" s="4"/>
      <c r="H1845" s="14"/>
      <c r="I1845" s="4"/>
      <c r="J1845" s="6"/>
      <c r="K1845" s="7"/>
      <c r="L1845" s="8"/>
      <c r="O1845" s="10"/>
    </row>
    <row r="1846" ht="14.25" customHeight="1">
      <c r="A1846" s="1"/>
      <c r="B1846" s="2"/>
      <c r="C1846" s="2"/>
      <c r="D1846" s="2"/>
      <c r="E1846" s="3"/>
      <c r="F1846" s="4"/>
      <c r="G1846" s="4"/>
      <c r="H1846" s="14"/>
      <c r="I1846" s="4"/>
      <c r="J1846" s="6"/>
      <c r="K1846" s="7"/>
      <c r="L1846" s="8"/>
      <c r="O1846" s="10"/>
    </row>
    <row r="1847" ht="14.25" customHeight="1">
      <c r="A1847" s="1"/>
      <c r="B1847" s="2"/>
      <c r="C1847" s="2"/>
      <c r="D1847" s="2"/>
      <c r="E1847" s="3"/>
      <c r="F1847" s="4"/>
      <c r="G1847" s="4"/>
      <c r="H1847" s="14"/>
      <c r="I1847" s="4"/>
      <c r="J1847" s="6"/>
      <c r="K1847" s="7"/>
      <c r="L1847" s="8"/>
      <c r="O1847" s="10"/>
    </row>
    <row r="1848" ht="14.25" customHeight="1">
      <c r="A1848" s="1"/>
      <c r="B1848" s="2"/>
      <c r="C1848" s="2"/>
      <c r="D1848" s="2"/>
      <c r="E1848" s="3"/>
      <c r="F1848" s="4"/>
      <c r="G1848" s="4"/>
      <c r="H1848" s="14"/>
      <c r="I1848" s="4"/>
      <c r="J1848" s="6"/>
      <c r="K1848" s="7"/>
      <c r="L1848" s="8"/>
      <c r="O1848" s="10"/>
    </row>
    <row r="1849" ht="14.25" customHeight="1">
      <c r="A1849" s="1"/>
      <c r="B1849" s="2"/>
      <c r="C1849" s="2"/>
      <c r="D1849" s="2"/>
      <c r="E1849" s="3"/>
      <c r="F1849" s="4"/>
      <c r="G1849" s="4"/>
      <c r="H1849" s="14"/>
      <c r="I1849" s="4"/>
      <c r="J1849" s="6"/>
      <c r="K1849" s="7"/>
      <c r="L1849" s="8"/>
      <c r="O1849" s="10"/>
    </row>
    <row r="1850" ht="14.25" customHeight="1">
      <c r="A1850" s="1"/>
      <c r="B1850" s="2"/>
      <c r="C1850" s="2"/>
      <c r="D1850" s="2"/>
      <c r="E1850" s="3"/>
      <c r="F1850" s="4"/>
      <c r="G1850" s="4"/>
      <c r="H1850" s="14"/>
      <c r="I1850" s="4"/>
      <c r="J1850" s="6"/>
      <c r="K1850" s="7"/>
      <c r="L1850" s="8"/>
      <c r="O1850" s="10"/>
    </row>
    <row r="1851" ht="14.25" customHeight="1">
      <c r="A1851" s="1"/>
      <c r="B1851" s="2"/>
      <c r="C1851" s="2"/>
      <c r="D1851" s="2"/>
      <c r="E1851" s="3"/>
      <c r="F1851" s="4"/>
      <c r="G1851" s="4"/>
      <c r="H1851" s="14"/>
      <c r="I1851" s="4"/>
      <c r="J1851" s="6"/>
      <c r="K1851" s="7"/>
      <c r="L1851" s="8"/>
      <c r="O1851" s="10"/>
    </row>
    <row r="1852" ht="14.25" customHeight="1">
      <c r="A1852" s="1"/>
      <c r="B1852" s="2"/>
      <c r="C1852" s="2"/>
      <c r="D1852" s="2"/>
      <c r="E1852" s="3"/>
      <c r="F1852" s="4"/>
      <c r="G1852" s="4"/>
      <c r="H1852" s="14"/>
      <c r="I1852" s="4"/>
      <c r="J1852" s="6"/>
      <c r="K1852" s="7"/>
      <c r="L1852" s="8"/>
      <c r="O1852" s="10"/>
    </row>
    <row r="1853" ht="14.25" customHeight="1">
      <c r="A1853" s="1"/>
      <c r="B1853" s="2"/>
      <c r="C1853" s="2"/>
      <c r="D1853" s="2"/>
      <c r="E1853" s="3"/>
      <c r="F1853" s="4"/>
      <c r="G1853" s="4"/>
      <c r="H1853" s="14"/>
      <c r="I1853" s="4"/>
      <c r="J1853" s="6"/>
      <c r="K1853" s="7"/>
      <c r="L1853" s="8"/>
      <c r="O1853" s="10"/>
    </row>
    <row r="1854" ht="14.25" customHeight="1">
      <c r="A1854" s="1"/>
      <c r="B1854" s="2"/>
      <c r="C1854" s="2"/>
      <c r="D1854" s="2"/>
      <c r="E1854" s="3"/>
      <c r="F1854" s="4"/>
      <c r="G1854" s="4"/>
      <c r="H1854" s="14"/>
      <c r="I1854" s="4"/>
      <c r="J1854" s="6"/>
      <c r="K1854" s="7"/>
      <c r="L1854" s="8"/>
      <c r="O1854" s="10"/>
    </row>
    <row r="1855" ht="14.25" customHeight="1">
      <c r="A1855" s="1"/>
      <c r="B1855" s="2"/>
      <c r="C1855" s="2"/>
      <c r="D1855" s="2"/>
      <c r="E1855" s="3"/>
      <c r="F1855" s="4"/>
      <c r="G1855" s="4"/>
      <c r="H1855" s="14"/>
      <c r="I1855" s="4"/>
      <c r="J1855" s="6"/>
      <c r="K1855" s="7"/>
      <c r="L1855" s="8"/>
      <c r="O1855" s="10"/>
    </row>
    <row r="1856" ht="14.25" customHeight="1">
      <c r="A1856" s="1"/>
      <c r="B1856" s="2"/>
      <c r="C1856" s="2"/>
      <c r="D1856" s="2"/>
      <c r="E1856" s="3"/>
      <c r="F1856" s="4"/>
      <c r="G1856" s="4"/>
      <c r="H1856" s="14"/>
      <c r="I1856" s="4"/>
      <c r="J1856" s="6"/>
      <c r="K1856" s="7"/>
      <c r="L1856" s="8"/>
      <c r="O1856" s="10"/>
    </row>
    <row r="1857" ht="14.25" customHeight="1">
      <c r="A1857" s="1"/>
      <c r="B1857" s="2"/>
      <c r="C1857" s="2"/>
      <c r="D1857" s="2"/>
      <c r="E1857" s="3"/>
      <c r="F1857" s="4"/>
      <c r="G1857" s="4"/>
      <c r="H1857" s="4"/>
      <c r="I1857" s="4"/>
      <c r="J1857" s="6"/>
      <c r="K1857" s="7"/>
      <c r="L1857" s="8"/>
      <c r="O1857" s="10"/>
    </row>
    <row r="1858" ht="14.25" customHeight="1">
      <c r="A1858" s="1"/>
      <c r="B1858" s="2"/>
      <c r="C1858" s="2"/>
      <c r="D1858" s="2"/>
      <c r="E1858" s="3"/>
      <c r="F1858" s="4"/>
      <c r="G1858" s="4"/>
      <c r="H1858" s="4"/>
      <c r="I1858" s="4"/>
      <c r="J1858" s="6"/>
      <c r="K1858" s="7"/>
      <c r="L1858" s="8"/>
      <c r="O1858" s="10"/>
    </row>
    <row r="1859" ht="14.25" customHeight="1">
      <c r="A1859" s="1"/>
      <c r="B1859" s="2"/>
      <c r="C1859" s="2"/>
      <c r="D1859" s="2"/>
      <c r="E1859" s="3"/>
      <c r="F1859" s="4"/>
      <c r="G1859" s="4"/>
      <c r="H1859" s="14"/>
      <c r="I1859" s="4"/>
      <c r="J1859" s="6"/>
      <c r="K1859" s="7"/>
      <c r="L1859" s="8"/>
      <c r="O1859" s="10"/>
    </row>
    <row r="1860" ht="14.25" customHeight="1">
      <c r="A1860" s="1"/>
      <c r="B1860" s="2"/>
      <c r="C1860" s="2"/>
      <c r="D1860" s="2"/>
      <c r="E1860" s="3"/>
      <c r="F1860" s="4"/>
      <c r="G1860" s="4"/>
      <c r="H1860" s="14"/>
      <c r="I1860" s="4"/>
      <c r="J1860" s="6"/>
      <c r="K1860" s="7"/>
      <c r="L1860" s="8"/>
      <c r="O1860" s="10"/>
    </row>
    <row r="1861" ht="14.25" customHeight="1">
      <c r="A1861" s="1"/>
      <c r="B1861" s="2"/>
      <c r="C1861" s="2"/>
      <c r="D1861" s="2"/>
      <c r="E1861" s="3"/>
      <c r="F1861" s="4"/>
      <c r="G1861" s="4"/>
      <c r="H1861" s="14"/>
      <c r="I1861" s="4"/>
      <c r="J1861" s="6"/>
      <c r="K1861" s="7"/>
      <c r="L1861" s="8"/>
      <c r="O1861" s="10"/>
    </row>
    <row r="1862" ht="14.25" customHeight="1">
      <c r="A1862" s="1"/>
      <c r="B1862" s="2"/>
      <c r="C1862" s="2"/>
      <c r="D1862" s="2"/>
      <c r="E1862" s="3"/>
      <c r="F1862" s="4"/>
      <c r="G1862" s="4"/>
      <c r="H1862" s="4"/>
      <c r="I1862" s="4"/>
      <c r="J1862" s="6"/>
      <c r="K1862" s="7"/>
      <c r="L1862" s="8"/>
      <c r="O1862" s="10"/>
    </row>
    <row r="1863" ht="14.25" customHeight="1">
      <c r="A1863" s="1"/>
      <c r="B1863" s="2"/>
      <c r="C1863" s="2"/>
      <c r="D1863" s="2"/>
      <c r="E1863" s="3"/>
      <c r="F1863" s="4"/>
      <c r="G1863" s="4"/>
      <c r="H1863" s="14"/>
      <c r="I1863" s="4"/>
      <c r="J1863" s="6"/>
      <c r="K1863" s="7"/>
      <c r="L1863" s="8"/>
      <c r="O1863" s="10"/>
    </row>
    <row r="1864" ht="14.25" customHeight="1">
      <c r="A1864" s="1"/>
      <c r="B1864" s="2"/>
      <c r="C1864" s="2"/>
      <c r="D1864" s="2"/>
      <c r="E1864" s="3"/>
      <c r="F1864" s="4"/>
      <c r="G1864" s="4"/>
      <c r="H1864" s="4"/>
      <c r="I1864" s="4"/>
      <c r="J1864" s="6"/>
      <c r="K1864" s="7"/>
      <c r="L1864" s="8"/>
      <c r="O1864" s="10"/>
    </row>
    <row r="1865" ht="14.25" customHeight="1">
      <c r="A1865" s="1"/>
      <c r="B1865" s="2"/>
      <c r="C1865" s="2"/>
      <c r="D1865" s="2"/>
      <c r="E1865" s="3"/>
      <c r="F1865" s="4"/>
      <c r="G1865" s="4"/>
      <c r="H1865" s="4"/>
      <c r="I1865" s="4"/>
      <c r="J1865" s="6"/>
      <c r="K1865" s="7"/>
      <c r="L1865" s="8"/>
      <c r="O1865" s="10"/>
    </row>
    <row r="1866" ht="14.25" customHeight="1">
      <c r="A1866" s="1"/>
      <c r="B1866" s="2"/>
      <c r="C1866" s="2"/>
      <c r="D1866" s="2"/>
      <c r="E1866" s="3"/>
      <c r="F1866" s="4"/>
      <c r="G1866" s="4"/>
      <c r="H1866" s="14"/>
      <c r="I1866" s="4"/>
      <c r="J1866" s="6"/>
      <c r="K1866" s="7"/>
      <c r="L1866" s="8"/>
      <c r="O1866" s="10"/>
    </row>
    <row r="1867" ht="14.25" customHeight="1">
      <c r="A1867" s="1"/>
      <c r="B1867" s="2"/>
      <c r="C1867" s="2"/>
      <c r="D1867" s="2"/>
      <c r="E1867" s="3"/>
      <c r="F1867" s="4"/>
      <c r="G1867" s="4"/>
      <c r="H1867" s="14"/>
      <c r="I1867" s="4"/>
      <c r="J1867" s="6"/>
      <c r="K1867" s="7"/>
      <c r="L1867" s="8"/>
      <c r="O1867" s="10"/>
    </row>
    <row r="1868" ht="14.25" customHeight="1">
      <c r="A1868" s="1"/>
      <c r="B1868" s="2"/>
      <c r="C1868" s="2"/>
      <c r="D1868" s="2"/>
      <c r="E1868" s="3"/>
      <c r="F1868" s="4"/>
      <c r="G1868" s="4"/>
      <c r="H1868" s="14"/>
      <c r="I1868" s="4"/>
      <c r="J1868" s="6"/>
      <c r="K1868" s="7"/>
      <c r="L1868" s="8"/>
      <c r="O1868" s="10"/>
    </row>
    <row r="1869" ht="14.25" customHeight="1">
      <c r="A1869" s="1"/>
      <c r="B1869" s="2"/>
      <c r="C1869" s="2"/>
      <c r="D1869" s="2"/>
      <c r="E1869" s="3"/>
      <c r="F1869" s="4"/>
      <c r="G1869" s="4"/>
      <c r="H1869" s="14"/>
      <c r="I1869" s="4"/>
      <c r="J1869" s="6"/>
      <c r="K1869" s="7"/>
      <c r="L1869" s="8"/>
      <c r="O1869" s="10"/>
    </row>
    <row r="1870" ht="14.25" customHeight="1">
      <c r="A1870" s="1"/>
      <c r="B1870" s="2"/>
      <c r="C1870" s="2"/>
      <c r="D1870" s="2"/>
      <c r="E1870" s="3"/>
      <c r="F1870" s="4"/>
      <c r="G1870" s="4"/>
      <c r="H1870" s="4"/>
      <c r="I1870" s="4"/>
      <c r="J1870" s="6"/>
      <c r="K1870" s="7"/>
      <c r="L1870" s="8"/>
      <c r="O1870" s="10"/>
    </row>
    <row r="1871" ht="14.25" customHeight="1">
      <c r="A1871" s="1"/>
      <c r="B1871" s="2"/>
      <c r="C1871" s="2"/>
      <c r="D1871" s="2"/>
      <c r="E1871" s="3"/>
      <c r="F1871" s="4"/>
      <c r="G1871" s="4"/>
      <c r="H1871" s="14"/>
      <c r="I1871" s="4"/>
      <c r="J1871" s="6"/>
      <c r="K1871" s="7"/>
      <c r="L1871" s="8"/>
      <c r="O1871" s="10"/>
    </row>
    <row r="1872" ht="14.25" customHeight="1">
      <c r="A1872" s="1"/>
      <c r="B1872" s="2"/>
      <c r="C1872" s="2"/>
      <c r="D1872" s="2"/>
      <c r="E1872" s="3"/>
      <c r="F1872" s="4"/>
      <c r="G1872" s="4"/>
      <c r="H1872" s="14"/>
      <c r="I1872" s="4"/>
      <c r="J1872" s="6"/>
      <c r="K1872" s="7"/>
      <c r="L1872" s="8"/>
      <c r="O1872" s="10"/>
    </row>
    <row r="1873" ht="14.25" customHeight="1">
      <c r="A1873" s="1"/>
      <c r="B1873" s="2"/>
      <c r="C1873" s="2"/>
      <c r="D1873" s="2"/>
      <c r="E1873" s="3"/>
      <c r="F1873" s="4"/>
      <c r="G1873" s="4"/>
      <c r="H1873" s="14"/>
      <c r="I1873" s="4"/>
      <c r="J1873" s="6"/>
      <c r="K1873" s="7"/>
      <c r="L1873" s="8"/>
      <c r="O1873" s="10"/>
    </row>
    <row r="1874" ht="14.25" customHeight="1">
      <c r="A1874" s="1"/>
      <c r="B1874" s="2"/>
      <c r="C1874" s="2"/>
      <c r="D1874" s="2"/>
      <c r="E1874" s="3"/>
      <c r="F1874" s="4"/>
      <c r="G1874" s="4"/>
      <c r="H1874" s="4"/>
      <c r="I1874" s="4"/>
      <c r="J1874" s="6"/>
      <c r="K1874" s="7"/>
      <c r="L1874" s="8"/>
      <c r="O1874" s="10"/>
    </row>
    <row r="1875" ht="14.25" customHeight="1">
      <c r="A1875" s="1"/>
      <c r="B1875" s="2"/>
      <c r="C1875" s="2"/>
      <c r="D1875" s="2"/>
      <c r="E1875" s="3"/>
      <c r="F1875" s="4"/>
      <c r="G1875" s="4"/>
      <c r="H1875" s="4"/>
      <c r="I1875" s="4"/>
      <c r="J1875" s="6"/>
      <c r="K1875" s="7"/>
      <c r="L1875" s="8"/>
      <c r="O1875" s="10"/>
    </row>
    <row r="1876" ht="14.25" customHeight="1">
      <c r="A1876" s="1"/>
      <c r="B1876" s="2"/>
      <c r="C1876" s="2"/>
      <c r="D1876" s="2"/>
      <c r="E1876" s="3"/>
      <c r="F1876" s="4"/>
      <c r="G1876" s="4"/>
      <c r="H1876" s="4"/>
      <c r="I1876" s="4"/>
      <c r="J1876" s="6"/>
      <c r="K1876" s="7"/>
      <c r="L1876" s="8"/>
      <c r="O1876" s="10"/>
    </row>
    <row r="1877" ht="14.25" customHeight="1">
      <c r="A1877" s="1"/>
      <c r="B1877" s="2"/>
      <c r="C1877" s="2"/>
      <c r="D1877" s="2"/>
      <c r="E1877" s="3"/>
      <c r="F1877" s="4"/>
      <c r="G1877" s="4"/>
      <c r="H1877" s="4"/>
      <c r="I1877" s="4"/>
      <c r="J1877" s="6"/>
      <c r="K1877" s="7"/>
      <c r="L1877" s="8"/>
      <c r="O1877" s="10"/>
    </row>
    <row r="1878" ht="14.25" customHeight="1">
      <c r="A1878" s="1"/>
      <c r="B1878" s="2"/>
      <c r="C1878" s="2"/>
      <c r="D1878" s="2"/>
      <c r="E1878" s="3"/>
      <c r="F1878" s="4"/>
      <c r="G1878" s="4"/>
      <c r="H1878" s="14"/>
      <c r="I1878" s="4"/>
      <c r="J1878" s="6"/>
      <c r="K1878" s="7"/>
      <c r="L1878" s="8"/>
      <c r="O1878" s="10"/>
    </row>
    <row r="1879" ht="14.25" customHeight="1">
      <c r="A1879" s="1"/>
      <c r="B1879" s="2"/>
      <c r="C1879" s="2"/>
      <c r="D1879" s="2"/>
      <c r="E1879" s="3"/>
      <c r="F1879" s="4"/>
      <c r="G1879" s="4"/>
      <c r="H1879" s="14"/>
      <c r="I1879" s="4"/>
      <c r="J1879" s="6"/>
      <c r="K1879" s="7"/>
      <c r="L1879" s="8"/>
      <c r="O1879" s="10"/>
    </row>
    <row r="1880" ht="14.25" customHeight="1">
      <c r="A1880" s="1"/>
      <c r="B1880" s="2"/>
      <c r="C1880" s="2"/>
      <c r="D1880" s="2"/>
      <c r="E1880" s="3"/>
      <c r="F1880" s="4"/>
      <c r="G1880" s="4"/>
      <c r="H1880" s="14"/>
      <c r="I1880" s="4"/>
      <c r="J1880" s="6"/>
      <c r="K1880" s="7"/>
      <c r="L1880" s="8"/>
      <c r="O1880" s="10"/>
    </row>
    <row r="1881" ht="14.25" customHeight="1">
      <c r="A1881" s="1"/>
      <c r="B1881" s="2"/>
      <c r="C1881" s="2"/>
      <c r="D1881" s="2"/>
      <c r="E1881" s="3"/>
      <c r="F1881" s="4"/>
      <c r="G1881" s="4"/>
      <c r="H1881" s="4"/>
      <c r="I1881" s="4"/>
      <c r="J1881" s="6"/>
      <c r="K1881" s="7"/>
      <c r="L1881" s="8"/>
      <c r="O1881" s="10"/>
    </row>
    <row r="1882" ht="14.25" customHeight="1">
      <c r="A1882" s="1"/>
      <c r="B1882" s="2"/>
      <c r="C1882" s="2"/>
      <c r="D1882" s="2"/>
      <c r="E1882" s="3"/>
      <c r="F1882" s="4"/>
      <c r="G1882" s="4"/>
      <c r="H1882" s="4"/>
      <c r="I1882" s="4"/>
      <c r="J1882" s="6"/>
      <c r="K1882" s="7"/>
      <c r="L1882" s="8"/>
      <c r="O1882" s="10"/>
    </row>
    <row r="1883" ht="14.25" customHeight="1">
      <c r="A1883" s="1"/>
      <c r="B1883" s="2"/>
      <c r="C1883" s="2"/>
      <c r="D1883" s="2"/>
      <c r="E1883" s="3"/>
      <c r="F1883" s="4"/>
      <c r="G1883" s="4"/>
      <c r="H1883" s="4"/>
      <c r="I1883" s="4"/>
      <c r="J1883" s="6"/>
      <c r="K1883" s="7"/>
      <c r="L1883" s="8"/>
      <c r="O1883" s="10"/>
    </row>
    <row r="1884" ht="14.25" customHeight="1">
      <c r="A1884" s="1"/>
      <c r="B1884" s="2"/>
      <c r="C1884" s="2"/>
      <c r="D1884" s="2"/>
      <c r="E1884" s="3"/>
      <c r="F1884" s="4"/>
      <c r="G1884" s="4"/>
      <c r="H1884" s="14"/>
      <c r="I1884" s="4"/>
      <c r="J1884" s="6"/>
      <c r="K1884" s="7"/>
      <c r="L1884" s="8"/>
      <c r="O1884" s="10"/>
    </row>
    <row r="1885" ht="14.25" customHeight="1">
      <c r="A1885" s="1"/>
      <c r="B1885" s="2"/>
      <c r="C1885" s="2"/>
      <c r="D1885" s="2"/>
      <c r="E1885" s="3"/>
      <c r="F1885" s="4"/>
      <c r="G1885" s="4"/>
      <c r="H1885" s="14"/>
      <c r="I1885" s="4"/>
      <c r="J1885" s="6"/>
      <c r="K1885" s="7"/>
      <c r="L1885" s="8"/>
      <c r="O1885" s="10"/>
    </row>
    <row r="1886" ht="14.25" customHeight="1">
      <c r="A1886" s="1"/>
      <c r="B1886" s="2"/>
      <c r="C1886" s="2"/>
      <c r="D1886" s="2"/>
      <c r="E1886" s="3"/>
      <c r="F1886" s="4"/>
      <c r="G1886" s="4"/>
      <c r="H1886" s="4"/>
      <c r="I1886" s="4"/>
      <c r="J1886" s="6"/>
      <c r="K1886" s="7"/>
      <c r="L1886" s="8"/>
      <c r="O1886" s="10"/>
    </row>
    <row r="1887" ht="14.25" customHeight="1">
      <c r="A1887" s="1"/>
      <c r="B1887" s="2"/>
      <c r="C1887" s="2"/>
      <c r="D1887" s="2"/>
      <c r="E1887" s="3"/>
      <c r="F1887" s="4"/>
      <c r="G1887" s="4"/>
      <c r="H1887" s="4"/>
      <c r="I1887" s="4"/>
      <c r="J1887" s="6"/>
      <c r="K1887" s="7"/>
      <c r="L1887" s="8"/>
      <c r="O1887" s="10"/>
    </row>
    <row r="1888" ht="14.25" customHeight="1">
      <c r="A1888" s="1"/>
      <c r="B1888" s="2"/>
      <c r="C1888" s="2"/>
      <c r="D1888" s="2"/>
      <c r="E1888" s="3"/>
      <c r="F1888" s="4"/>
      <c r="G1888" s="4"/>
      <c r="H1888" s="14"/>
      <c r="I1888" s="4"/>
      <c r="J1888" s="6"/>
      <c r="K1888" s="7"/>
      <c r="L1888" s="8"/>
      <c r="O1888" s="10"/>
    </row>
    <row r="1889" ht="14.25" customHeight="1">
      <c r="A1889" s="1"/>
      <c r="B1889" s="2"/>
      <c r="C1889" s="2"/>
      <c r="D1889" s="2"/>
      <c r="E1889" s="3"/>
      <c r="F1889" s="4"/>
      <c r="G1889" s="4"/>
      <c r="H1889" s="4"/>
      <c r="I1889" s="4"/>
      <c r="J1889" s="6"/>
      <c r="K1889" s="7"/>
      <c r="L1889" s="8"/>
      <c r="O1889" s="10"/>
    </row>
    <row r="1890" ht="14.25" customHeight="1">
      <c r="A1890" s="1"/>
      <c r="B1890" s="2"/>
      <c r="C1890" s="2"/>
      <c r="D1890" s="2"/>
      <c r="E1890" s="3"/>
      <c r="F1890" s="4"/>
      <c r="G1890" s="4"/>
      <c r="H1890" s="14"/>
      <c r="I1890" s="4"/>
      <c r="J1890" s="6"/>
      <c r="K1890" s="7"/>
      <c r="L1890" s="8"/>
      <c r="O1890" s="10"/>
    </row>
    <row r="1891" ht="14.25" customHeight="1">
      <c r="A1891" s="1"/>
      <c r="B1891" s="2"/>
      <c r="C1891" s="2"/>
      <c r="D1891" s="2"/>
      <c r="E1891" s="3"/>
      <c r="F1891" s="4"/>
      <c r="G1891" s="4"/>
      <c r="H1891" s="14"/>
      <c r="I1891" s="4"/>
      <c r="J1891" s="6"/>
      <c r="K1891" s="7"/>
      <c r="L1891" s="8"/>
      <c r="O1891" s="10"/>
    </row>
    <row r="1892" ht="14.25" customHeight="1">
      <c r="A1892" s="1"/>
      <c r="B1892" s="2"/>
      <c r="C1892" s="2"/>
      <c r="D1892" s="2"/>
      <c r="E1892" s="3"/>
      <c r="F1892" s="4"/>
      <c r="G1892" s="4"/>
      <c r="H1892" s="14"/>
      <c r="I1892" s="4"/>
      <c r="J1892" s="6"/>
      <c r="K1892" s="7"/>
      <c r="L1892" s="8"/>
      <c r="O1892" s="10"/>
    </row>
    <row r="1893" ht="14.25" customHeight="1">
      <c r="A1893" s="1"/>
      <c r="B1893" s="2"/>
      <c r="C1893" s="2"/>
      <c r="D1893" s="2"/>
      <c r="E1893" s="3"/>
      <c r="F1893" s="4"/>
      <c r="G1893" s="4"/>
      <c r="H1893" s="14"/>
      <c r="I1893" s="4"/>
      <c r="J1893" s="6"/>
      <c r="K1893" s="7"/>
      <c r="L1893" s="8"/>
      <c r="O1893" s="10"/>
    </row>
    <row r="1894" ht="14.25" customHeight="1">
      <c r="A1894" s="1"/>
      <c r="B1894" s="2"/>
      <c r="C1894" s="2"/>
      <c r="D1894" s="2"/>
      <c r="E1894" s="3"/>
      <c r="F1894" s="4"/>
      <c r="G1894" s="4"/>
      <c r="H1894" s="14"/>
      <c r="I1894" s="4"/>
      <c r="J1894" s="6"/>
      <c r="K1894" s="7"/>
      <c r="L1894" s="8"/>
      <c r="O1894" s="10"/>
    </row>
    <row r="1895" ht="14.25" customHeight="1">
      <c r="A1895" s="1"/>
      <c r="B1895" s="2"/>
      <c r="C1895" s="2"/>
      <c r="D1895" s="2"/>
      <c r="E1895" s="3"/>
      <c r="F1895" s="4"/>
      <c r="G1895" s="4"/>
      <c r="H1895" s="14"/>
      <c r="I1895" s="4"/>
      <c r="J1895" s="6"/>
      <c r="K1895" s="7"/>
      <c r="L1895" s="8"/>
      <c r="O1895" s="10"/>
    </row>
    <row r="1896" ht="14.25" customHeight="1">
      <c r="A1896" s="1"/>
      <c r="B1896" s="2"/>
      <c r="C1896" s="2"/>
      <c r="D1896" s="2"/>
      <c r="E1896" s="3"/>
      <c r="F1896" s="4"/>
      <c r="G1896" s="4"/>
      <c r="H1896" s="4"/>
      <c r="I1896" s="4"/>
      <c r="J1896" s="6"/>
      <c r="K1896" s="7"/>
      <c r="L1896" s="8"/>
      <c r="O1896" s="10"/>
    </row>
    <row r="1897" ht="14.25" customHeight="1">
      <c r="A1897" s="1"/>
      <c r="B1897" s="2"/>
      <c r="C1897" s="2"/>
      <c r="D1897" s="2"/>
      <c r="E1897" s="3"/>
      <c r="F1897" s="4"/>
      <c r="G1897" s="4"/>
      <c r="H1897" s="14"/>
      <c r="I1897" s="4"/>
      <c r="J1897" s="6"/>
      <c r="K1897" s="7"/>
      <c r="L1897" s="8"/>
      <c r="O1897" s="10"/>
    </row>
    <row r="1898" ht="14.25" customHeight="1">
      <c r="A1898" s="1"/>
      <c r="B1898" s="2"/>
      <c r="C1898" s="2"/>
      <c r="D1898" s="2"/>
      <c r="E1898" s="3"/>
      <c r="F1898" s="4"/>
      <c r="G1898" s="4"/>
      <c r="H1898" s="14"/>
      <c r="I1898" s="4"/>
      <c r="J1898" s="6"/>
      <c r="K1898" s="7"/>
      <c r="L1898" s="8"/>
      <c r="O1898" s="10"/>
    </row>
    <row r="1899" ht="14.25" customHeight="1">
      <c r="A1899" s="1"/>
      <c r="B1899" s="2"/>
      <c r="C1899" s="2"/>
      <c r="D1899" s="2"/>
      <c r="E1899" s="3"/>
      <c r="F1899" s="4"/>
      <c r="G1899" s="4"/>
      <c r="H1899" s="4"/>
      <c r="I1899" s="4"/>
      <c r="J1899" s="6"/>
      <c r="K1899" s="7"/>
      <c r="L1899" s="8"/>
      <c r="O1899" s="10"/>
    </row>
    <row r="1900" ht="14.25" customHeight="1">
      <c r="A1900" s="1"/>
      <c r="B1900" s="2"/>
      <c r="C1900" s="2"/>
      <c r="D1900" s="2"/>
      <c r="E1900" s="3"/>
      <c r="F1900" s="4"/>
      <c r="G1900" s="4"/>
      <c r="H1900" s="14"/>
      <c r="I1900" s="4"/>
      <c r="J1900" s="6"/>
      <c r="K1900" s="7"/>
      <c r="L1900" s="8"/>
      <c r="O1900" s="10"/>
    </row>
    <row r="1901" ht="14.25" customHeight="1">
      <c r="A1901" s="1"/>
      <c r="B1901" s="2"/>
      <c r="C1901" s="2"/>
      <c r="D1901" s="2"/>
      <c r="E1901" s="3"/>
      <c r="F1901" s="4"/>
      <c r="G1901" s="4"/>
      <c r="H1901" s="14"/>
      <c r="I1901" s="4"/>
      <c r="J1901" s="6"/>
      <c r="K1901" s="7"/>
      <c r="L1901" s="8"/>
      <c r="O1901" s="10"/>
    </row>
    <row r="1902" ht="14.25" customHeight="1">
      <c r="A1902" s="1"/>
      <c r="B1902" s="2"/>
      <c r="C1902" s="2"/>
      <c r="D1902" s="2"/>
      <c r="E1902" s="3"/>
      <c r="F1902" s="4"/>
      <c r="G1902" s="4"/>
      <c r="H1902" s="14"/>
      <c r="I1902" s="4"/>
      <c r="J1902" s="6"/>
      <c r="K1902" s="7"/>
      <c r="L1902" s="8"/>
      <c r="O1902" s="10"/>
    </row>
    <row r="1903" ht="14.25" customHeight="1">
      <c r="A1903" s="1"/>
      <c r="B1903" s="2"/>
      <c r="C1903" s="2"/>
      <c r="D1903" s="2"/>
      <c r="E1903" s="3"/>
      <c r="F1903" s="4"/>
      <c r="G1903" s="4"/>
      <c r="H1903" s="14"/>
      <c r="I1903" s="4"/>
      <c r="J1903" s="6"/>
      <c r="K1903" s="7"/>
      <c r="L1903" s="8"/>
      <c r="O1903" s="10"/>
    </row>
    <row r="1904" ht="14.25" customHeight="1">
      <c r="A1904" s="1"/>
      <c r="B1904" s="2"/>
      <c r="C1904" s="2"/>
      <c r="D1904" s="2"/>
      <c r="E1904" s="3"/>
      <c r="F1904" s="4"/>
      <c r="G1904" s="4"/>
      <c r="H1904" s="4"/>
      <c r="I1904" s="4"/>
      <c r="J1904" s="6"/>
      <c r="K1904" s="7"/>
      <c r="L1904" s="8"/>
      <c r="O1904" s="10"/>
    </row>
    <row r="1905" ht="14.25" customHeight="1">
      <c r="A1905" s="1"/>
      <c r="B1905" s="2"/>
      <c r="C1905" s="2"/>
      <c r="D1905" s="2"/>
      <c r="E1905" s="3"/>
      <c r="F1905" s="4"/>
      <c r="G1905" s="4"/>
      <c r="H1905" s="14"/>
      <c r="I1905" s="4"/>
      <c r="J1905" s="6"/>
      <c r="K1905" s="7"/>
      <c r="L1905" s="8"/>
      <c r="O1905" s="10"/>
    </row>
    <row r="1906" ht="14.25" customHeight="1">
      <c r="A1906" s="1"/>
      <c r="B1906" s="2"/>
      <c r="C1906" s="2"/>
      <c r="D1906" s="2"/>
      <c r="E1906" s="3"/>
      <c r="F1906" s="4"/>
      <c r="G1906" s="4"/>
      <c r="H1906" s="14"/>
      <c r="I1906" s="4"/>
      <c r="J1906" s="6"/>
      <c r="K1906" s="7"/>
      <c r="L1906" s="8"/>
      <c r="O1906" s="10"/>
    </row>
    <row r="1907" ht="14.25" customHeight="1">
      <c r="A1907" s="1"/>
      <c r="B1907" s="2"/>
      <c r="C1907" s="2"/>
      <c r="D1907" s="2"/>
      <c r="E1907" s="3"/>
      <c r="F1907" s="4"/>
      <c r="G1907" s="4"/>
      <c r="H1907" s="14"/>
      <c r="I1907" s="4"/>
      <c r="J1907" s="6"/>
      <c r="K1907" s="7"/>
      <c r="L1907" s="8"/>
      <c r="O1907" s="10"/>
    </row>
    <row r="1908" ht="14.25" customHeight="1">
      <c r="A1908" s="1"/>
      <c r="B1908" s="2"/>
      <c r="C1908" s="2"/>
      <c r="D1908" s="2"/>
      <c r="E1908" s="3"/>
      <c r="F1908" s="4"/>
      <c r="G1908" s="4"/>
      <c r="H1908" s="14"/>
      <c r="I1908" s="4"/>
      <c r="J1908" s="6"/>
      <c r="K1908" s="7"/>
      <c r="L1908" s="8"/>
      <c r="O1908" s="10"/>
    </row>
    <row r="1909" ht="14.25" customHeight="1">
      <c r="A1909" s="1"/>
      <c r="B1909" s="2"/>
      <c r="C1909" s="2"/>
      <c r="D1909" s="2"/>
      <c r="E1909" s="3"/>
      <c r="F1909" s="4"/>
      <c r="G1909" s="4"/>
      <c r="H1909" s="14"/>
      <c r="I1909" s="4"/>
      <c r="J1909" s="6"/>
      <c r="K1909" s="7"/>
      <c r="L1909" s="8"/>
      <c r="O1909" s="10"/>
    </row>
    <row r="1910" ht="14.25" customHeight="1">
      <c r="A1910" s="1"/>
      <c r="B1910" s="2"/>
      <c r="C1910" s="2"/>
      <c r="D1910" s="2"/>
      <c r="E1910" s="3"/>
      <c r="F1910" s="4"/>
      <c r="G1910" s="4"/>
      <c r="H1910" s="4"/>
      <c r="I1910" s="4"/>
      <c r="J1910" s="6"/>
      <c r="K1910" s="7"/>
      <c r="L1910" s="8"/>
      <c r="O1910" s="10"/>
    </row>
    <row r="1911" ht="14.25" customHeight="1">
      <c r="A1911" s="1"/>
      <c r="B1911" s="2"/>
      <c r="C1911" s="2"/>
      <c r="D1911" s="2"/>
      <c r="E1911" s="3"/>
      <c r="F1911" s="4"/>
      <c r="G1911" s="4"/>
      <c r="H1911" s="14"/>
      <c r="I1911" s="4"/>
      <c r="J1911" s="6"/>
      <c r="K1911" s="7"/>
      <c r="L1911" s="8"/>
      <c r="O1911" s="10"/>
    </row>
    <row r="1912" ht="14.25" customHeight="1">
      <c r="A1912" s="1"/>
      <c r="B1912" s="2"/>
      <c r="C1912" s="2"/>
      <c r="D1912" s="2"/>
      <c r="E1912" s="3"/>
      <c r="F1912" s="4"/>
      <c r="G1912" s="4"/>
      <c r="H1912" s="14"/>
      <c r="I1912" s="4"/>
      <c r="J1912" s="6"/>
      <c r="K1912" s="7"/>
      <c r="L1912" s="8"/>
      <c r="O1912" s="10"/>
    </row>
    <row r="1913" ht="14.25" customHeight="1">
      <c r="A1913" s="1"/>
      <c r="B1913" s="2"/>
      <c r="C1913" s="2"/>
      <c r="D1913" s="2"/>
      <c r="E1913" s="3"/>
      <c r="F1913" s="4"/>
      <c r="G1913" s="4"/>
      <c r="H1913" s="14"/>
      <c r="I1913" s="4"/>
      <c r="J1913" s="6"/>
      <c r="K1913" s="7"/>
      <c r="L1913" s="8"/>
      <c r="O1913" s="10"/>
    </row>
    <row r="1914" ht="14.25" customHeight="1">
      <c r="A1914" s="1"/>
      <c r="B1914" s="2"/>
      <c r="C1914" s="2"/>
      <c r="D1914" s="2"/>
      <c r="E1914" s="3"/>
      <c r="F1914" s="4"/>
      <c r="G1914" s="4"/>
      <c r="H1914" s="4"/>
      <c r="I1914" s="4"/>
      <c r="J1914" s="6"/>
      <c r="K1914" s="7"/>
      <c r="L1914" s="8"/>
      <c r="O1914" s="10"/>
    </row>
    <row r="1915" ht="14.25" customHeight="1">
      <c r="A1915" s="1"/>
      <c r="B1915" s="2"/>
      <c r="C1915" s="2"/>
      <c r="D1915" s="2"/>
      <c r="E1915" s="3"/>
      <c r="F1915" s="4"/>
      <c r="G1915" s="4"/>
      <c r="H1915" s="14"/>
      <c r="I1915" s="4"/>
      <c r="J1915" s="6"/>
      <c r="K1915" s="7"/>
      <c r="L1915" s="8"/>
      <c r="O1915" s="10"/>
    </row>
    <row r="1916" ht="14.25" customHeight="1">
      <c r="A1916" s="1"/>
      <c r="B1916" s="2"/>
      <c r="C1916" s="2"/>
      <c r="D1916" s="2"/>
      <c r="E1916" s="3"/>
      <c r="F1916" s="4"/>
      <c r="G1916" s="4"/>
      <c r="H1916" s="14"/>
      <c r="I1916" s="4"/>
      <c r="J1916" s="6"/>
      <c r="K1916" s="7"/>
      <c r="L1916" s="8"/>
      <c r="O1916" s="10"/>
    </row>
    <row r="1917" ht="14.25" customHeight="1">
      <c r="A1917" s="1"/>
      <c r="B1917" s="2"/>
      <c r="C1917" s="2"/>
      <c r="D1917" s="2"/>
      <c r="E1917" s="3"/>
      <c r="F1917" s="4"/>
      <c r="G1917" s="4"/>
      <c r="H1917" s="14"/>
      <c r="I1917" s="4"/>
      <c r="J1917" s="6"/>
      <c r="K1917" s="7"/>
      <c r="L1917" s="8"/>
      <c r="O1917" s="10"/>
    </row>
    <row r="1918" ht="14.25" customHeight="1">
      <c r="A1918" s="1"/>
      <c r="B1918" s="2"/>
      <c r="C1918" s="2"/>
      <c r="D1918" s="2"/>
      <c r="E1918" s="3"/>
      <c r="F1918" s="4"/>
      <c r="G1918" s="4"/>
      <c r="H1918" s="14"/>
      <c r="I1918" s="4"/>
      <c r="J1918" s="6"/>
      <c r="K1918" s="7"/>
      <c r="L1918" s="8"/>
      <c r="O1918" s="10"/>
    </row>
    <row r="1919" ht="14.25" customHeight="1">
      <c r="A1919" s="1"/>
      <c r="B1919" s="2"/>
      <c r="C1919" s="2"/>
      <c r="D1919" s="2"/>
      <c r="E1919" s="3"/>
      <c r="F1919" s="4"/>
      <c r="G1919" s="4"/>
      <c r="H1919" s="4"/>
      <c r="I1919" s="4"/>
      <c r="J1919" s="6"/>
      <c r="K1919" s="7"/>
      <c r="L1919" s="8"/>
      <c r="O1919" s="10"/>
    </row>
    <row r="1920" ht="14.25" customHeight="1">
      <c r="A1920" s="1"/>
      <c r="B1920" s="2"/>
      <c r="C1920" s="2"/>
      <c r="D1920" s="2"/>
      <c r="E1920" s="3"/>
      <c r="F1920" s="4"/>
      <c r="G1920" s="4"/>
      <c r="H1920" s="14"/>
      <c r="I1920" s="4"/>
      <c r="J1920" s="6"/>
      <c r="K1920" s="7"/>
      <c r="L1920" s="8"/>
      <c r="O1920" s="10"/>
    </row>
    <row r="1921" ht="14.25" customHeight="1">
      <c r="A1921" s="1"/>
      <c r="B1921" s="2"/>
      <c r="C1921" s="2"/>
      <c r="D1921" s="2"/>
      <c r="E1921" s="3"/>
      <c r="F1921" s="4"/>
      <c r="G1921" s="4"/>
      <c r="H1921" s="14"/>
      <c r="I1921" s="4"/>
      <c r="J1921" s="6"/>
      <c r="K1921" s="7"/>
      <c r="L1921" s="8"/>
      <c r="O1921" s="10"/>
    </row>
    <row r="1922" ht="14.25" customHeight="1">
      <c r="A1922" s="1"/>
      <c r="B1922" s="2"/>
      <c r="C1922" s="2"/>
      <c r="D1922" s="2"/>
      <c r="E1922" s="3"/>
      <c r="F1922" s="4"/>
      <c r="G1922" s="4"/>
      <c r="H1922" s="14"/>
      <c r="I1922" s="4"/>
      <c r="J1922" s="6"/>
      <c r="K1922" s="7"/>
      <c r="L1922" s="8"/>
      <c r="O1922" s="10"/>
    </row>
    <row r="1923" ht="14.25" customHeight="1">
      <c r="A1923" s="1"/>
      <c r="B1923" s="2"/>
      <c r="C1923" s="2"/>
      <c r="D1923" s="2"/>
      <c r="E1923" s="3"/>
      <c r="F1923" s="4"/>
      <c r="G1923" s="4"/>
      <c r="H1923" s="14"/>
      <c r="I1923" s="4"/>
      <c r="J1923" s="6"/>
      <c r="K1923" s="7"/>
      <c r="L1923" s="8"/>
      <c r="O1923" s="10"/>
    </row>
    <row r="1924" ht="14.25" customHeight="1">
      <c r="A1924" s="1"/>
      <c r="B1924" s="2"/>
      <c r="C1924" s="2"/>
      <c r="D1924" s="2"/>
      <c r="E1924" s="3"/>
      <c r="F1924" s="4"/>
      <c r="G1924" s="4"/>
      <c r="H1924" s="4"/>
      <c r="I1924" s="4"/>
      <c r="J1924" s="6"/>
      <c r="K1924" s="7"/>
      <c r="L1924" s="8"/>
      <c r="O1924" s="10"/>
    </row>
    <row r="1925" ht="14.25" customHeight="1">
      <c r="A1925" s="1"/>
      <c r="B1925" s="2"/>
      <c r="C1925" s="2"/>
      <c r="D1925" s="2"/>
      <c r="E1925" s="3"/>
      <c r="F1925" s="4"/>
      <c r="G1925" s="4"/>
      <c r="H1925" s="14"/>
      <c r="I1925" s="4"/>
      <c r="J1925" s="6"/>
      <c r="K1925" s="7"/>
      <c r="L1925" s="8"/>
      <c r="O1925" s="10"/>
    </row>
    <row r="1926" ht="14.25" customHeight="1">
      <c r="A1926" s="1"/>
      <c r="B1926" s="2"/>
      <c r="C1926" s="2"/>
      <c r="D1926" s="2"/>
      <c r="E1926" s="3"/>
      <c r="F1926" s="4"/>
      <c r="G1926" s="4"/>
      <c r="H1926" s="14"/>
      <c r="I1926" s="4"/>
      <c r="J1926" s="6"/>
      <c r="K1926" s="7"/>
      <c r="L1926" s="8"/>
      <c r="O1926" s="10"/>
    </row>
    <row r="1927" ht="14.25" customHeight="1">
      <c r="A1927" s="1"/>
      <c r="B1927" s="2"/>
      <c r="C1927" s="2"/>
      <c r="D1927" s="2"/>
      <c r="E1927" s="3"/>
      <c r="F1927" s="4"/>
      <c r="G1927" s="4"/>
      <c r="H1927" s="4"/>
      <c r="I1927" s="4"/>
      <c r="J1927" s="6"/>
      <c r="K1927" s="7"/>
      <c r="L1927" s="8"/>
      <c r="O1927" s="10"/>
    </row>
    <row r="1928" ht="14.25" customHeight="1">
      <c r="A1928" s="1"/>
      <c r="B1928" s="2"/>
      <c r="C1928" s="2"/>
      <c r="D1928" s="2"/>
      <c r="E1928" s="3"/>
      <c r="F1928" s="4"/>
      <c r="G1928" s="4"/>
      <c r="H1928" s="4"/>
      <c r="I1928" s="4"/>
      <c r="J1928" s="6"/>
      <c r="K1928" s="7"/>
      <c r="L1928" s="8"/>
      <c r="O1928" s="10"/>
    </row>
    <row r="1929" ht="14.25" customHeight="1">
      <c r="A1929" s="1"/>
      <c r="B1929" s="2"/>
      <c r="C1929" s="2"/>
      <c r="D1929" s="2"/>
      <c r="E1929" s="3"/>
      <c r="F1929" s="4"/>
      <c r="G1929" s="4"/>
      <c r="H1929" s="14"/>
      <c r="I1929" s="4"/>
      <c r="J1929" s="6"/>
      <c r="K1929" s="7"/>
      <c r="L1929" s="8"/>
      <c r="O1929" s="10"/>
    </row>
    <row r="1930" ht="14.25" customHeight="1">
      <c r="A1930" s="1"/>
      <c r="B1930" s="2"/>
      <c r="C1930" s="2"/>
      <c r="D1930" s="2"/>
      <c r="E1930" s="3"/>
      <c r="F1930" s="4"/>
      <c r="G1930" s="4"/>
      <c r="H1930" s="4"/>
      <c r="I1930" s="4"/>
      <c r="J1930" s="6"/>
      <c r="K1930" s="7"/>
      <c r="L1930" s="8"/>
      <c r="O1930" s="10"/>
    </row>
    <row r="1931" ht="14.25" customHeight="1">
      <c r="A1931" s="1"/>
      <c r="B1931" s="2"/>
      <c r="C1931" s="2"/>
      <c r="D1931" s="2"/>
      <c r="E1931" s="3"/>
      <c r="F1931" s="4"/>
      <c r="G1931" s="4"/>
      <c r="H1931" s="14"/>
      <c r="I1931" s="4"/>
      <c r="J1931" s="6"/>
      <c r="K1931" s="7"/>
      <c r="L1931" s="8"/>
      <c r="O1931" s="10"/>
    </row>
    <row r="1932" ht="14.25" customHeight="1">
      <c r="A1932" s="1"/>
      <c r="B1932" s="2"/>
      <c r="C1932" s="2"/>
      <c r="D1932" s="2"/>
      <c r="E1932" s="3"/>
      <c r="F1932" s="4"/>
      <c r="G1932" s="4"/>
      <c r="H1932" s="14"/>
      <c r="I1932" s="4"/>
      <c r="J1932" s="6"/>
      <c r="K1932" s="7"/>
      <c r="L1932" s="8"/>
      <c r="O1932" s="10"/>
    </row>
    <row r="1933" ht="14.25" customHeight="1">
      <c r="A1933" s="1"/>
      <c r="B1933" s="2"/>
      <c r="C1933" s="2"/>
      <c r="D1933" s="2"/>
      <c r="E1933" s="3"/>
      <c r="F1933" s="4"/>
      <c r="G1933" s="4"/>
      <c r="H1933" s="4"/>
      <c r="I1933" s="4"/>
      <c r="J1933" s="6"/>
      <c r="K1933" s="7"/>
      <c r="L1933" s="8"/>
      <c r="O1933" s="10"/>
    </row>
    <row r="1934" ht="14.25" customHeight="1">
      <c r="A1934" s="1"/>
      <c r="B1934" s="2"/>
      <c r="C1934" s="2"/>
      <c r="D1934" s="2"/>
      <c r="E1934" s="3"/>
      <c r="F1934" s="4"/>
      <c r="G1934" s="4"/>
      <c r="H1934" s="14"/>
      <c r="I1934" s="4"/>
      <c r="J1934" s="6"/>
      <c r="K1934" s="7"/>
      <c r="L1934" s="8"/>
      <c r="O1934" s="10"/>
    </row>
    <row r="1935" ht="14.25" customHeight="1">
      <c r="A1935" s="1"/>
      <c r="B1935" s="2"/>
      <c r="C1935" s="2"/>
      <c r="D1935" s="2"/>
      <c r="E1935" s="3"/>
      <c r="F1935" s="4"/>
      <c r="G1935" s="4"/>
      <c r="H1935" s="4"/>
      <c r="I1935" s="4"/>
      <c r="J1935" s="6"/>
      <c r="K1935" s="7"/>
      <c r="L1935" s="8"/>
      <c r="O1935" s="10"/>
    </row>
    <row r="1936" ht="14.25" customHeight="1">
      <c r="A1936" s="1"/>
      <c r="B1936" s="2"/>
      <c r="C1936" s="2"/>
      <c r="D1936" s="2"/>
      <c r="E1936" s="3"/>
      <c r="F1936" s="4"/>
      <c r="G1936" s="4"/>
      <c r="H1936" s="4"/>
      <c r="I1936" s="4"/>
      <c r="J1936" s="6"/>
      <c r="K1936" s="7"/>
      <c r="L1936" s="8"/>
      <c r="O1936" s="10"/>
    </row>
    <row r="1937" ht="14.25" customHeight="1">
      <c r="A1937" s="1"/>
      <c r="B1937" s="2"/>
      <c r="C1937" s="2"/>
      <c r="D1937" s="2"/>
      <c r="E1937" s="3"/>
      <c r="F1937" s="4"/>
      <c r="G1937" s="4"/>
      <c r="H1937" s="4"/>
      <c r="I1937" s="4"/>
      <c r="J1937" s="6"/>
      <c r="K1937" s="7"/>
      <c r="L1937" s="8"/>
      <c r="O1937" s="10"/>
    </row>
    <row r="1938" ht="14.25" customHeight="1">
      <c r="A1938" s="1"/>
      <c r="B1938" s="2"/>
      <c r="C1938" s="2"/>
      <c r="D1938" s="2"/>
      <c r="E1938" s="3"/>
      <c r="F1938" s="4"/>
      <c r="G1938" s="4"/>
      <c r="H1938" s="14"/>
      <c r="I1938" s="4"/>
      <c r="J1938" s="6"/>
      <c r="K1938" s="7"/>
      <c r="L1938" s="8"/>
      <c r="O1938" s="10"/>
    </row>
    <row r="1939" ht="14.25" customHeight="1">
      <c r="A1939" s="1"/>
      <c r="B1939" s="2"/>
      <c r="C1939" s="2"/>
      <c r="D1939" s="2"/>
      <c r="E1939" s="3"/>
      <c r="F1939" s="4"/>
      <c r="G1939" s="4"/>
      <c r="H1939" s="14"/>
      <c r="I1939" s="4"/>
      <c r="J1939" s="6"/>
      <c r="K1939" s="7"/>
      <c r="L1939" s="8"/>
      <c r="O1939" s="10"/>
    </row>
    <row r="1940" ht="14.25" customHeight="1">
      <c r="A1940" s="1"/>
      <c r="B1940" s="2"/>
      <c r="C1940" s="2"/>
      <c r="D1940" s="2"/>
      <c r="E1940" s="3"/>
      <c r="F1940" s="4"/>
      <c r="G1940" s="4"/>
      <c r="H1940" s="14"/>
      <c r="I1940" s="4"/>
      <c r="J1940" s="6"/>
      <c r="K1940" s="7"/>
      <c r="L1940" s="8"/>
      <c r="O1940" s="10"/>
    </row>
    <row r="1941" ht="14.25" customHeight="1">
      <c r="A1941" s="1"/>
      <c r="B1941" s="2"/>
      <c r="C1941" s="2"/>
      <c r="D1941" s="2"/>
      <c r="E1941" s="3"/>
      <c r="F1941" s="4"/>
      <c r="G1941" s="4"/>
      <c r="H1941" s="14"/>
      <c r="I1941" s="4"/>
      <c r="J1941" s="6"/>
      <c r="K1941" s="7"/>
      <c r="L1941" s="8"/>
      <c r="O1941" s="10"/>
    </row>
    <row r="1942" ht="14.25" customHeight="1">
      <c r="A1942" s="1"/>
      <c r="B1942" s="2"/>
      <c r="C1942" s="2"/>
      <c r="D1942" s="2"/>
      <c r="E1942" s="3"/>
      <c r="F1942" s="4"/>
      <c r="G1942" s="4"/>
      <c r="H1942" s="4"/>
      <c r="I1942" s="4"/>
      <c r="J1942" s="6"/>
      <c r="K1942" s="7"/>
      <c r="L1942" s="8"/>
      <c r="O1942" s="10"/>
    </row>
    <row r="1943" ht="14.25" customHeight="1">
      <c r="A1943" s="1"/>
      <c r="B1943" s="2"/>
      <c r="C1943" s="2"/>
      <c r="D1943" s="2"/>
      <c r="E1943" s="3"/>
      <c r="F1943" s="4"/>
      <c r="G1943" s="4"/>
      <c r="H1943" s="14"/>
      <c r="I1943" s="4"/>
      <c r="J1943" s="6"/>
      <c r="K1943" s="7"/>
      <c r="L1943" s="8"/>
      <c r="O1943" s="10"/>
    </row>
    <row r="1944" ht="14.25" customHeight="1">
      <c r="A1944" s="1"/>
      <c r="B1944" s="2"/>
      <c r="C1944" s="2"/>
      <c r="D1944" s="2"/>
      <c r="E1944" s="3"/>
      <c r="F1944" s="4"/>
      <c r="G1944" s="4"/>
      <c r="H1944" s="14"/>
      <c r="I1944" s="4"/>
      <c r="J1944" s="6"/>
      <c r="K1944" s="7"/>
      <c r="L1944" s="8"/>
      <c r="O1944" s="10"/>
    </row>
    <row r="1945" ht="14.25" customHeight="1">
      <c r="A1945" s="1"/>
      <c r="B1945" s="2"/>
      <c r="C1945" s="2"/>
      <c r="D1945" s="2"/>
      <c r="E1945" s="3"/>
      <c r="F1945" s="4"/>
      <c r="G1945" s="4"/>
      <c r="H1945" s="14"/>
      <c r="I1945" s="4"/>
      <c r="J1945" s="6"/>
      <c r="K1945" s="7"/>
      <c r="L1945" s="8"/>
      <c r="O1945" s="10"/>
    </row>
    <row r="1946" ht="14.25" customHeight="1">
      <c r="A1946" s="1"/>
      <c r="B1946" s="2"/>
      <c r="C1946" s="2"/>
      <c r="D1946" s="2"/>
      <c r="E1946" s="3"/>
      <c r="F1946" s="4"/>
      <c r="G1946" s="4"/>
      <c r="H1946" s="14"/>
      <c r="I1946" s="4"/>
      <c r="J1946" s="6"/>
      <c r="K1946" s="7"/>
      <c r="L1946" s="8"/>
      <c r="O1946" s="10"/>
    </row>
    <row r="1947" ht="14.25" customHeight="1">
      <c r="A1947" s="1"/>
      <c r="B1947" s="2"/>
      <c r="C1947" s="2"/>
      <c r="D1947" s="2"/>
      <c r="E1947" s="3"/>
      <c r="F1947" s="4"/>
      <c r="G1947" s="4"/>
      <c r="H1947" s="14"/>
      <c r="I1947" s="4"/>
      <c r="J1947" s="6"/>
      <c r="K1947" s="7"/>
      <c r="L1947" s="8"/>
      <c r="O1947" s="10"/>
    </row>
    <row r="1948" ht="14.25" customHeight="1">
      <c r="A1948" s="1"/>
      <c r="B1948" s="2"/>
      <c r="C1948" s="2"/>
      <c r="D1948" s="2"/>
      <c r="E1948" s="3"/>
      <c r="F1948" s="4"/>
      <c r="G1948" s="4"/>
      <c r="H1948" s="14"/>
      <c r="I1948" s="4"/>
      <c r="J1948" s="6"/>
      <c r="K1948" s="7"/>
      <c r="L1948" s="8"/>
      <c r="O1948" s="10"/>
    </row>
    <row r="1949" ht="14.25" customHeight="1">
      <c r="A1949" s="1"/>
      <c r="B1949" s="2"/>
      <c r="C1949" s="2"/>
      <c r="D1949" s="2"/>
      <c r="E1949" s="3"/>
      <c r="F1949" s="4"/>
      <c r="G1949" s="4"/>
      <c r="H1949" s="4"/>
      <c r="I1949" s="4"/>
      <c r="J1949" s="6"/>
      <c r="K1949" s="7"/>
      <c r="L1949" s="8"/>
      <c r="O1949" s="10"/>
    </row>
    <row r="1950" ht="14.25" customHeight="1">
      <c r="A1950" s="1"/>
      <c r="B1950" s="2"/>
      <c r="C1950" s="2"/>
      <c r="D1950" s="2"/>
      <c r="E1950" s="3"/>
      <c r="F1950" s="4"/>
      <c r="G1950" s="4"/>
      <c r="H1950" s="14"/>
      <c r="I1950" s="4"/>
      <c r="J1950" s="6"/>
      <c r="K1950" s="7"/>
      <c r="L1950" s="8"/>
      <c r="O1950" s="10"/>
    </row>
    <row r="1951" ht="14.25" customHeight="1">
      <c r="A1951" s="1"/>
      <c r="B1951" s="2"/>
      <c r="C1951" s="2"/>
      <c r="D1951" s="2"/>
      <c r="E1951" s="3"/>
      <c r="F1951" s="4"/>
      <c r="G1951" s="4"/>
      <c r="H1951" s="14"/>
      <c r="I1951" s="4"/>
      <c r="J1951" s="6"/>
      <c r="K1951" s="7"/>
      <c r="L1951" s="8"/>
      <c r="O1951" s="10"/>
    </row>
    <row r="1952" ht="14.25" customHeight="1">
      <c r="A1952" s="1"/>
      <c r="B1952" s="2"/>
      <c r="C1952" s="2"/>
      <c r="D1952" s="2"/>
      <c r="E1952" s="3"/>
      <c r="F1952" s="4"/>
      <c r="G1952" s="4"/>
      <c r="H1952" s="14"/>
      <c r="I1952" s="4"/>
      <c r="J1952" s="6"/>
      <c r="K1952" s="7"/>
      <c r="L1952" s="8"/>
      <c r="O1952" s="10"/>
    </row>
    <row r="1953" ht="14.25" customHeight="1">
      <c r="A1953" s="1"/>
      <c r="B1953" s="2"/>
      <c r="C1953" s="2"/>
      <c r="D1953" s="2"/>
      <c r="E1953" s="3"/>
      <c r="F1953" s="4"/>
      <c r="G1953" s="4"/>
      <c r="H1953" s="14"/>
      <c r="I1953" s="4"/>
      <c r="J1953" s="6"/>
      <c r="K1953" s="7"/>
      <c r="L1953" s="8"/>
      <c r="O1953" s="10"/>
    </row>
    <row r="1954" ht="14.25" customHeight="1">
      <c r="A1954" s="1"/>
      <c r="B1954" s="2"/>
      <c r="C1954" s="2"/>
      <c r="D1954" s="2"/>
      <c r="E1954" s="3"/>
      <c r="F1954" s="4"/>
      <c r="G1954" s="4"/>
      <c r="H1954" s="4"/>
      <c r="I1954" s="4"/>
      <c r="J1954" s="6"/>
      <c r="K1954" s="7"/>
      <c r="L1954" s="8"/>
      <c r="O1954" s="10"/>
    </row>
    <row r="1955" ht="14.25" customHeight="1">
      <c r="A1955" s="1"/>
      <c r="B1955" s="2"/>
      <c r="C1955" s="2"/>
      <c r="D1955" s="2"/>
      <c r="E1955" s="3"/>
      <c r="F1955" s="4"/>
      <c r="G1955" s="4"/>
      <c r="H1955" s="14"/>
      <c r="I1955" s="4"/>
      <c r="J1955" s="6"/>
      <c r="K1955" s="7"/>
      <c r="L1955" s="8"/>
      <c r="O1955" s="10"/>
    </row>
    <row r="1956" ht="14.25" customHeight="1">
      <c r="A1956" s="1"/>
      <c r="B1956" s="2"/>
      <c r="C1956" s="2"/>
      <c r="D1956" s="2"/>
      <c r="E1956" s="3"/>
      <c r="F1956" s="4"/>
      <c r="G1956" s="4"/>
      <c r="H1956" s="14"/>
      <c r="I1956" s="4"/>
      <c r="J1956" s="6"/>
      <c r="K1956" s="7"/>
      <c r="L1956" s="8"/>
      <c r="O1956" s="10"/>
    </row>
    <row r="1957" ht="14.25" customHeight="1">
      <c r="A1957" s="1"/>
      <c r="B1957" s="2"/>
      <c r="C1957" s="2"/>
      <c r="D1957" s="2"/>
      <c r="E1957" s="3"/>
      <c r="F1957" s="4"/>
      <c r="G1957" s="4"/>
      <c r="H1957" s="14"/>
      <c r="I1957" s="4"/>
      <c r="J1957" s="6"/>
      <c r="K1957" s="7"/>
      <c r="L1957" s="8"/>
      <c r="O1957" s="10"/>
    </row>
    <row r="1958" ht="14.25" customHeight="1">
      <c r="A1958" s="1"/>
      <c r="B1958" s="2"/>
      <c r="C1958" s="2"/>
      <c r="D1958" s="2"/>
      <c r="E1958" s="3"/>
      <c r="F1958" s="4"/>
      <c r="G1958" s="4"/>
      <c r="H1958" s="14"/>
      <c r="I1958" s="4"/>
      <c r="J1958" s="6"/>
      <c r="K1958" s="7"/>
      <c r="L1958" s="8"/>
      <c r="O1958" s="10"/>
    </row>
    <row r="1959" ht="14.25" customHeight="1">
      <c r="A1959" s="1"/>
      <c r="B1959" s="2"/>
      <c r="C1959" s="2"/>
      <c r="D1959" s="2"/>
      <c r="E1959" s="3"/>
      <c r="F1959" s="4"/>
      <c r="G1959" s="4"/>
      <c r="H1959" s="14"/>
      <c r="I1959" s="4"/>
      <c r="J1959" s="6"/>
      <c r="K1959" s="7"/>
      <c r="L1959" s="8"/>
      <c r="O1959" s="10"/>
    </row>
    <row r="1960" ht="14.25" customHeight="1">
      <c r="A1960" s="1"/>
      <c r="B1960" s="2"/>
      <c r="C1960" s="2"/>
      <c r="D1960" s="2"/>
      <c r="E1960" s="3"/>
      <c r="F1960" s="4"/>
      <c r="G1960" s="4"/>
      <c r="H1960" s="4"/>
      <c r="I1960" s="4"/>
      <c r="J1960" s="6"/>
      <c r="K1960" s="7"/>
      <c r="L1960" s="8"/>
      <c r="O1960" s="10"/>
    </row>
    <row r="1961" ht="14.25" customHeight="1">
      <c r="A1961" s="1"/>
      <c r="B1961" s="2"/>
      <c r="C1961" s="2"/>
      <c r="D1961" s="2"/>
      <c r="E1961" s="3"/>
      <c r="F1961" s="4"/>
      <c r="G1961" s="4"/>
      <c r="H1961" s="14"/>
      <c r="I1961" s="4"/>
      <c r="J1961" s="6"/>
      <c r="K1961" s="7"/>
      <c r="L1961" s="8"/>
      <c r="O1961" s="10"/>
    </row>
    <row r="1962" ht="14.25" customHeight="1">
      <c r="A1962" s="1"/>
      <c r="B1962" s="2"/>
      <c r="C1962" s="2"/>
      <c r="D1962" s="2"/>
      <c r="E1962" s="3"/>
      <c r="F1962" s="4"/>
      <c r="G1962" s="4"/>
      <c r="H1962" s="14"/>
      <c r="I1962" s="4"/>
      <c r="J1962" s="6"/>
      <c r="K1962" s="7"/>
      <c r="L1962" s="8"/>
      <c r="O1962" s="10"/>
    </row>
    <row r="1963" ht="14.25" customHeight="1">
      <c r="A1963" s="1"/>
      <c r="B1963" s="2"/>
      <c r="C1963" s="2"/>
      <c r="D1963" s="2"/>
      <c r="E1963" s="3"/>
      <c r="F1963" s="4"/>
      <c r="G1963" s="4"/>
      <c r="H1963" s="14"/>
      <c r="I1963" s="4"/>
      <c r="J1963" s="6"/>
      <c r="K1963" s="7"/>
      <c r="L1963" s="8"/>
      <c r="O1963" s="10"/>
    </row>
    <row r="1964" ht="14.25" customHeight="1">
      <c r="A1964" s="1"/>
      <c r="B1964" s="2"/>
      <c r="C1964" s="2"/>
      <c r="D1964" s="2"/>
      <c r="E1964" s="3"/>
      <c r="F1964" s="4"/>
      <c r="G1964" s="4"/>
      <c r="H1964" s="14"/>
      <c r="I1964" s="4"/>
      <c r="J1964" s="6"/>
      <c r="K1964" s="7"/>
      <c r="L1964" s="8"/>
      <c r="O1964" s="10"/>
    </row>
    <row r="1965" ht="14.25" customHeight="1">
      <c r="A1965" s="1"/>
      <c r="B1965" s="2"/>
      <c r="C1965" s="2"/>
      <c r="D1965" s="2"/>
      <c r="E1965" s="3"/>
      <c r="F1965" s="4"/>
      <c r="G1965" s="4"/>
      <c r="H1965" s="4"/>
      <c r="I1965" s="4"/>
      <c r="J1965" s="6"/>
      <c r="K1965" s="7"/>
      <c r="L1965" s="8"/>
      <c r="O1965" s="10"/>
    </row>
    <row r="1966" ht="14.25" customHeight="1">
      <c r="A1966" s="1"/>
      <c r="B1966" s="2"/>
      <c r="C1966" s="2"/>
      <c r="D1966" s="2"/>
      <c r="E1966" s="3"/>
      <c r="F1966" s="4"/>
      <c r="G1966" s="4"/>
      <c r="H1966" s="4"/>
      <c r="I1966" s="4"/>
      <c r="J1966" s="6"/>
      <c r="K1966" s="7"/>
      <c r="L1966" s="8"/>
      <c r="O1966" s="10"/>
    </row>
    <row r="1967" ht="14.25" customHeight="1">
      <c r="A1967" s="1"/>
      <c r="B1967" s="2"/>
      <c r="C1967" s="2"/>
      <c r="D1967" s="2"/>
      <c r="E1967" s="3"/>
      <c r="F1967" s="4"/>
      <c r="G1967" s="4"/>
      <c r="H1967" s="14"/>
      <c r="I1967" s="4"/>
      <c r="J1967" s="6"/>
      <c r="K1967" s="7"/>
      <c r="L1967" s="8"/>
      <c r="O1967" s="10"/>
    </row>
    <row r="1968" ht="14.25" customHeight="1">
      <c r="A1968" s="1"/>
      <c r="B1968" s="2"/>
      <c r="C1968" s="2"/>
      <c r="D1968" s="2"/>
      <c r="E1968" s="3"/>
      <c r="F1968" s="4"/>
      <c r="G1968" s="4"/>
      <c r="H1968" s="4"/>
      <c r="I1968" s="4"/>
      <c r="J1968" s="6"/>
      <c r="K1968" s="7"/>
      <c r="L1968" s="8"/>
      <c r="O1968" s="10"/>
    </row>
    <row r="1969" ht="14.25" customHeight="1">
      <c r="A1969" s="1"/>
      <c r="B1969" s="2"/>
      <c r="C1969" s="2"/>
      <c r="D1969" s="2"/>
      <c r="E1969" s="3"/>
      <c r="F1969" s="4"/>
      <c r="G1969" s="4"/>
      <c r="H1969" s="14"/>
      <c r="I1969" s="4"/>
      <c r="J1969" s="6"/>
      <c r="K1969" s="7"/>
      <c r="L1969" s="8"/>
      <c r="O1969" s="10"/>
    </row>
    <row r="1970" ht="14.25" customHeight="1">
      <c r="A1970" s="1"/>
      <c r="B1970" s="2"/>
      <c r="C1970" s="2"/>
      <c r="D1970" s="2"/>
      <c r="E1970" s="3"/>
      <c r="F1970" s="4"/>
      <c r="G1970" s="4"/>
      <c r="H1970" s="14"/>
      <c r="I1970" s="4"/>
      <c r="J1970" s="6"/>
      <c r="K1970" s="7"/>
      <c r="L1970" s="8"/>
      <c r="O1970" s="10"/>
    </row>
    <row r="1971" ht="14.25" customHeight="1">
      <c r="A1971" s="1"/>
      <c r="B1971" s="2"/>
      <c r="C1971" s="2"/>
      <c r="D1971" s="2"/>
      <c r="E1971" s="3"/>
      <c r="F1971" s="4"/>
      <c r="G1971" s="4"/>
      <c r="H1971" s="14"/>
      <c r="I1971" s="4"/>
      <c r="J1971" s="6"/>
      <c r="K1971" s="7"/>
      <c r="L1971" s="8"/>
      <c r="O1971" s="10"/>
    </row>
    <row r="1972" ht="14.25" customHeight="1">
      <c r="A1972" s="1"/>
      <c r="B1972" s="2"/>
      <c r="C1972" s="2"/>
      <c r="D1972" s="2"/>
      <c r="E1972" s="3"/>
      <c r="F1972" s="4"/>
      <c r="G1972" s="4"/>
      <c r="H1972" s="4"/>
      <c r="I1972" s="4"/>
      <c r="J1972" s="6"/>
      <c r="K1972" s="7"/>
      <c r="L1972" s="8"/>
      <c r="O1972" s="10"/>
    </row>
    <row r="1973" ht="14.25" customHeight="1">
      <c r="A1973" s="1"/>
      <c r="B1973" s="2"/>
      <c r="C1973" s="2"/>
      <c r="D1973" s="2"/>
      <c r="E1973" s="3"/>
      <c r="F1973" s="4"/>
      <c r="G1973" s="4"/>
      <c r="H1973" s="14"/>
      <c r="I1973" s="4"/>
      <c r="J1973" s="6"/>
      <c r="K1973" s="7"/>
      <c r="L1973" s="8"/>
      <c r="O1973" s="10"/>
    </row>
    <row r="1974" ht="14.25" customHeight="1">
      <c r="A1974" s="1"/>
      <c r="B1974" s="2"/>
      <c r="C1974" s="2"/>
      <c r="D1974" s="2"/>
      <c r="E1974" s="3"/>
      <c r="F1974" s="4"/>
      <c r="G1974" s="4"/>
      <c r="H1974" s="4"/>
      <c r="I1974" s="4"/>
      <c r="J1974" s="6"/>
      <c r="K1974" s="7"/>
      <c r="L1974" s="8"/>
      <c r="O1974" s="10"/>
    </row>
    <row r="1975" ht="14.25" customHeight="1">
      <c r="A1975" s="1"/>
      <c r="B1975" s="2"/>
      <c r="C1975" s="2"/>
      <c r="D1975" s="2"/>
      <c r="E1975" s="3"/>
      <c r="F1975" s="4"/>
      <c r="G1975" s="4"/>
      <c r="H1975" s="4"/>
      <c r="I1975" s="4"/>
      <c r="J1975" s="6"/>
      <c r="K1975" s="7"/>
      <c r="L1975" s="8"/>
      <c r="O1975" s="10"/>
    </row>
    <row r="1976" ht="14.25" customHeight="1">
      <c r="A1976" s="1"/>
      <c r="B1976" s="2"/>
      <c r="C1976" s="2"/>
      <c r="D1976" s="2"/>
      <c r="E1976" s="3"/>
      <c r="F1976" s="4"/>
      <c r="G1976" s="4"/>
      <c r="H1976" s="14"/>
      <c r="I1976" s="4"/>
      <c r="J1976" s="6"/>
      <c r="K1976" s="7"/>
      <c r="L1976" s="8"/>
      <c r="O1976" s="10"/>
    </row>
    <row r="1977" ht="14.25" customHeight="1">
      <c r="A1977" s="1"/>
      <c r="B1977" s="2"/>
      <c r="C1977" s="2"/>
      <c r="D1977" s="2"/>
      <c r="E1977" s="3"/>
      <c r="F1977" s="4"/>
      <c r="G1977" s="4"/>
      <c r="H1977" s="14"/>
      <c r="I1977" s="4"/>
      <c r="J1977" s="6"/>
      <c r="K1977" s="7"/>
      <c r="L1977" s="8"/>
      <c r="O1977" s="10"/>
    </row>
    <row r="1978" ht="14.25" customHeight="1">
      <c r="A1978" s="1"/>
      <c r="B1978" s="2"/>
      <c r="C1978" s="2"/>
      <c r="D1978" s="2"/>
      <c r="E1978" s="3"/>
      <c r="F1978" s="4"/>
      <c r="G1978" s="4"/>
      <c r="H1978" s="14"/>
      <c r="I1978" s="4"/>
      <c r="J1978" s="6"/>
      <c r="K1978" s="7"/>
      <c r="L1978" s="8"/>
      <c r="O1978" s="10"/>
    </row>
    <row r="1979" ht="14.25" customHeight="1">
      <c r="A1979" s="1"/>
      <c r="B1979" s="2"/>
      <c r="C1979" s="2"/>
      <c r="D1979" s="2"/>
      <c r="E1979" s="3"/>
      <c r="F1979" s="4"/>
      <c r="G1979" s="4"/>
      <c r="H1979" s="4"/>
      <c r="I1979" s="4"/>
      <c r="J1979" s="6"/>
      <c r="K1979" s="7"/>
      <c r="L1979" s="8"/>
      <c r="O1979" s="10"/>
    </row>
    <row r="1980" ht="14.25" customHeight="1">
      <c r="A1980" s="1"/>
      <c r="B1980" s="2"/>
      <c r="C1980" s="2"/>
      <c r="D1980" s="2"/>
      <c r="E1980" s="3"/>
      <c r="F1980" s="4"/>
      <c r="G1980" s="4"/>
      <c r="H1980" s="14"/>
      <c r="I1980" s="4"/>
      <c r="J1980" s="6"/>
      <c r="K1980" s="7"/>
      <c r="L1980" s="8"/>
      <c r="O1980" s="10"/>
    </row>
    <row r="1981" ht="14.25" customHeight="1">
      <c r="A1981" s="1"/>
      <c r="B1981" s="2"/>
      <c r="C1981" s="2"/>
      <c r="D1981" s="2"/>
      <c r="E1981" s="3"/>
      <c r="F1981" s="4"/>
      <c r="G1981" s="4"/>
      <c r="H1981" s="14"/>
      <c r="I1981" s="4"/>
      <c r="J1981" s="6"/>
      <c r="K1981" s="7"/>
      <c r="L1981" s="8"/>
      <c r="O1981" s="10"/>
    </row>
    <row r="1982" ht="14.25" customHeight="1">
      <c r="A1982" s="1"/>
      <c r="B1982" s="2"/>
      <c r="C1982" s="2"/>
      <c r="D1982" s="2"/>
      <c r="E1982" s="3"/>
      <c r="F1982" s="4"/>
      <c r="G1982" s="4"/>
      <c r="H1982" s="14"/>
      <c r="I1982" s="4"/>
      <c r="J1982" s="6"/>
      <c r="K1982" s="7"/>
      <c r="L1982" s="8"/>
      <c r="O1982" s="10"/>
    </row>
    <row r="1983" ht="14.25" customHeight="1">
      <c r="A1983" s="1"/>
      <c r="B1983" s="2"/>
      <c r="C1983" s="2"/>
      <c r="D1983" s="2"/>
      <c r="E1983" s="3"/>
      <c r="F1983" s="4"/>
      <c r="G1983" s="4"/>
      <c r="H1983" s="14"/>
      <c r="I1983" s="4"/>
      <c r="J1983" s="6"/>
      <c r="K1983" s="7"/>
      <c r="L1983" s="8"/>
      <c r="O1983" s="10"/>
    </row>
    <row r="1984" ht="14.25" customHeight="1">
      <c r="A1984" s="1"/>
      <c r="B1984" s="2"/>
      <c r="C1984" s="2"/>
      <c r="D1984" s="2"/>
      <c r="E1984" s="3"/>
      <c r="F1984" s="4"/>
      <c r="G1984" s="4"/>
      <c r="H1984" s="14"/>
      <c r="I1984" s="4"/>
      <c r="J1984" s="6"/>
      <c r="K1984" s="7"/>
      <c r="L1984" s="8"/>
      <c r="O1984" s="10"/>
    </row>
    <row r="1985" ht="14.25" customHeight="1">
      <c r="A1985" s="1"/>
      <c r="B1985" s="2"/>
      <c r="C1985" s="2"/>
      <c r="D1985" s="2"/>
      <c r="E1985" s="3"/>
      <c r="F1985" s="4"/>
      <c r="G1985" s="4"/>
      <c r="H1985" s="4"/>
      <c r="I1985" s="4"/>
      <c r="J1985" s="6"/>
      <c r="K1985" s="7"/>
      <c r="L1985" s="8"/>
      <c r="O1985" s="10"/>
    </row>
    <row r="1986" ht="14.25" customHeight="1">
      <c r="A1986" s="1"/>
      <c r="B1986" s="2"/>
      <c r="C1986" s="2"/>
      <c r="D1986" s="2"/>
      <c r="E1986" s="3"/>
      <c r="F1986" s="4"/>
      <c r="G1986" s="4"/>
      <c r="H1986" s="14"/>
      <c r="I1986" s="4"/>
      <c r="J1986" s="6"/>
      <c r="K1986" s="7"/>
      <c r="L1986" s="8"/>
      <c r="O1986" s="10"/>
    </row>
    <row r="1987" ht="14.25" customHeight="1">
      <c r="A1987" s="1"/>
      <c r="B1987" s="2"/>
      <c r="C1987" s="2"/>
      <c r="D1987" s="2"/>
      <c r="E1987" s="3"/>
      <c r="F1987" s="4"/>
      <c r="G1987" s="4"/>
      <c r="H1987" s="14"/>
      <c r="I1987" s="4"/>
      <c r="J1987" s="6"/>
      <c r="K1987" s="7"/>
      <c r="L1987" s="8"/>
      <c r="O1987" s="10"/>
    </row>
    <row r="1988" ht="14.25" customHeight="1">
      <c r="A1988" s="1"/>
      <c r="B1988" s="2"/>
      <c r="C1988" s="2"/>
      <c r="D1988" s="2"/>
      <c r="E1988" s="3"/>
      <c r="F1988" s="4"/>
      <c r="G1988" s="4"/>
      <c r="H1988" s="14"/>
      <c r="I1988" s="4"/>
      <c r="J1988" s="6"/>
      <c r="K1988" s="7"/>
      <c r="L1988" s="8"/>
      <c r="O1988" s="10"/>
    </row>
    <row r="1989" ht="14.25" customHeight="1">
      <c r="A1989" s="1"/>
      <c r="B1989" s="2"/>
      <c r="C1989" s="2"/>
      <c r="D1989" s="2"/>
      <c r="E1989" s="3"/>
      <c r="F1989" s="4"/>
      <c r="G1989" s="4"/>
      <c r="H1989" s="14"/>
      <c r="I1989" s="4"/>
      <c r="J1989" s="6"/>
      <c r="K1989" s="7"/>
      <c r="L1989" s="8"/>
      <c r="O1989" s="10"/>
    </row>
    <row r="1990" ht="14.25" customHeight="1">
      <c r="A1990" s="1"/>
      <c r="B1990" s="2"/>
      <c r="C1990" s="2"/>
      <c r="D1990" s="2"/>
      <c r="E1990" s="3"/>
      <c r="F1990" s="4"/>
      <c r="G1990" s="4"/>
      <c r="H1990" s="14"/>
      <c r="I1990" s="4"/>
      <c r="J1990" s="6"/>
      <c r="K1990" s="7"/>
      <c r="L1990" s="8"/>
      <c r="O1990" s="10"/>
    </row>
    <row r="1991" ht="14.25" customHeight="1">
      <c r="A1991" s="1"/>
      <c r="B1991" s="2"/>
      <c r="C1991" s="2"/>
      <c r="D1991" s="2"/>
      <c r="E1991" s="3"/>
      <c r="F1991" s="4"/>
      <c r="G1991" s="4"/>
      <c r="H1991" s="4"/>
      <c r="I1991" s="4"/>
      <c r="J1991" s="6"/>
      <c r="K1991" s="7"/>
      <c r="L1991" s="8"/>
      <c r="O1991" s="10"/>
    </row>
    <row r="1992" ht="14.25" customHeight="1">
      <c r="A1992" s="1"/>
      <c r="B1992" s="2"/>
      <c r="C1992" s="2"/>
      <c r="D1992" s="2"/>
      <c r="E1992" s="3"/>
      <c r="F1992" s="4"/>
      <c r="G1992" s="4"/>
      <c r="H1992" s="14"/>
      <c r="I1992" s="4"/>
      <c r="J1992" s="6"/>
      <c r="K1992" s="7"/>
      <c r="L1992" s="8"/>
      <c r="O1992" s="10"/>
    </row>
    <row r="1993" ht="14.25" customHeight="1">
      <c r="A1993" s="1"/>
      <c r="B1993" s="2"/>
      <c r="C1993" s="2"/>
      <c r="D1993" s="2"/>
      <c r="E1993" s="3"/>
      <c r="F1993" s="4"/>
      <c r="G1993" s="4"/>
      <c r="H1993" s="14"/>
      <c r="I1993" s="4"/>
      <c r="J1993" s="6"/>
      <c r="K1993" s="7"/>
      <c r="L1993" s="8"/>
      <c r="O1993" s="10"/>
    </row>
    <row r="1994" ht="14.25" customHeight="1">
      <c r="A1994" s="1"/>
      <c r="B1994" s="2"/>
      <c r="C1994" s="2"/>
      <c r="D1994" s="2"/>
      <c r="E1994" s="3"/>
      <c r="F1994" s="4"/>
      <c r="G1994" s="4"/>
      <c r="H1994" s="14"/>
      <c r="I1994" s="4"/>
      <c r="J1994" s="6"/>
      <c r="K1994" s="7"/>
      <c r="L1994" s="8"/>
      <c r="O1994" s="10"/>
    </row>
    <row r="1995" ht="14.25" customHeight="1">
      <c r="A1995" s="1"/>
      <c r="B1995" s="2"/>
      <c r="C1995" s="2"/>
      <c r="D1995" s="2"/>
      <c r="E1995" s="3"/>
      <c r="F1995" s="4"/>
      <c r="G1995" s="4"/>
      <c r="H1995" s="14"/>
      <c r="I1995" s="4"/>
      <c r="J1995" s="6"/>
      <c r="K1995" s="7"/>
      <c r="L1995" s="8"/>
      <c r="O1995" s="10"/>
    </row>
    <row r="1996" ht="14.25" customHeight="1">
      <c r="A1996" s="1"/>
      <c r="B1996" s="2"/>
      <c r="C1996" s="2"/>
      <c r="D1996" s="2"/>
      <c r="E1996" s="3"/>
      <c r="F1996" s="4"/>
      <c r="G1996" s="4"/>
      <c r="H1996" s="14"/>
      <c r="I1996" s="4"/>
      <c r="J1996" s="6"/>
      <c r="K1996" s="7"/>
      <c r="L1996" s="8"/>
      <c r="O1996" s="10"/>
    </row>
    <row r="1997" ht="14.25" customHeight="1">
      <c r="A1997" s="1"/>
      <c r="B1997" s="2"/>
      <c r="C1997" s="2"/>
      <c r="D1997" s="2"/>
      <c r="E1997" s="3"/>
      <c r="F1997" s="4"/>
      <c r="G1997" s="4"/>
      <c r="H1997" s="14"/>
      <c r="I1997" s="4"/>
      <c r="J1997" s="6"/>
      <c r="K1997" s="7"/>
      <c r="L1997" s="8"/>
      <c r="O1997" s="10"/>
    </row>
    <row r="1998" ht="14.25" customHeight="1">
      <c r="A1998" s="1"/>
      <c r="B1998" s="2"/>
      <c r="C1998" s="2"/>
      <c r="D1998" s="2"/>
      <c r="E1998" s="3"/>
      <c r="F1998" s="4"/>
      <c r="G1998" s="4"/>
      <c r="H1998" s="14"/>
      <c r="I1998" s="4"/>
      <c r="J1998" s="6"/>
      <c r="K1998" s="7"/>
      <c r="L1998" s="8"/>
      <c r="O1998" s="10"/>
    </row>
    <row r="1999" ht="14.25" customHeight="1">
      <c r="A1999" s="1"/>
      <c r="B1999" s="2"/>
      <c r="C1999" s="2"/>
      <c r="D1999" s="2"/>
      <c r="E1999" s="3"/>
      <c r="F1999" s="4"/>
      <c r="G1999" s="4"/>
      <c r="H1999" s="14"/>
      <c r="I1999" s="4"/>
      <c r="J1999" s="6"/>
      <c r="K1999" s="7"/>
      <c r="L1999" s="8"/>
      <c r="O1999" s="10"/>
    </row>
    <row r="2000" ht="14.25" customHeight="1">
      <c r="A2000" s="1"/>
      <c r="B2000" s="2"/>
      <c r="C2000" s="2"/>
      <c r="D2000" s="2"/>
      <c r="E2000" s="3"/>
      <c r="F2000" s="4"/>
      <c r="G2000" s="4"/>
      <c r="H2000" s="14"/>
      <c r="I2000" s="4"/>
      <c r="J2000" s="6"/>
      <c r="K2000" s="7"/>
      <c r="L2000" s="8"/>
      <c r="O2000" s="10"/>
    </row>
    <row r="2001" ht="14.25" customHeight="1">
      <c r="A2001" s="1"/>
      <c r="B2001" s="2"/>
      <c r="C2001" s="2"/>
      <c r="D2001" s="2"/>
      <c r="E2001" s="3"/>
      <c r="F2001" s="4"/>
      <c r="G2001" s="4"/>
      <c r="H2001" s="14"/>
      <c r="I2001" s="4"/>
      <c r="J2001" s="6"/>
      <c r="K2001" s="7"/>
      <c r="L2001" s="8"/>
      <c r="O2001" s="10"/>
    </row>
    <row r="2002" ht="14.25" customHeight="1">
      <c r="A2002" s="1"/>
      <c r="B2002" s="2"/>
      <c r="C2002" s="2"/>
      <c r="D2002" s="2"/>
      <c r="E2002" s="3"/>
      <c r="F2002" s="4"/>
      <c r="G2002" s="4"/>
      <c r="H2002" s="14"/>
      <c r="I2002" s="4"/>
      <c r="J2002" s="6"/>
      <c r="K2002" s="7"/>
      <c r="L2002" s="8"/>
      <c r="O2002" s="10"/>
    </row>
    <row r="2003" ht="14.25" customHeight="1">
      <c r="A2003" s="1"/>
      <c r="B2003" s="2"/>
      <c r="C2003" s="2"/>
      <c r="D2003" s="2"/>
      <c r="E2003" s="3"/>
      <c r="F2003" s="4"/>
      <c r="G2003" s="4"/>
      <c r="H2003" s="14"/>
      <c r="I2003" s="4"/>
      <c r="J2003" s="6"/>
      <c r="K2003" s="7"/>
      <c r="L2003" s="8"/>
      <c r="O2003" s="10"/>
    </row>
    <row r="2004" ht="14.25" customHeight="1">
      <c r="A2004" s="1"/>
      <c r="B2004" s="2"/>
      <c r="C2004" s="2"/>
      <c r="D2004" s="2"/>
      <c r="E2004" s="3"/>
      <c r="F2004" s="4"/>
      <c r="G2004" s="4"/>
      <c r="H2004" s="14"/>
      <c r="I2004" s="4"/>
      <c r="J2004" s="6"/>
      <c r="K2004" s="7"/>
      <c r="L2004" s="8"/>
      <c r="O2004" s="10"/>
    </row>
    <row r="2005" ht="14.25" customHeight="1">
      <c r="A2005" s="1"/>
      <c r="B2005" s="2"/>
      <c r="C2005" s="2"/>
      <c r="D2005" s="2"/>
      <c r="E2005" s="3"/>
      <c r="F2005" s="4"/>
      <c r="G2005" s="4"/>
      <c r="H2005" s="14"/>
      <c r="I2005" s="4"/>
      <c r="J2005" s="6"/>
      <c r="K2005" s="7"/>
      <c r="L2005" s="8"/>
      <c r="O2005" s="10"/>
    </row>
    <row r="2006" ht="14.25" customHeight="1">
      <c r="A2006" s="1"/>
      <c r="B2006" s="2"/>
      <c r="C2006" s="2"/>
      <c r="D2006" s="2"/>
      <c r="E2006" s="3"/>
      <c r="F2006" s="4"/>
      <c r="G2006" s="4"/>
      <c r="H2006" s="14"/>
      <c r="I2006" s="4"/>
      <c r="J2006" s="6"/>
      <c r="K2006" s="7"/>
      <c r="L2006" s="8"/>
      <c r="O2006" s="10"/>
    </row>
    <row r="2007" ht="14.25" customHeight="1">
      <c r="A2007" s="1"/>
      <c r="B2007" s="2"/>
      <c r="C2007" s="2"/>
      <c r="D2007" s="2"/>
      <c r="E2007" s="3"/>
      <c r="F2007" s="4"/>
      <c r="G2007" s="4"/>
      <c r="H2007" s="4"/>
      <c r="I2007" s="4"/>
      <c r="J2007" s="6"/>
      <c r="K2007" s="7"/>
      <c r="L2007" s="8"/>
      <c r="O2007" s="10"/>
    </row>
    <row r="2008" ht="14.25" customHeight="1">
      <c r="A2008" s="1"/>
      <c r="B2008" s="2"/>
      <c r="C2008" s="2"/>
      <c r="D2008" s="2"/>
      <c r="E2008" s="3"/>
      <c r="F2008" s="4"/>
      <c r="G2008" s="4"/>
      <c r="H2008" s="14"/>
      <c r="I2008" s="4"/>
      <c r="J2008" s="6"/>
      <c r="K2008" s="7"/>
      <c r="L2008" s="8"/>
      <c r="O2008" s="10"/>
    </row>
    <row r="2009" ht="14.25" customHeight="1">
      <c r="A2009" s="1"/>
      <c r="B2009" s="2"/>
      <c r="C2009" s="2"/>
      <c r="D2009" s="2"/>
      <c r="E2009" s="3"/>
      <c r="F2009" s="4"/>
      <c r="G2009" s="4"/>
      <c r="H2009" s="14"/>
      <c r="I2009" s="4"/>
      <c r="J2009" s="6"/>
      <c r="K2009" s="7"/>
      <c r="L2009" s="8"/>
      <c r="O2009" s="10"/>
    </row>
    <row r="2010" ht="14.25" customHeight="1">
      <c r="A2010" s="1"/>
      <c r="B2010" s="2"/>
      <c r="C2010" s="2"/>
      <c r="D2010" s="2"/>
      <c r="E2010" s="3"/>
      <c r="F2010" s="4"/>
      <c r="G2010" s="4"/>
      <c r="H2010" s="14"/>
      <c r="I2010" s="4"/>
      <c r="J2010" s="6"/>
      <c r="K2010" s="7"/>
      <c r="L2010" s="8"/>
      <c r="O2010" s="10"/>
    </row>
    <row r="2011" ht="14.25" customHeight="1">
      <c r="A2011" s="1"/>
      <c r="B2011" s="2"/>
      <c r="C2011" s="2"/>
      <c r="D2011" s="2"/>
      <c r="E2011" s="3"/>
      <c r="F2011" s="4"/>
      <c r="G2011" s="4"/>
      <c r="H2011" s="14"/>
      <c r="I2011" s="4"/>
      <c r="J2011" s="6"/>
      <c r="K2011" s="7"/>
      <c r="L2011" s="8"/>
      <c r="O2011" s="10"/>
    </row>
    <row r="2012" ht="14.25" customHeight="1">
      <c r="A2012" s="1"/>
      <c r="B2012" s="2"/>
      <c r="C2012" s="2"/>
      <c r="D2012" s="2"/>
      <c r="E2012" s="3"/>
      <c r="F2012" s="4"/>
      <c r="G2012" s="4"/>
      <c r="H2012" s="14"/>
      <c r="I2012" s="4"/>
      <c r="J2012" s="6"/>
      <c r="K2012" s="7"/>
      <c r="L2012" s="8"/>
      <c r="O2012" s="10"/>
    </row>
    <row r="2013" ht="14.25" customHeight="1">
      <c r="A2013" s="1"/>
      <c r="B2013" s="2"/>
      <c r="C2013" s="2"/>
      <c r="D2013" s="2"/>
      <c r="E2013" s="3"/>
      <c r="F2013" s="4"/>
      <c r="G2013" s="4"/>
      <c r="H2013" s="14"/>
      <c r="I2013" s="4"/>
      <c r="J2013" s="6"/>
      <c r="K2013" s="7"/>
      <c r="L2013" s="8"/>
      <c r="O2013" s="10"/>
    </row>
    <row r="2014" ht="14.25" customHeight="1">
      <c r="A2014" s="1"/>
      <c r="B2014" s="2"/>
      <c r="C2014" s="2"/>
      <c r="D2014" s="2"/>
      <c r="E2014" s="3"/>
      <c r="F2014" s="4"/>
      <c r="G2014" s="4"/>
      <c r="H2014" s="14"/>
      <c r="I2014" s="4"/>
      <c r="J2014" s="6"/>
      <c r="K2014" s="7"/>
      <c r="L2014" s="8"/>
      <c r="O2014" s="10"/>
    </row>
    <row r="2015" ht="14.25" customHeight="1">
      <c r="A2015" s="1"/>
      <c r="B2015" s="2"/>
      <c r="C2015" s="2"/>
      <c r="D2015" s="2"/>
      <c r="E2015" s="3"/>
      <c r="F2015" s="4"/>
      <c r="G2015" s="4"/>
      <c r="H2015" s="14"/>
      <c r="I2015" s="4"/>
      <c r="J2015" s="6"/>
      <c r="K2015" s="7"/>
      <c r="L2015" s="8"/>
      <c r="O2015" s="10"/>
    </row>
    <row r="2016" ht="14.25" customHeight="1">
      <c r="A2016" s="1"/>
      <c r="B2016" s="2"/>
      <c r="C2016" s="2"/>
      <c r="D2016" s="2"/>
      <c r="E2016" s="3"/>
      <c r="F2016" s="4"/>
      <c r="G2016" s="4"/>
      <c r="H2016" s="14"/>
      <c r="I2016" s="4"/>
      <c r="J2016" s="6"/>
      <c r="K2016" s="7"/>
      <c r="L2016" s="8"/>
      <c r="O2016" s="10"/>
    </row>
    <row r="2017" ht="14.25" customHeight="1">
      <c r="A2017" s="1"/>
      <c r="B2017" s="2"/>
      <c r="C2017" s="2"/>
      <c r="D2017" s="2"/>
      <c r="E2017" s="3"/>
      <c r="F2017" s="4"/>
      <c r="G2017" s="4"/>
      <c r="H2017" s="14"/>
      <c r="I2017" s="4"/>
      <c r="J2017" s="6"/>
      <c r="K2017" s="7"/>
      <c r="L2017" s="8"/>
      <c r="O2017" s="10"/>
    </row>
    <row r="2018" ht="14.25" customHeight="1">
      <c r="A2018" s="1"/>
      <c r="B2018" s="2"/>
      <c r="C2018" s="2"/>
      <c r="D2018" s="2"/>
      <c r="E2018" s="3"/>
      <c r="F2018" s="4"/>
      <c r="G2018" s="4"/>
      <c r="H2018" s="4"/>
      <c r="I2018" s="4"/>
      <c r="J2018" s="6"/>
      <c r="K2018" s="7"/>
      <c r="L2018" s="8"/>
      <c r="O2018" s="10"/>
    </row>
    <row r="2019" ht="14.25" customHeight="1">
      <c r="A2019" s="1"/>
      <c r="B2019" s="2"/>
      <c r="C2019" s="2"/>
      <c r="D2019" s="2"/>
      <c r="E2019" s="3"/>
      <c r="F2019" s="4"/>
      <c r="G2019" s="4"/>
      <c r="H2019" s="4"/>
      <c r="I2019" s="4"/>
      <c r="J2019" s="6"/>
      <c r="K2019" s="7"/>
      <c r="L2019" s="8"/>
      <c r="O2019" s="10"/>
    </row>
    <row r="2020" ht="14.25" customHeight="1">
      <c r="A2020" s="1"/>
      <c r="B2020" s="2"/>
      <c r="C2020" s="2"/>
      <c r="D2020" s="2"/>
      <c r="E2020" s="3"/>
      <c r="F2020" s="4"/>
      <c r="G2020" s="4"/>
      <c r="H2020" s="4"/>
      <c r="I2020" s="4"/>
      <c r="J2020" s="6"/>
      <c r="K2020" s="7"/>
      <c r="L2020" s="8"/>
      <c r="O2020" s="10"/>
    </row>
    <row r="2021" ht="14.25" customHeight="1">
      <c r="A2021" s="1"/>
      <c r="B2021" s="2"/>
      <c r="C2021" s="2"/>
      <c r="D2021" s="2"/>
      <c r="E2021" s="3"/>
      <c r="F2021" s="4"/>
      <c r="G2021" s="4"/>
      <c r="H2021" s="14"/>
      <c r="I2021" s="4"/>
      <c r="J2021" s="6"/>
      <c r="K2021" s="7"/>
      <c r="L2021" s="8"/>
      <c r="O2021" s="10"/>
    </row>
    <row r="2022" ht="14.25" customHeight="1">
      <c r="A2022" s="1"/>
      <c r="B2022" s="2"/>
      <c r="C2022" s="2"/>
      <c r="D2022" s="2"/>
      <c r="E2022" s="3"/>
      <c r="F2022" s="4"/>
      <c r="G2022" s="4"/>
      <c r="H2022" s="4"/>
      <c r="I2022" s="4"/>
      <c r="J2022" s="6"/>
      <c r="K2022" s="7"/>
      <c r="L2022" s="8"/>
      <c r="O2022" s="10"/>
    </row>
    <row r="2023" ht="14.25" customHeight="1">
      <c r="A2023" s="1"/>
      <c r="B2023" s="2"/>
      <c r="C2023" s="2"/>
      <c r="D2023" s="2"/>
      <c r="E2023" s="3"/>
      <c r="F2023" s="4"/>
      <c r="G2023" s="4"/>
      <c r="H2023" s="14"/>
      <c r="I2023" s="4"/>
      <c r="J2023" s="6"/>
      <c r="K2023" s="7"/>
      <c r="L2023" s="8"/>
      <c r="O2023" s="10"/>
    </row>
    <row r="2024" ht="14.25" customHeight="1">
      <c r="A2024" s="1"/>
      <c r="B2024" s="2"/>
      <c r="C2024" s="2"/>
      <c r="D2024" s="2"/>
      <c r="E2024" s="3"/>
      <c r="F2024" s="4"/>
      <c r="G2024" s="4"/>
      <c r="H2024" s="14"/>
      <c r="I2024" s="4"/>
      <c r="J2024" s="6"/>
      <c r="K2024" s="7"/>
      <c r="L2024" s="8"/>
      <c r="O2024" s="10"/>
    </row>
    <row r="2025" ht="14.25" customHeight="1">
      <c r="A2025" s="1"/>
      <c r="B2025" s="2"/>
      <c r="C2025" s="2"/>
      <c r="D2025" s="2"/>
      <c r="E2025" s="3"/>
      <c r="F2025" s="4"/>
      <c r="G2025" s="4"/>
      <c r="H2025" s="14"/>
      <c r="I2025" s="4"/>
      <c r="J2025" s="6"/>
      <c r="K2025" s="7"/>
      <c r="L2025" s="8"/>
      <c r="O2025" s="10"/>
    </row>
    <row r="2026" ht="14.25" customHeight="1">
      <c r="A2026" s="1"/>
      <c r="B2026" s="2"/>
      <c r="C2026" s="2"/>
      <c r="D2026" s="2"/>
      <c r="E2026" s="3"/>
      <c r="F2026" s="4"/>
      <c r="G2026" s="4"/>
      <c r="H2026" s="14"/>
      <c r="I2026" s="4"/>
      <c r="J2026" s="6"/>
      <c r="K2026" s="7"/>
      <c r="L2026" s="8"/>
      <c r="O2026" s="10"/>
    </row>
    <row r="2027" ht="14.25" customHeight="1">
      <c r="A2027" s="1"/>
      <c r="B2027" s="2"/>
      <c r="C2027" s="2"/>
      <c r="D2027" s="2"/>
      <c r="E2027" s="3"/>
      <c r="F2027" s="4"/>
      <c r="G2027" s="4"/>
      <c r="H2027" s="14"/>
      <c r="I2027" s="4"/>
      <c r="J2027" s="6"/>
      <c r="K2027" s="7"/>
      <c r="L2027" s="8"/>
      <c r="O2027" s="10"/>
    </row>
    <row r="2028" ht="14.25" customHeight="1">
      <c r="A2028" s="1"/>
      <c r="B2028" s="2"/>
      <c r="C2028" s="2"/>
      <c r="D2028" s="2"/>
      <c r="E2028" s="3"/>
      <c r="F2028" s="4"/>
      <c r="G2028" s="4"/>
      <c r="H2028" s="14"/>
      <c r="I2028" s="4"/>
      <c r="J2028" s="6"/>
      <c r="K2028" s="7"/>
      <c r="L2028" s="8"/>
      <c r="O2028" s="10"/>
    </row>
    <row r="2029" ht="14.25" customHeight="1">
      <c r="A2029" s="1"/>
      <c r="B2029" s="2"/>
      <c r="C2029" s="2"/>
      <c r="D2029" s="2"/>
      <c r="E2029" s="3"/>
      <c r="F2029" s="4"/>
      <c r="G2029" s="4"/>
      <c r="H2029" s="14"/>
      <c r="I2029" s="4"/>
      <c r="J2029" s="6"/>
      <c r="K2029" s="7"/>
      <c r="L2029" s="8"/>
      <c r="O2029" s="10"/>
    </row>
    <row r="2030" ht="14.25" customHeight="1">
      <c r="A2030" s="1"/>
      <c r="B2030" s="2"/>
      <c r="C2030" s="2"/>
      <c r="D2030" s="2"/>
      <c r="E2030" s="3"/>
      <c r="F2030" s="4"/>
      <c r="G2030" s="4"/>
      <c r="H2030" s="14"/>
      <c r="I2030" s="4"/>
      <c r="J2030" s="6"/>
      <c r="K2030" s="7"/>
      <c r="L2030" s="8"/>
      <c r="O2030" s="10"/>
    </row>
    <row r="2031" ht="14.25" customHeight="1">
      <c r="A2031" s="1"/>
      <c r="B2031" s="2"/>
      <c r="C2031" s="2"/>
      <c r="D2031" s="2"/>
      <c r="E2031" s="3"/>
      <c r="F2031" s="4"/>
      <c r="G2031" s="4"/>
      <c r="H2031" s="14"/>
      <c r="I2031" s="4"/>
      <c r="J2031" s="6"/>
      <c r="K2031" s="7"/>
      <c r="L2031" s="8"/>
      <c r="O2031" s="10"/>
    </row>
    <row r="2032" ht="14.25" customHeight="1">
      <c r="A2032" s="1"/>
      <c r="B2032" s="2"/>
      <c r="C2032" s="2"/>
      <c r="D2032" s="2"/>
      <c r="E2032" s="3"/>
      <c r="F2032" s="4"/>
      <c r="G2032" s="4"/>
      <c r="H2032" s="14"/>
      <c r="I2032" s="4"/>
      <c r="J2032" s="6"/>
      <c r="K2032" s="7"/>
      <c r="L2032" s="8"/>
      <c r="O2032" s="10"/>
    </row>
    <row r="2033" ht="14.25" customHeight="1">
      <c r="A2033" s="1"/>
      <c r="B2033" s="2"/>
      <c r="C2033" s="2"/>
      <c r="D2033" s="2"/>
      <c r="E2033" s="3"/>
      <c r="F2033" s="4"/>
      <c r="G2033" s="4"/>
      <c r="H2033" s="14"/>
      <c r="I2033" s="4"/>
      <c r="J2033" s="6"/>
      <c r="K2033" s="7"/>
      <c r="L2033" s="8"/>
      <c r="O2033" s="10"/>
    </row>
    <row r="2034" ht="14.25" customHeight="1">
      <c r="A2034" s="1"/>
      <c r="B2034" s="2"/>
      <c r="C2034" s="2"/>
      <c r="D2034" s="2"/>
      <c r="E2034" s="3"/>
      <c r="F2034" s="4"/>
      <c r="G2034" s="4"/>
      <c r="H2034" s="4"/>
      <c r="I2034" s="4"/>
      <c r="J2034" s="6"/>
      <c r="K2034" s="7"/>
      <c r="L2034" s="8"/>
      <c r="O2034" s="10"/>
    </row>
    <row r="2035" ht="14.25" customHeight="1">
      <c r="A2035" s="1"/>
      <c r="B2035" s="2"/>
      <c r="C2035" s="2"/>
      <c r="D2035" s="2"/>
      <c r="E2035" s="3"/>
      <c r="F2035" s="4"/>
      <c r="G2035" s="4"/>
      <c r="H2035" s="14"/>
      <c r="I2035" s="4"/>
      <c r="J2035" s="6"/>
      <c r="K2035" s="7"/>
      <c r="L2035" s="8"/>
      <c r="O2035" s="10"/>
    </row>
    <row r="2036" ht="14.25" customHeight="1">
      <c r="A2036" s="1"/>
      <c r="B2036" s="2"/>
      <c r="C2036" s="2"/>
      <c r="D2036" s="2"/>
      <c r="E2036" s="3"/>
      <c r="F2036" s="4"/>
      <c r="G2036" s="4"/>
      <c r="H2036" s="4"/>
      <c r="I2036" s="4"/>
      <c r="J2036" s="6"/>
      <c r="K2036" s="7"/>
      <c r="L2036" s="8"/>
      <c r="O2036" s="10"/>
    </row>
    <row r="2037" ht="14.25" customHeight="1">
      <c r="A2037" s="1"/>
      <c r="B2037" s="2"/>
      <c r="C2037" s="2"/>
      <c r="D2037" s="2"/>
      <c r="E2037" s="3"/>
      <c r="F2037" s="4"/>
      <c r="G2037" s="4"/>
      <c r="H2037" s="14"/>
      <c r="I2037" s="4"/>
      <c r="J2037" s="6"/>
      <c r="K2037" s="7"/>
      <c r="L2037" s="8"/>
      <c r="O2037" s="10"/>
    </row>
    <row r="2038" ht="14.25" customHeight="1">
      <c r="A2038" s="1"/>
      <c r="B2038" s="2"/>
      <c r="C2038" s="2"/>
      <c r="D2038" s="2"/>
      <c r="E2038" s="3"/>
      <c r="F2038" s="4"/>
      <c r="G2038" s="4"/>
      <c r="H2038" s="14"/>
      <c r="I2038" s="4"/>
      <c r="J2038" s="6"/>
      <c r="K2038" s="7"/>
      <c r="L2038" s="8"/>
      <c r="O2038" s="10"/>
    </row>
    <row r="2039" ht="14.25" customHeight="1">
      <c r="A2039" s="1"/>
      <c r="B2039" s="2"/>
      <c r="C2039" s="2"/>
      <c r="D2039" s="2"/>
      <c r="E2039" s="3"/>
      <c r="F2039" s="4"/>
      <c r="G2039" s="4"/>
      <c r="H2039" s="14"/>
      <c r="I2039" s="4"/>
      <c r="J2039" s="6"/>
      <c r="K2039" s="7"/>
      <c r="L2039" s="8"/>
      <c r="O2039" s="10"/>
    </row>
    <row r="2040" ht="14.25" customHeight="1">
      <c r="A2040" s="1"/>
      <c r="B2040" s="2"/>
      <c r="C2040" s="2"/>
      <c r="D2040" s="2"/>
      <c r="E2040" s="3"/>
      <c r="F2040" s="4"/>
      <c r="G2040" s="4"/>
      <c r="H2040" s="14"/>
      <c r="I2040" s="4"/>
      <c r="J2040" s="6"/>
      <c r="K2040" s="7"/>
      <c r="L2040" s="8"/>
      <c r="O2040" s="10"/>
    </row>
    <row r="2041" ht="14.25" customHeight="1">
      <c r="A2041" s="1"/>
      <c r="B2041" s="2"/>
      <c r="C2041" s="2"/>
      <c r="D2041" s="2"/>
      <c r="E2041" s="3"/>
      <c r="F2041" s="4"/>
      <c r="G2041" s="4"/>
      <c r="H2041" s="14"/>
      <c r="I2041" s="4"/>
      <c r="J2041" s="6"/>
      <c r="K2041" s="7"/>
      <c r="L2041" s="8"/>
      <c r="O2041" s="10"/>
    </row>
    <row r="2042" ht="14.25" customHeight="1">
      <c r="A2042" s="1"/>
      <c r="B2042" s="2"/>
      <c r="C2042" s="2"/>
      <c r="D2042" s="2"/>
      <c r="E2042" s="3"/>
      <c r="F2042" s="4"/>
      <c r="G2042" s="4"/>
      <c r="H2042" s="14"/>
      <c r="I2042" s="4"/>
      <c r="J2042" s="6"/>
      <c r="K2042" s="7"/>
      <c r="L2042" s="8"/>
      <c r="O2042" s="10"/>
    </row>
    <row r="2043" ht="14.25" customHeight="1">
      <c r="A2043" s="1"/>
      <c r="B2043" s="2"/>
      <c r="C2043" s="2"/>
      <c r="D2043" s="2"/>
      <c r="E2043" s="3"/>
      <c r="F2043" s="4"/>
      <c r="G2043" s="4"/>
      <c r="H2043" s="14"/>
      <c r="I2043" s="4"/>
      <c r="J2043" s="6"/>
      <c r="K2043" s="7"/>
      <c r="L2043" s="8"/>
      <c r="O2043" s="10"/>
    </row>
    <row r="2044" ht="14.25" customHeight="1">
      <c r="A2044" s="1"/>
      <c r="B2044" s="2"/>
      <c r="C2044" s="2"/>
      <c r="D2044" s="2"/>
      <c r="E2044" s="3"/>
      <c r="F2044" s="4"/>
      <c r="G2044" s="4"/>
      <c r="H2044" s="14"/>
      <c r="I2044" s="4"/>
      <c r="J2044" s="6"/>
      <c r="K2044" s="7"/>
      <c r="L2044" s="8"/>
      <c r="O2044" s="10"/>
    </row>
    <row r="2045" ht="14.25" customHeight="1">
      <c r="A2045" s="1"/>
      <c r="B2045" s="2"/>
      <c r="C2045" s="2"/>
      <c r="D2045" s="2"/>
      <c r="E2045" s="3"/>
      <c r="F2045" s="4"/>
      <c r="G2045" s="4"/>
      <c r="H2045" s="14"/>
      <c r="I2045" s="4"/>
      <c r="J2045" s="6"/>
      <c r="K2045" s="7"/>
      <c r="L2045" s="8"/>
      <c r="O2045" s="10"/>
    </row>
    <row r="2046" ht="14.25" customHeight="1">
      <c r="A2046" s="1"/>
      <c r="B2046" s="2"/>
      <c r="C2046" s="2"/>
      <c r="D2046" s="2"/>
      <c r="E2046" s="3"/>
      <c r="F2046" s="4"/>
      <c r="G2046" s="4"/>
      <c r="H2046" s="14"/>
      <c r="I2046" s="4"/>
      <c r="J2046" s="6"/>
      <c r="K2046" s="7"/>
      <c r="L2046" s="8"/>
      <c r="O2046" s="10"/>
    </row>
    <row r="2047" ht="14.25" customHeight="1">
      <c r="A2047" s="1"/>
      <c r="B2047" s="2"/>
      <c r="C2047" s="2"/>
      <c r="D2047" s="2"/>
      <c r="E2047" s="3"/>
      <c r="F2047" s="4"/>
      <c r="G2047" s="4"/>
      <c r="H2047" s="14"/>
      <c r="I2047" s="4"/>
      <c r="J2047" s="6"/>
      <c r="K2047" s="7"/>
      <c r="L2047" s="8"/>
      <c r="O2047" s="10"/>
    </row>
    <row r="2048" ht="14.25" customHeight="1">
      <c r="A2048" s="1"/>
      <c r="B2048" s="2"/>
      <c r="C2048" s="2"/>
      <c r="D2048" s="2"/>
      <c r="E2048" s="3"/>
      <c r="F2048" s="4"/>
      <c r="G2048" s="4"/>
      <c r="H2048" s="14"/>
      <c r="I2048" s="4"/>
      <c r="J2048" s="6"/>
      <c r="K2048" s="7"/>
      <c r="L2048" s="8"/>
      <c r="O2048" s="10"/>
    </row>
    <row r="2049" ht="14.25" customHeight="1">
      <c r="A2049" s="1"/>
      <c r="B2049" s="2"/>
      <c r="C2049" s="2"/>
      <c r="D2049" s="2"/>
      <c r="E2049" s="3"/>
      <c r="F2049" s="4"/>
      <c r="G2049" s="4"/>
      <c r="H2049" s="14"/>
      <c r="I2049" s="4"/>
      <c r="J2049" s="6"/>
      <c r="K2049" s="7"/>
      <c r="L2049" s="8"/>
      <c r="O2049" s="10"/>
    </row>
    <row r="2050" ht="14.25" customHeight="1">
      <c r="A2050" s="1"/>
      <c r="B2050" s="2"/>
      <c r="C2050" s="2"/>
      <c r="D2050" s="2"/>
      <c r="E2050" s="3"/>
      <c r="F2050" s="4"/>
      <c r="G2050" s="4"/>
      <c r="H2050" s="14"/>
      <c r="I2050" s="4"/>
      <c r="J2050" s="6"/>
      <c r="K2050" s="7"/>
      <c r="L2050" s="8"/>
      <c r="O2050" s="10"/>
    </row>
    <row r="2051" ht="14.25" customHeight="1">
      <c r="A2051" s="1"/>
      <c r="B2051" s="2"/>
      <c r="C2051" s="2"/>
      <c r="D2051" s="2"/>
      <c r="E2051" s="3"/>
      <c r="F2051" s="4"/>
      <c r="G2051" s="4"/>
      <c r="H2051" s="14"/>
      <c r="I2051" s="4"/>
      <c r="J2051" s="6"/>
      <c r="K2051" s="7"/>
      <c r="L2051" s="8"/>
      <c r="O2051" s="10"/>
    </row>
    <row r="2052" ht="14.25" customHeight="1">
      <c r="A2052" s="1"/>
      <c r="B2052" s="2"/>
      <c r="C2052" s="2"/>
      <c r="D2052" s="2"/>
      <c r="E2052" s="3"/>
      <c r="F2052" s="4"/>
      <c r="G2052" s="4"/>
      <c r="H2052" s="14"/>
      <c r="I2052" s="4"/>
      <c r="J2052" s="6"/>
      <c r="K2052" s="7"/>
      <c r="L2052" s="8"/>
      <c r="O2052" s="10"/>
    </row>
    <row r="2053" ht="14.25" customHeight="1">
      <c r="A2053" s="1"/>
      <c r="B2053" s="2"/>
      <c r="C2053" s="2"/>
      <c r="D2053" s="2"/>
      <c r="E2053" s="3"/>
      <c r="F2053" s="4"/>
      <c r="G2053" s="4"/>
      <c r="H2053" s="14"/>
      <c r="I2053" s="4"/>
      <c r="J2053" s="6"/>
      <c r="K2053" s="7"/>
      <c r="L2053" s="8"/>
      <c r="O2053" s="10"/>
    </row>
    <row r="2054" ht="14.25" customHeight="1">
      <c r="A2054" s="1"/>
      <c r="B2054" s="2"/>
      <c r="C2054" s="2"/>
      <c r="D2054" s="2"/>
      <c r="E2054" s="3"/>
      <c r="F2054" s="4"/>
      <c r="G2054" s="4"/>
      <c r="H2054" s="14"/>
      <c r="I2054" s="4"/>
      <c r="J2054" s="6"/>
      <c r="K2054" s="7"/>
      <c r="L2054" s="8"/>
      <c r="O2054" s="10"/>
    </row>
    <row r="2055" ht="14.25" customHeight="1">
      <c r="A2055" s="1"/>
      <c r="B2055" s="2"/>
      <c r="C2055" s="2"/>
      <c r="D2055" s="2"/>
      <c r="E2055" s="3"/>
      <c r="F2055" s="4"/>
      <c r="G2055" s="4"/>
      <c r="H2055" s="4"/>
      <c r="I2055" s="4"/>
      <c r="J2055" s="6"/>
      <c r="K2055" s="7"/>
      <c r="L2055" s="8"/>
      <c r="O2055" s="10"/>
    </row>
    <row r="2056" ht="14.25" customHeight="1">
      <c r="A2056" s="1"/>
      <c r="B2056" s="2"/>
      <c r="C2056" s="2"/>
      <c r="D2056" s="2"/>
      <c r="E2056" s="3"/>
      <c r="F2056" s="4"/>
      <c r="G2056" s="4"/>
      <c r="H2056" s="14"/>
      <c r="I2056" s="4"/>
      <c r="J2056" s="6"/>
      <c r="K2056" s="7"/>
      <c r="L2056" s="8"/>
      <c r="O2056" s="10"/>
    </row>
    <row r="2057" ht="14.25" customHeight="1">
      <c r="A2057" s="1"/>
      <c r="B2057" s="2"/>
      <c r="C2057" s="2"/>
      <c r="D2057" s="2"/>
      <c r="E2057" s="3"/>
      <c r="F2057" s="4"/>
      <c r="G2057" s="4"/>
      <c r="H2057" s="14"/>
      <c r="I2057" s="4"/>
      <c r="J2057" s="6"/>
      <c r="K2057" s="7"/>
      <c r="L2057" s="8"/>
      <c r="O2057" s="10"/>
    </row>
    <row r="2058" ht="14.25" customHeight="1">
      <c r="A2058" s="1"/>
      <c r="B2058" s="2"/>
      <c r="C2058" s="2"/>
      <c r="D2058" s="2"/>
      <c r="E2058" s="3"/>
      <c r="F2058" s="4"/>
      <c r="G2058" s="4"/>
      <c r="H2058" s="14"/>
      <c r="I2058" s="4"/>
      <c r="J2058" s="6"/>
      <c r="K2058" s="7"/>
      <c r="L2058" s="8"/>
      <c r="O2058" s="10"/>
    </row>
    <row r="2059" ht="14.25" customHeight="1">
      <c r="A2059" s="1"/>
      <c r="B2059" s="2"/>
      <c r="C2059" s="2"/>
      <c r="D2059" s="2"/>
      <c r="E2059" s="3"/>
      <c r="F2059" s="4"/>
      <c r="G2059" s="4"/>
      <c r="H2059" s="14"/>
      <c r="I2059" s="4"/>
      <c r="J2059" s="6"/>
      <c r="K2059" s="7"/>
      <c r="L2059" s="8"/>
      <c r="O2059" s="10"/>
    </row>
    <row r="2060" ht="14.25" customHeight="1">
      <c r="A2060" s="1"/>
      <c r="B2060" s="2"/>
      <c r="C2060" s="2"/>
      <c r="D2060" s="2"/>
      <c r="E2060" s="3"/>
      <c r="F2060" s="4"/>
      <c r="G2060" s="4"/>
      <c r="H2060" s="4"/>
      <c r="I2060" s="4"/>
      <c r="J2060" s="6"/>
      <c r="K2060" s="7"/>
      <c r="L2060" s="8"/>
      <c r="O2060" s="10"/>
    </row>
    <row r="2061" ht="14.25" customHeight="1">
      <c r="A2061" s="1"/>
      <c r="B2061" s="2"/>
      <c r="C2061" s="2"/>
      <c r="D2061" s="2"/>
      <c r="E2061" s="3"/>
      <c r="F2061" s="4"/>
      <c r="G2061" s="4"/>
      <c r="H2061" s="4"/>
      <c r="I2061" s="4"/>
      <c r="J2061" s="6"/>
      <c r="K2061" s="7"/>
      <c r="L2061" s="8"/>
      <c r="O2061" s="10"/>
    </row>
    <row r="2062" ht="14.25" customHeight="1">
      <c r="A2062" s="1"/>
      <c r="B2062" s="2"/>
      <c r="C2062" s="2"/>
      <c r="D2062" s="2"/>
      <c r="E2062" s="3"/>
      <c r="F2062" s="4"/>
      <c r="G2062" s="4"/>
      <c r="H2062" s="14"/>
      <c r="I2062" s="4"/>
      <c r="J2062" s="6"/>
      <c r="K2062" s="7"/>
      <c r="L2062" s="8"/>
      <c r="O2062" s="10"/>
    </row>
    <row r="2063" ht="14.25" customHeight="1">
      <c r="A2063" s="1"/>
      <c r="B2063" s="2"/>
      <c r="C2063" s="2"/>
      <c r="D2063" s="2"/>
      <c r="E2063" s="3"/>
      <c r="F2063" s="4"/>
      <c r="G2063" s="4"/>
      <c r="H2063" s="14"/>
      <c r="I2063" s="4"/>
      <c r="J2063" s="6"/>
      <c r="K2063" s="7"/>
      <c r="L2063" s="8"/>
      <c r="O2063" s="10"/>
    </row>
    <row r="2064" ht="14.25" customHeight="1">
      <c r="A2064" s="1"/>
      <c r="B2064" s="2"/>
      <c r="C2064" s="2"/>
      <c r="D2064" s="2"/>
      <c r="E2064" s="3"/>
      <c r="F2064" s="4"/>
      <c r="G2064" s="4"/>
      <c r="H2064" s="14"/>
      <c r="I2064" s="4"/>
      <c r="J2064" s="6"/>
      <c r="K2064" s="7"/>
      <c r="L2064" s="8"/>
      <c r="O2064" s="10"/>
    </row>
    <row r="2065" ht="14.25" customHeight="1">
      <c r="A2065" s="1"/>
      <c r="B2065" s="2"/>
      <c r="C2065" s="2"/>
      <c r="D2065" s="2"/>
      <c r="E2065" s="3"/>
      <c r="F2065" s="4"/>
      <c r="G2065" s="4"/>
      <c r="H2065" s="4"/>
      <c r="I2065" s="4"/>
      <c r="J2065" s="6"/>
      <c r="K2065" s="7"/>
      <c r="L2065" s="8"/>
      <c r="O2065" s="10"/>
    </row>
    <row r="2066" ht="14.25" customHeight="1">
      <c r="A2066" s="1"/>
      <c r="B2066" s="2"/>
      <c r="C2066" s="2"/>
      <c r="D2066" s="2"/>
      <c r="E2066" s="3"/>
      <c r="F2066" s="4"/>
      <c r="G2066" s="4"/>
      <c r="H2066" s="4"/>
      <c r="I2066" s="4"/>
      <c r="J2066" s="6"/>
      <c r="K2066" s="7"/>
      <c r="L2066" s="8"/>
      <c r="O2066" s="10"/>
    </row>
    <row r="2067" ht="14.25" customHeight="1">
      <c r="A2067" s="1"/>
      <c r="B2067" s="2"/>
      <c r="C2067" s="2"/>
      <c r="D2067" s="2"/>
      <c r="E2067" s="3"/>
      <c r="F2067" s="4"/>
      <c r="G2067" s="4"/>
      <c r="H2067" s="4"/>
      <c r="I2067" s="4"/>
      <c r="J2067" s="6"/>
      <c r="K2067" s="7"/>
      <c r="L2067" s="8"/>
      <c r="O2067" s="10"/>
    </row>
    <row r="2068" ht="14.25" customHeight="1">
      <c r="A2068" s="1"/>
      <c r="B2068" s="2"/>
      <c r="C2068" s="2"/>
      <c r="D2068" s="2"/>
      <c r="E2068" s="3"/>
      <c r="F2068" s="4"/>
      <c r="G2068" s="4"/>
      <c r="H2068" s="14"/>
      <c r="I2068" s="4"/>
      <c r="J2068" s="6"/>
      <c r="K2068" s="7"/>
      <c r="L2068" s="8"/>
      <c r="O2068" s="10"/>
    </row>
    <row r="2069" ht="14.25" customHeight="1">
      <c r="A2069" s="1"/>
      <c r="B2069" s="2"/>
      <c r="C2069" s="2"/>
      <c r="D2069" s="2"/>
      <c r="E2069" s="3"/>
      <c r="F2069" s="4"/>
      <c r="G2069" s="4"/>
      <c r="H2069" s="14"/>
      <c r="I2069" s="4"/>
      <c r="J2069" s="6"/>
      <c r="K2069" s="7"/>
      <c r="L2069" s="8"/>
      <c r="O2069" s="10"/>
    </row>
    <row r="2070" ht="14.25" customHeight="1">
      <c r="A2070" s="1"/>
      <c r="B2070" s="2"/>
      <c r="C2070" s="2"/>
      <c r="D2070" s="2"/>
      <c r="E2070" s="3"/>
      <c r="F2070" s="4"/>
      <c r="G2070" s="4"/>
      <c r="H2070" s="14"/>
      <c r="I2070" s="4"/>
      <c r="J2070" s="6"/>
      <c r="K2070" s="7"/>
      <c r="L2070" s="8"/>
      <c r="O2070" s="10"/>
    </row>
    <row r="2071" ht="14.25" customHeight="1">
      <c r="A2071" s="1"/>
      <c r="B2071" s="2"/>
      <c r="C2071" s="2"/>
      <c r="D2071" s="2"/>
      <c r="E2071" s="3"/>
      <c r="F2071" s="4"/>
      <c r="G2071" s="4"/>
      <c r="H2071" s="14"/>
      <c r="I2071" s="4"/>
      <c r="J2071" s="6"/>
      <c r="K2071" s="7"/>
      <c r="L2071" s="8"/>
      <c r="O2071" s="10"/>
    </row>
    <row r="2072" ht="14.25" customHeight="1">
      <c r="A2072" s="1"/>
      <c r="B2072" s="2"/>
      <c r="C2072" s="2"/>
      <c r="D2072" s="2"/>
      <c r="E2072" s="3"/>
      <c r="F2072" s="4"/>
      <c r="G2072" s="4"/>
      <c r="H2072" s="14"/>
      <c r="I2072" s="4"/>
      <c r="J2072" s="6"/>
      <c r="K2072" s="7"/>
      <c r="L2072" s="8"/>
      <c r="O2072" s="10"/>
    </row>
    <row r="2073" ht="14.25" customHeight="1">
      <c r="A2073" s="1"/>
      <c r="B2073" s="2"/>
      <c r="C2073" s="2"/>
      <c r="D2073" s="2"/>
      <c r="E2073" s="3"/>
      <c r="F2073" s="4"/>
      <c r="G2073" s="4"/>
      <c r="H2073" s="14"/>
      <c r="I2073" s="4"/>
      <c r="J2073" s="6"/>
      <c r="K2073" s="7"/>
      <c r="L2073" s="8"/>
      <c r="O2073" s="10"/>
    </row>
    <row r="2074" ht="14.25" customHeight="1">
      <c r="A2074" s="1"/>
      <c r="B2074" s="2"/>
      <c r="C2074" s="2"/>
      <c r="D2074" s="2"/>
      <c r="E2074" s="3"/>
      <c r="F2074" s="4"/>
      <c r="G2074" s="4"/>
      <c r="H2074" s="14"/>
      <c r="I2074" s="4"/>
      <c r="J2074" s="6"/>
      <c r="K2074" s="7"/>
      <c r="L2074" s="8"/>
      <c r="O2074" s="10"/>
    </row>
    <row r="2075" ht="14.25" customHeight="1">
      <c r="A2075" s="1"/>
      <c r="B2075" s="2"/>
      <c r="C2075" s="2"/>
      <c r="D2075" s="2"/>
      <c r="E2075" s="3"/>
      <c r="F2075" s="4"/>
      <c r="G2075" s="4"/>
      <c r="H2075" s="14"/>
      <c r="I2075" s="4"/>
      <c r="J2075" s="6"/>
      <c r="K2075" s="7"/>
      <c r="L2075" s="8"/>
      <c r="O2075" s="10"/>
    </row>
    <row r="2076" ht="14.25" customHeight="1">
      <c r="A2076" s="1"/>
      <c r="B2076" s="2"/>
      <c r="C2076" s="2"/>
      <c r="D2076" s="2"/>
      <c r="E2076" s="3"/>
      <c r="F2076" s="4"/>
      <c r="G2076" s="4"/>
      <c r="H2076" s="14"/>
      <c r="I2076" s="4"/>
      <c r="J2076" s="6"/>
      <c r="K2076" s="7"/>
      <c r="L2076" s="8"/>
      <c r="O2076" s="10"/>
    </row>
    <row r="2077" ht="14.25" customHeight="1">
      <c r="A2077" s="1"/>
      <c r="B2077" s="2"/>
      <c r="C2077" s="2"/>
      <c r="D2077" s="2"/>
      <c r="E2077" s="3"/>
      <c r="F2077" s="4"/>
      <c r="G2077" s="4"/>
      <c r="H2077" s="14"/>
      <c r="I2077" s="4"/>
      <c r="J2077" s="6"/>
      <c r="K2077" s="7"/>
      <c r="L2077" s="8"/>
      <c r="O2077" s="10"/>
    </row>
    <row r="2078" ht="14.25" customHeight="1">
      <c r="A2078" s="1"/>
      <c r="B2078" s="2"/>
      <c r="C2078" s="2"/>
      <c r="D2078" s="2"/>
      <c r="E2078" s="3"/>
      <c r="F2078" s="4"/>
      <c r="G2078" s="4"/>
      <c r="H2078" s="4"/>
      <c r="I2078" s="4"/>
      <c r="J2078" s="6"/>
      <c r="K2078" s="7"/>
      <c r="L2078" s="8"/>
      <c r="O2078" s="10"/>
    </row>
    <row r="2079" ht="14.25" customHeight="1">
      <c r="A2079" s="1"/>
      <c r="B2079" s="2"/>
      <c r="C2079" s="2"/>
      <c r="D2079" s="2"/>
      <c r="E2079" s="3"/>
      <c r="F2079" s="4"/>
      <c r="G2079" s="4"/>
      <c r="H2079" s="14"/>
      <c r="I2079" s="4"/>
      <c r="J2079" s="6"/>
      <c r="K2079" s="7"/>
      <c r="L2079" s="8"/>
      <c r="O2079" s="10"/>
    </row>
    <row r="2080" ht="14.25" customHeight="1">
      <c r="A2080" s="1"/>
      <c r="B2080" s="2"/>
      <c r="C2080" s="2"/>
      <c r="D2080" s="2"/>
      <c r="E2080" s="3"/>
      <c r="F2080" s="4"/>
      <c r="G2080" s="4"/>
      <c r="H2080" s="14"/>
      <c r="I2080" s="4"/>
      <c r="J2080" s="6"/>
      <c r="K2080" s="7"/>
      <c r="L2080" s="8"/>
      <c r="O2080" s="10"/>
    </row>
    <row r="2081" ht="14.25" customHeight="1">
      <c r="A2081" s="1"/>
      <c r="B2081" s="2"/>
      <c r="C2081" s="2"/>
      <c r="D2081" s="2"/>
      <c r="E2081" s="3"/>
      <c r="F2081" s="4"/>
      <c r="G2081" s="4"/>
      <c r="H2081" s="14"/>
      <c r="I2081" s="4"/>
      <c r="J2081" s="6"/>
      <c r="K2081" s="7"/>
      <c r="L2081" s="8"/>
      <c r="O2081" s="10"/>
    </row>
    <row r="2082" ht="14.25" customHeight="1">
      <c r="A2082" s="1"/>
      <c r="B2082" s="2"/>
      <c r="C2082" s="2"/>
      <c r="D2082" s="2"/>
      <c r="E2082" s="3"/>
      <c r="F2082" s="4"/>
      <c r="G2082" s="4"/>
      <c r="H2082" s="14"/>
      <c r="I2082" s="4"/>
      <c r="J2082" s="6"/>
      <c r="K2082" s="7"/>
      <c r="L2082" s="8"/>
      <c r="O2082" s="10"/>
    </row>
    <row r="2083" ht="14.25" customHeight="1">
      <c r="A2083" s="1"/>
      <c r="B2083" s="2"/>
      <c r="C2083" s="2"/>
      <c r="D2083" s="2"/>
      <c r="E2083" s="3"/>
      <c r="F2083" s="4"/>
      <c r="G2083" s="4"/>
      <c r="H2083" s="4"/>
      <c r="I2083" s="4"/>
      <c r="J2083" s="6"/>
      <c r="K2083" s="7"/>
      <c r="L2083" s="8"/>
      <c r="O2083" s="10"/>
    </row>
    <row r="2084" ht="14.25" customHeight="1">
      <c r="A2084" s="1"/>
      <c r="B2084" s="2"/>
      <c r="C2084" s="2"/>
      <c r="D2084" s="2"/>
      <c r="E2084" s="3"/>
      <c r="F2084" s="4"/>
      <c r="G2084" s="4"/>
      <c r="H2084" s="14"/>
      <c r="I2084" s="4"/>
      <c r="J2084" s="6"/>
      <c r="K2084" s="7"/>
      <c r="L2084" s="8"/>
      <c r="O2084" s="10"/>
    </row>
    <row r="2085" ht="14.25" customHeight="1">
      <c r="A2085" s="1"/>
      <c r="B2085" s="2"/>
      <c r="C2085" s="2"/>
      <c r="D2085" s="2"/>
      <c r="E2085" s="3"/>
      <c r="F2085" s="4"/>
      <c r="G2085" s="4"/>
      <c r="H2085" s="14"/>
      <c r="I2085" s="4"/>
      <c r="J2085" s="6"/>
      <c r="K2085" s="7"/>
      <c r="L2085" s="8"/>
      <c r="O2085" s="10"/>
    </row>
    <row r="2086" ht="14.25" customHeight="1">
      <c r="A2086" s="1"/>
      <c r="B2086" s="2"/>
      <c r="C2086" s="2"/>
      <c r="D2086" s="2"/>
      <c r="E2086" s="3"/>
      <c r="F2086" s="4"/>
      <c r="G2086" s="4"/>
      <c r="H2086" s="14"/>
      <c r="I2086" s="4"/>
      <c r="J2086" s="6"/>
      <c r="K2086" s="7"/>
      <c r="L2086" s="8"/>
      <c r="O2086" s="10"/>
    </row>
    <row r="2087" ht="14.25" customHeight="1">
      <c r="A2087" s="1"/>
      <c r="B2087" s="2"/>
      <c r="C2087" s="2"/>
      <c r="D2087" s="2"/>
      <c r="E2087" s="3"/>
      <c r="F2087" s="4"/>
      <c r="G2087" s="4"/>
      <c r="H2087" s="14"/>
      <c r="I2087" s="4"/>
      <c r="J2087" s="6"/>
      <c r="K2087" s="7"/>
      <c r="L2087" s="8"/>
      <c r="O2087" s="10"/>
    </row>
    <row r="2088" ht="14.25" customHeight="1">
      <c r="A2088" s="1"/>
      <c r="B2088" s="2"/>
      <c r="C2088" s="2"/>
      <c r="D2088" s="2"/>
      <c r="E2088" s="3"/>
      <c r="F2088" s="4"/>
      <c r="G2088" s="4"/>
      <c r="H2088" s="14"/>
      <c r="I2088" s="4"/>
      <c r="J2088" s="6"/>
      <c r="K2088" s="7"/>
      <c r="L2088" s="8"/>
      <c r="O2088" s="10"/>
    </row>
    <row r="2089" ht="14.25" customHeight="1">
      <c r="A2089" s="1"/>
      <c r="B2089" s="2"/>
      <c r="C2089" s="2"/>
      <c r="D2089" s="2"/>
      <c r="E2089" s="3"/>
      <c r="F2089" s="4"/>
      <c r="G2089" s="4"/>
      <c r="H2089" s="4"/>
      <c r="I2089" s="4"/>
      <c r="J2089" s="6"/>
      <c r="K2089" s="7"/>
      <c r="L2089" s="8"/>
      <c r="O2089" s="10"/>
    </row>
    <row r="2090" ht="14.25" customHeight="1">
      <c r="A2090" s="1"/>
      <c r="B2090" s="2"/>
      <c r="C2090" s="2"/>
      <c r="D2090" s="2"/>
      <c r="E2090" s="3"/>
      <c r="F2090" s="4"/>
      <c r="G2090" s="4"/>
      <c r="H2090" s="14"/>
      <c r="I2090" s="4"/>
      <c r="J2090" s="6"/>
      <c r="K2090" s="7"/>
      <c r="L2090" s="8"/>
      <c r="O2090" s="10"/>
    </row>
    <row r="2091" ht="14.25" customHeight="1">
      <c r="A2091" s="1"/>
      <c r="B2091" s="2"/>
      <c r="C2091" s="2"/>
      <c r="D2091" s="2"/>
      <c r="E2091" s="3"/>
      <c r="F2091" s="4"/>
      <c r="G2091" s="4"/>
      <c r="H2091" s="14"/>
      <c r="I2091" s="4"/>
      <c r="J2091" s="6"/>
      <c r="K2091" s="7"/>
      <c r="L2091" s="8"/>
      <c r="O2091" s="10"/>
    </row>
    <row r="2092" ht="14.25" customHeight="1">
      <c r="A2092" s="1"/>
      <c r="B2092" s="2"/>
      <c r="C2092" s="2"/>
      <c r="D2092" s="2"/>
      <c r="E2092" s="3"/>
      <c r="F2092" s="4"/>
      <c r="G2092" s="4"/>
      <c r="H2092" s="14"/>
      <c r="I2092" s="4"/>
      <c r="J2092" s="6"/>
      <c r="K2092" s="7"/>
      <c r="L2092" s="8"/>
      <c r="O2092" s="10"/>
    </row>
    <row r="2093" ht="14.25" customHeight="1">
      <c r="A2093" s="1"/>
      <c r="B2093" s="2"/>
      <c r="C2093" s="2"/>
      <c r="D2093" s="2"/>
      <c r="E2093" s="3"/>
      <c r="F2093" s="4"/>
      <c r="G2093" s="4"/>
      <c r="H2093" s="14"/>
      <c r="I2093" s="4"/>
      <c r="J2093" s="6"/>
      <c r="K2093" s="7"/>
      <c r="L2093" s="8"/>
      <c r="O2093" s="10"/>
    </row>
    <row r="2094" ht="14.25" customHeight="1">
      <c r="A2094" s="1"/>
      <c r="B2094" s="2"/>
      <c r="C2094" s="2"/>
      <c r="D2094" s="2"/>
      <c r="E2094" s="3"/>
      <c r="F2094" s="4"/>
      <c r="G2094" s="4"/>
      <c r="H2094" s="4"/>
      <c r="I2094" s="4"/>
      <c r="J2094" s="6"/>
      <c r="K2094" s="7"/>
      <c r="L2094" s="8"/>
      <c r="O2094" s="10"/>
    </row>
    <row r="2095" ht="14.25" customHeight="1">
      <c r="A2095" s="1"/>
      <c r="B2095" s="2"/>
      <c r="C2095" s="2"/>
      <c r="D2095" s="2"/>
      <c r="E2095" s="3"/>
      <c r="F2095" s="4"/>
      <c r="G2095" s="4"/>
      <c r="H2095" s="14"/>
      <c r="I2095" s="4"/>
      <c r="J2095" s="6"/>
      <c r="K2095" s="7"/>
      <c r="L2095" s="8"/>
      <c r="O2095" s="10"/>
    </row>
    <row r="2096" ht="14.25" customHeight="1">
      <c r="A2096" s="1"/>
      <c r="B2096" s="2"/>
      <c r="C2096" s="2"/>
      <c r="D2096" s="2"/>
      <c r="E2096" s="3"/>
      <c r="F2096" s="4"/>
      <c r="G2096" s="4"/>
      <c r="H2096" s="14"/>
      <c r="I2096" s="4"/>
      <c r="J2096" s="6"/>
      <c r="K2096" s="7"/>
      <c r="L2096" s="8"/>
      <c r="O2096" s="10"/>
    </row>
    <row r="2097" ht="14.25" customHeight="1">
      <c r="A2097" s="1"/>
      <c r="B2097" s="2"/>
      <c r="C2097" s="2"/>
      <c r="D2097" s="2"/>
      <c r="E2097" s="3"/>
      <c r="F2097" s="4"/>
      <c r="G2097" s="4"/>
      <c r="H2097" s="14"/>
      <c r="I2097" s="4"/>
      <c r="J2097" s="6"/>
      <c r="K2097" s="7"/>
      <c r="L2097" s="8"/>
      <c r="O2097" s="10"/>
    </row>
    <row r="2098" ht="14.25" customHeight="1">
      <c r="A2098" s="1"/>
      <c r="B2098" s="2"/>
      <c r="C2098" s="2"/>
      <c r="D2098" s="2"/>
      <c r="E2098" s="3"/>
      <c r="F2098" s="4"/>
      <c r="G2098" s="4"/>
      <c r="H2098" s="4"/>
      <c r="I2098" s="4"/>
      <c r="J2098" s="6"/>
      <c r="K2098" s="7"/>
      <c r="L2098" s="8"/>
      <c r="O2098" s="10"/>
    </row>
    <row r="2099" ht="14.25" customHeight="1">
      <c r="A2099" s="1"/>
      <c r="B2099" s="2"/>
      <c r="C2099" s="2"/>
      <c r="D2099" s="2"/>
      <c r="E2099" s="3"/>
      <c r="F2099" s="4"/>
      <c r="G2099" s="4"/>
      <c r="H2099" s="14"/>
      <c r="I2099" s="4"/>
      <c r="J2099" s="6"/>
      <c r="K2099" s="7"/>
      <c r="L2099" s="8"/>
      <c r="O2099" s="10"/>
    </row>
    <row r="2100" ht="14.25" customHeight="1">
      <c r="A2100" s="1"/>
      <c r="B2100" s="2"/>
      <c r="C2100" s="2"/>
      <c r="D2100" s="2"/>
      <c r="E2100" s="3"/>
      <c r="F2100" s="4"/>
      <c r="G2100" s="4"/>
      <c r="H2100" s="14"/>
      <c r="I2100" s="4"/>
      <c r="J2100" s="6"/>
      <c r="K2100" s="7"/>
      <c r="L2100" s="8"/>
      <c r="O2100" s="10"/>
    </row>
    <row r="2101" ht="14.25" customHeight="1">
      <c r="A2101" s="1"/>
      <c r="B2101" s="2"/>
      <c r="C2101" s="2"/>
      <c r="D2101" s="2"/>
      <c r="E2101" s="3"/>
      <c r="F2101" s="4"/>
      <c r="G2101" s="4"/>
      <c r="H2101" s="4"/>
      <c r="I2101" s="4"/>
      <c r="J2101" s="6"/>
      <c r="K2101" s="7"/>
      <c r="L2101" s="8"/>
      <c r="O2101" s="10"/>
    </row>
    <row r="2102" ht="14.25" customHeight="1">
      <c r="A2102" s="1"/>
      <c r="B2102" s="2"/>
      <c r="C2102" s="2"/>
      <c r="D2102" s="2"/>
      <c r="E2102" s="3"/>
      <c r="F2102" s="4"/>
      <c r="G2102" s="4"/>
      <c r="H2102" s="14"/>
      <c r="I2102" s="4"/>
      <c r="J2102" s="6"/>
      <c r="K2102" s="7"/>
      <c r="L2102" s="8"/>
      <c r="O2102" s="10"/>
    </row>
    <row r="2103" ht="14.25" customHeight="1">
      <c r="A2103" s="1"/>
      <c r="B2103" s="2"/>
      <c r="C2103" s="2"/>
      <c r="D2103" s="2"/>
      <c r="E2103" s="3"/>
      <c r="F2103" s="4"/>
      <c r="G2103" s="4"/>
      <c r="H2103" s="14"/>
      <c r="I2103" s="4"/>
      <c r="J2103" s="6"/>
      <c r="K2103" s="7"/>
      <c r="L2103" s="8"/>
      <c r="O2103" s="10"/>
    </row>
    <row r="2104" ht="14.25" customHeight="1">
      <c r="A2104" s="1"/>
      <c r="B2104" s="2"/>
      <c r="C2104" s="2"/>
      <c r="D2104" s="2"/>
      <c r="E2104" s="3"/>
      <c r="F2104" s="4"/>
      <c r="G2104" s="4"/>
      <c r="H2104" s="14"/>
      <c r="I2104" s="4"/>
      <c r="J2104" s="6"/>
      <c r="K2104" s="7"/>
      <c r="L2104" s="8"/>
      <c r="O2104" s="10"/>
    </row>
    <row r="2105" ht="14.25" customHeight="1">
      <c r="A2105" s="1"/>
      <c r="B2105" s="2"/>
      <c r="C2105" s="2"/>
      <c r="D2105" s="2"/>
      <c r="E2105" s="3"/>
      <c r="F2105" s="4"/>
      <c r="G2105" s="4"/>
      <c r="H2105" s="14"/>
      <c r="I2105" s="4"/>
      <c r="J2105" s="6"/>
      <c r="K2105" s="7"/>
      <c r="L2105" s="8"/>
      <c r="O2105" s="10"/>
    </row>
    <row r="2106" ht="14.25" customHeight="1">
      <c r="A2106" s="1"/>
      <c r="B2106" s="2"/>
      <c r="C2106" s="2"/>
      <c r="D2106" s="2"/>
      <c r="E2106" s="3"/>
      <c r="F2106" s="4"/>
      <c r="G2106" s="4"/>
      <c r="H2106" s="14"/>
      <c r="I2106" s="4"/>
      <c r="J2106" s="6"/>
      <c r="K2106" s="7"/>
      <c r="L2106" s="8"/>
      <c r="O2106" s="10"/>
    </row>
    <row r="2107" ht="14.25" customHeight="1">
      <c r="A2107" s="1"/>
      <c r="B2107" s="2"/>
      <c r="C2107" s="2"/>
      <c r="D2107" s="2"/>
      <c r="E2107" s="3"/>
      <c r="F2107" s="4"/>
      <c r="G2107" s="4"/>
      <c r="H2107" s="14"/>
      <c r="I2107" s="4"/>
      <c r="J2107" s="6"/>
      <c r="K2107" s="7"/>
      <c r="L2107" s="8"/>
      <c r="O2107" s="10"/>
    </row>
    <row r="2108" ht="14.25" customHeight="1">
      <c r="A2108" s="1"/>
      <c r="B2108" s="2"/>
      <c r="C2108" s="2"/>
      <c r="D2108" s="2"/>
      <c r="E2108" s="3"/>
      <c r="F2108" s="4"/>
      <c r="G2108" s="4"/>
      <c r="H2108" s="14"/>
      <c r="I2108" s="4"/>
      <c r="J2108" s="6"/>
      <c r="K2108" s="7"/>
      <c r="L2108" s="8"/>
      <c r="O2108" s="10"/>
    </row>
    <row r="2109" ht="14.25" customHeight="1">
      <c r="A2109" s="1"/>
      <c r="B2109" s="2"/>
      <c r="C2109" s="2"/>
      <c r="D2109" s="2"/>
      <c r="E2109" s="3"/>
      <c r="F2109" s="4"/>
      <c r="G2109" s="4"/>
      <c r="H2109" s="14"/>
      <c r="I2109" s="4"/>
      <c r="J2109" s="6"/>
      <c r="K2109" s="7"/>
      <c r="L2109" s="8"/>
      <c r="O2109" s="10"/>
    </row>
    <row r="2110" ht="14.25" customHeight="1">
      <c r="A2110" s="1"/>
      <c r="B2110" s="2"/>
      <c r="C2110" s="2"/>
      <c r="D2110" s="2"/>
      <c r="E2110" s="3"/>
      <c r="F2110" s="4"/>
      <c r="G2110" s="4"/>
      <c r="H2110" s="14"/>
      <c r="I2110" s="4"/>
      <c r="J2110" s="6"/>
      <c r="K2110" s="7"/>
      <c r="L2110" s="8"/>
      <c r="O2110" s="10"/>
    </row>
    <row r="2111" ht="14.25" customHeight="1">
      <c r="A2111" s="1"/>
      <c r="B2111" s="2"/>
      <c r="C2111" s="2"/>
      <c r="D2111" s="2"/>
      <c r="E2111" s="3"/>
      <c r="F2111" s="4"/>
      <c r="G2111" s="4"/>
      <c r="H2111" s="4"/>
      <c r="I2111" s="4"/>
      <c r="J2111" s="6"/>
      <c r="K2111" s="7"/>
      <c r="L2111" s="8"/>
      <c r="O2111" s="10"/>
    </row>
    <row r="2112" ht="14.25" customHeight="1">
      <c r="A2112" s="1"/>
      <c r="B2112" s="2"/>
      <c r="C2112" s="2"/>
      <c r="D2112" s="2"/>
      <c r="E2112" s="3"/>
      <c r="F2112" s="4"/>
      <c r="G2112" s="4"/>
      <c r="H2112" s="14"/>
      <c r="I2112" s="4"/>
      <c r="J2112" s="6"/>
      <c r="K2112" s="7"/>
      <c r="L2112" s="8"/>
      <c r="O2112" s="10"/>
    </row>
    <row r="2113" ht="14.25" customHeight="1">
      <c r="A2113" s="1"/>
      <c r="B2113" s="2"/>
      <c r="C2113" s="2"/>
      <c r="D2113" s="2"/>
      <c r="E2113" s="3"/>
      <c r="F2113" s="4"/>
      <c r="G2113" s="4"/>
      <c r="H2113" s="14"/>
      <c r="I2113" s="4"/>
      <c r="J2113" s="6"/>
      <c r="K2113" s="7"/>
      <c r="L2113" s="8"/>
      <c r="O2113" s="10"/>
    </row>
    <row r="2114" ht="14.25" customHeight="1">
      <c r="A2114" s="1"/>
      <c r="B2114" s="2"/>
      <c r="C2114" s="2"/>
      <c r="D2114" s="2"/>
      <c r="E2114" s="3"/>
      <c r="F2114" s="4"/>
      <c r="G2114" s="4"/>
      <c r="H2114" s="14"/>
      <c r="I2114" s="4"/>
      <c r="J2114" s="6"/>
      <c r="K2114" s="7"/>
      <c r="L2114" s="8"/>
      <c r="O2114" s="10"/>
    </row>
    <row r="2115" ht="14.25" customHeight="1">
      <c r="A2115" s="1"/>
      <c r="B2115" s="2"/>
      <c r="C2115" s="2"/>
      <c r="D2115" s="2"/>
      <c r="E2115" s="3"/>
      <c r="F2115" s="4"/>
      <c r="G2115" s="4"/>
      <c r="H2115" s="14"/>
      <c r="I2115" s="4"/>
      <c r="J2115" s="6"/>
      <c r="K2115" s="7"/>
      <c r="L2115" s="8"/>
      <c r="O2115" s="10"/>
    </row>
    <row r="2116" ht="14.25" customHeight="1">
      <c r="A2116" s="1"/>
      <c r="B2116" s="2"/>
      <c r="C2116" s="2"/>
      <c r="D2116" s="2"/>
      <c r="E2116" s="3"/>
      <c r="F2116" s="4"/>
      <c r="G2116" s="4"/>
      <c r="H2116" s="14"/>
      <c r="I2116" s="4"/>
      <c r="J2116" s="6"/>
      <c r="K2116" s="7"/>
      <c r="L2116" s="8"/>
      <c r="O2116" s="10"/>
    </row>
    <row r="2117" ht="14.25" customHeight="1">
      <c r="A2117" s="1"/>
      <c r="B2117" s="2"/>
      <c r="C2117" s="2"/>
      <c r="D2117" s="2"/>
      <c r="E2117" s="3"/>
      <c r="F2117" s="4"/>
      <c r="G2117" s="4"/>
      <c r="H2117" s="14"/>
      <c r="I2117" s="4"/>
      <c r="J2117" s="6"/>
      <c r="K2117" s="7"/>
      <c r="L2117" s="8"/>
      <c r="O2117" s="10"/>
    </row>
    <row r="2118" ht="14.25" customHeight="1">
      <c r="A2118" s="1"/>
      <c r="B2118" s="2"/>
      <c r="C2118" s="2"/>
      <c r="D2118" s="2"/>
      <c r="E2118" s="3"/>
      <c r="F2118" s="4"/>
      <c r="G2118" s="4"/>
      <c r="H2118" s="14"/>
      <c r="I2118" s="4"/>
      <c r="J2118" s="6"/>
      <c r="K2118" s="7"/>
      <c r="L2118" s="8"/>
      <c r="O2118" s="10"/>
    </row>
    <row r="2119" ht="14.25" customHeight="1">
      <c r="A2119" s="1"/>
      <c r="B2119" s="2"/>
      <c r="C2119" s="2"/>
      <c r="D2119" s="2"/>
      <c r="E2119" s="3"/>
      <c r="F2119" s="4"/>
      <c r="G2119" s="4"/>
      <c r="H2119" s="14"/>
      <c r="I2119" s="4"/>
      <c r="J2119" s="6"/>
      <c r="K2119" s="7"/>
      <c r="L2119" s="8"/>
      <c r="O2119" s="10"/>
    </row>
    <row r="2120" ht="14.25" customHeight="1">
      <c r="A2120" s="1"/>
      <c r="B2120" s="2"/>
      <c r="C2120" s="2"/>
      <c r="D2120" s="2"/>
      <c r="E2120" s="3"/>
      <c r="F2120" s="4"/>
      <c r="G2120" s="4"/>
      <c r="H2120" s="4"/>
      <c r="I2120" s="4"/>
      <c r="J2120" s="6"/>
      <c r="K2120" s="7"/>
      <c r="L2120" s="8"/>
      <c r="O2120" s="10"/>
    </row>
    <row r="2121" ht="14.25" customHeight="1">
      <c r="A2121" s="1"/>
      <c r="B2121" s="2"/>
      <c r="C2121" s="2"/>
      <c r="D2121" s="2"/>
      <c r="E2121" s="3"/>
      <c r="F2121" s="4"/>
      <c r="G2121" s="4"/>
      <c r="H2121" s="4"/>
      <c r="I2121" s="4"/>
      <c r="J2121" s="6"/>
      <c r="K2121" s="7"/>
      <c r="L2121" s="8"/>
      <c r="O2121" s="10"/>
    </row>
    <row r="2122" ht="14.25" customHeight="1">
      <c r="A2122" s="1"/>
      <c r="B2122" s="2"/>
      <c r="C2122" s="2"/>
      <c r="D2122" s="2"/>
      <c r="E2122" s="3"/>
      <c r="F2122" s="4"/>
      <c r="G2122" s="4"/>
      <c r="H2122" s="4"/>
      <c r="I2122" s="4"/>
      <c r="J2122" s="6"/>
      <c r="K2122" s="7"/>
      <c r="L2122" s="8"/>
      <c r="O2122" s="10"/>
    </row>
    <row r="2123" ht="14.25" customHeight="1">
      <c r="A2123" s="1"/>
      <c r="B2123" s="2"/>
      <c r="C2123" s="2"/>
      <c r="D2123" s="2"/>
      <c r="E2123" s="3"/>
      <c r="F2123" s="4"/>
      <c r="G2123" s="4"/>
      <c r="H2123" s="14"/>
      <c r="I2123" s="4"/>
      <c r="J2123" s="6"/>
      <c r="K2123" s="7"/>
      <c r="L2123" s="8"/>
      <c r="O2123" s="10"/>
    </row>
    <row r="2124" ht="14.25" customHeight="1">
      <c r="A2124" s="1"/>
      <c r="B2124" s="2"/>
      <c r="C2124" s="2"/>
      <c r="D2124" s="2"/>
      <c r="E2124" s="3"/>
      <c r="F2124" s="4"/>
      <c r="G2124" s="4"/>
      <c r="H2124" s="14"/>
      <c r="I2124" s="4"/>
      <c r="J2124" s="6"/>
      <c r="K2124" s="7"/>
      <c r="L2124" s="8"/>
      <c r="O2124" s="10"/>
    </row>
    <row r="2125" ht="14.25" customHeight="1">
      <c r="A2125" s="1"/>
      <c r="B2125" s="2"/>
      <c r="C2125" s="2"/>
      <c r="D2125" s="2"/>
      <c r="E2125" s="3"/>
      <c r="F2125" s="4"/>
      <c r="G2125" s="4"/>
      <c r="H2125" s="14"/>
      <c r="I2125" s="4"/>
      <c r="J2125" s="6"/>
      <c r="K2125" s="7"/>
      <c r="L2125" s="8"/>
      <c r="O2125" s="10"/>
    </row>
    <row r="2126" ht="14.25" customHeight="1">
      <c r="A2126" s="1"/>
      <c r="B2126" s="2"/>
      <c r="C2126" s="2"/>
      <c r="D2126" s="2"/>
      <c r="E2126" s="3"/>
      <c r="F2126" s="4"/>
      <c r="G2126" s="4"/>
      <c r="H2126" s="14"/>
      <c r="I2126" s="4"/>
      <c r="J2126" s="6"/>
      <c r="K2126" s="7"/>
      <c r="L2126" s="8"/>
      <c r="O2126" s="10"/>
    </row>
    <row r="2127" ht="14.25" customHeight="1">
      <c r="A2127" s="1"/>
      <c r="B2127" s="2"/>
      <c r="C2127" s="2"/>
      <c r="D2127" s="2"/>
      <c r="E2127" s="3"/>
      <c r="F2127" s="4"/>
      <c r="G2127" s="4"/>
      <c r="H2127" s="14"/>
      <c r="I2127" s="4"/>
      <c r="J2127" s="6"/>
      <c r="K2127" s="7"/>
      <c r="L2127" s="8"/>
      <c r="O2127" s="10"/>
    </row>
    <row r="2128" ht="14.25" customHeight="1">
      <c r="A2128" s="1"/>
      <c r="B2128" s="2"/>
      <c r="C2128" s="2"/>
      <c r="D2128" s="2"/>
      <c r="E2128" s="3"/>
      <c r="F2128" s="4"/>
      <c r="G2128" s="4"/>
      <c r="H2128" s="14"/>
      <c r="I2128" s="4"/>
      <c r="J2128" s="6"/>
      <c r="K2128" s="7"/>
      <c r="L2128" s="8"/>
      <c r="O2128" s="10"/>
    </row>
    <row r="2129" ht="14.25" customHeight="1">
      <c r="A2129" s="1"/>
      <c r="B2129" s="2"/>
      <c r="C2129" s="2"/>
      <c r="D2129" s="2"/>
      <c r="E2129" s="3"/>
      <c r="F2129" s="4"/>
      <c r="G2129" s="4"/>
      <c r="H2129" s="14"/>
      <c r="I2129" s="4"/>
      <c r="J2129" s="6"/>
      <c r="K2129" s="7"/>
      <c r="L2129" s="8"/>
      <c r="O2129" s="10"/>
    </row>
    <row r="2130" ht="14.25" customHeight="1">
      <c r="A2130" s="1"/>
      <c r="B2130" s="2"/>
      <c r="C2130" s="2"/>
      <c r="D2130" s="2"/>
      <c r="E2130" s="3"/>
      <c r="F2130" s="4"/>
      <c r="G2130" s="4"/>
      <c r="H2130" s="14"/>
      <c r="I2130" s="4"/>
      <c r="J2130" s="6"/>
      <c r="K2130" s="7"/>
      <c r="L2130" s="8"/>
      <c r="O2130" s="10"/>
    </row>
    <row r="2131" ht="14.25" customHeight="1">
      <c r="A2131" s="1"/>
      <c r="B2131" s="2"/>
      <c r="C2131" s="2"/>
      <c r="D2131" s="2"/>
      <c r="E2131" s="3"/>
      <c r="F2131" s="4"/>
      <c r="G2131" s="4"/>
      <c r="H2131" s="14"/>
      <c r="I2131" s="4"/>
      <c r="J2131" s="6"/>
      <c r="K2131" s="7"/>
      <c r="L2131" s="8"/>
      <c r="O2131" s="10"/>
    </row>
    <row r="2132" ht="14.25" customHeight="1">
      <c r="A2132" s="1"/>
      <c r="B2132" s="2"/>
      <c r="C2132" s="2"/>
      <c r="D2132" s="2"/>
      <c r="E2132" s="3"/>
      <c r="F2132" s="4"/>
      <c r="G2132" s="4"/>
      <c r="H2132" s="14"/>
      <c r="I2132" s="4"/>
      <c r="J2132" s="6"/>
      <c r="K2132" s="7"/>
      <c r="L2132" s="8"/>
      <c r="O2132" s="10"/>
    </row>
    <row r="2133" ht="14.25" customHeight="1">
      <c r="A2133" s="1"/>
      <c r="B2133" s="2"/>
      <c r="C2133" s="2"/>
      <c r="D2133" s="2"/>
      <c r="E2133" s="3"/>
      <c r="F2133" s="4"/>
      <c r="G2133" s="4"/>
      <c r="H2133" s="14"/>
      <c r="I2133" s="4"/>
      <c r="J2133" s="6"/>
      <c r="K2133" s="7"/>
      <c r="L2133" s="8"/>
      <c r="O2133" s="10"/>
    </row>
    <row r="2134" ht="14.25" customHeight="1">
      <c r="A2134" s="1"/>
      <c r="B2134" s="2"/>
      <c r="C2134" s="2"/>
      <c r="D2134" s="2"/>
      <c r="E2134" s="3"/>
      <c r="F2134" s="4"/>
      <c r="G2134" s="4"/>
      <c r="H2134" s="14"/>
      <c r="I2134" s="4"/>
      <c r="J2134" s="6"/>
      <c r="K2134" s="7"/>
      <c r="L2134" s="8"/>
      <c r="O2134" s="10"/>
    </row>
    <row r="2135" ht="14.25" customHeight="1">
      <c r="A2135" s="1"/>
      <c r="B2135" s="2"/>
      <c r="C2135" s="2"/>
      <c r="D2135" s="2"/>
      <c r="E2135" s="3"/>
      <c r="F2135" s="4"/>
      <c r="G2135" s="4"/>
      <c r="H2135" s="14"/>
      <c r="I2135" s="4"/>
      <c r="J2135" s="6"/>
      <c r="K2135" s="7"/>
      <c r="L2135" s="8"/>
      <c r="O2135" s="10"/>
    </row>
    <row r="2136" ht="14.25" customHeight="1">
      <c r="A2136" s="1"/>
      <c r="B2136" s="2"/>
      <c r="C2136" s="2"/>
      <c r="D2136" s="2"/>
      <c r="E2136" s="3"/>
      <c r="F2136" s="4"/>
      <c r="G2136" s="4"/>
      <c r="H2136" s="14"/>
      <c r="I2136" s="4"/>
      <c r="J2136" s="6"/>
      <c r="K2136" s="7"/>
      <c r="L2136" s="8"/>
      <c r="O2136" s="10"/>
    </row>
    <row r="2137" ht="14.25" customHeight="1">
      <c r="A2137" s="1"/>
      <c r="B2137" s="2"/>
      <c r="C2137" s="2"/>
      <c r="D2137" s="2"/>
      <c r="E2137" s="3"/>
      <c r="F2137" s="4"/>
      <c r="G2137" s="4"/>
      <c r="H2137" s="14"/>
      <c r="I2137" s="4"/>
      <c r="J2137" s="6"/>
      <c r="K2137" s="7"/>
      <c r="L2137" s="8"/>
      <c r="O2137" s="10"/>
    </row>
    <row r="2138" ht="14.25" customHeight="1">
      <c r="A2138" s="1"/>
      <c r="B2138" s="2"/>
      <c r="C2138" s="2"/>
      <c r="D2138" s="2"/>
      <c r="E2138" s="3"/>
      <c r="F2138" s="4"/>
      <c r="G2138" s="4"/>
      <c r="H2138" s="14"/>
      <c r="I2138" s="4"/>
      <c r="J2138" s="6"/>
      <c r="K2138" s="7"/>
      <c r="L2138" s="8"/>
      <c r="O2138" s="10"/>
    </row>
    <row r="2139" ht="14.25" customHeight="1">
      <c r="A2139" s="1"/>
      <c r="B2139" s="2"/>
      <c r="C2139" s="2"/>
      <c r="D2139" s="2"/>
      <c r="E2139" s="3"/>
      <c r="F2139" s="4"/>
      <c r="G2139" s="4"/>
      <c r="H2139" s="4"/>
      <c r="I2139" s="4"/>
      <c r="J2139" s="6"/>
      <c r="K2139" s="7"/>
      <c r="L2139" s="8"/>
      <c r="O2139" s="10"/>
    </row>
    <row r="2140" ht="14.25" customHeight="1">
      <c r="A2140" s="1"/>
      <c r="B2140" s="2"/>
      <c r="C2140" s="2"/>
      <c r="D2140" s="2"/>
      <c r="E2140" s="3"/>
      <c r="F2140" s="4"/>
      <c r="G2140" s="4"/>
      <c r="H2140" s="14"/>
      <c r="I2140" s="4"/>
      <c r="J2140" s="6"/>
      <c r="K2140" s="7"/>
      <c r="L2140" s="8"/>
      <c r="O2140" s="10"/>
    </row>
    <row r="2141" ht="14.25" customHeight="1">
      <c r="A2141" s="1"/>
      <c r="B2141" s="2"/>
      <c r="C2141" s="2"/>
      <c r="D2141" s="2"/>
      <c r="E2141" s="3"/>
      <c r="F2141" s="4"/>
      <c r="G2141" s="4"/>
      <c r="H2141" s="4"/>
      <c r="I2141" s="4"/>
      <c r="J2141" s="6"/>
      <c r="K2141" s="7"/>
      <c r="L2141" s="8"/>
      <c r="O2141" s="10"/>
    </row>
    <row r="2142" ht="14.25" customHeight="1">
      <c r="A2142" s="1"/>
      <c r="B2142" s="2"/>
      <c r="C2142" s="2"/>
      <c r="D2142" s="2"/>
      <c r="E2142" s="3"/>
      <c r="F2142" s="4"/>
      <c r="G2142" s="4"/>
      <c r="H2142" s="4"/>
      <c r="I2142" s="4"/>
      <c r="J2142" s="6"/>
      <c r="K2142" s="7"/>
      <c r="L2142" s="8"/>
      <c r="O2142" s="10"/>
    </row>
    <row r="2143" ht="14.25" customHeight="1">
      <c r="A2143" s="1"/>
      <c r="B2143" s="2"/>
      <c r="C2143" s="2"/>
      <c r="D2143" s="2"/>
      <c r="E2143" s="3"/>
      <c r="F2143" s="4"/>
      <c r="G2143" s="4"/>
      <c r="H2143" s="14"/>
      <c r="I2143" s="4"/>
      <c r="J2143" s="6"/>
      <c r="K2143" s="7"/>
      <c r="L2143" s="8"/>
      <c r="O2143" s="10"/>
    </row>
    <row r="2144" ht="14.25" customHeight="1">
      <c r="A2144" s="1"/>
      <c r="B2144" s="2"/>
      <c r="C2144" s="2"/>
      <c r="D2144" s="2"/>
      <c r="E2144" s="3"/>
      <c r="F2144" s="4"/>
      <c r="G2144" s="4"/>
      <c r="H2144" s="4"/>
      <c r="I2144" s="4"/>
      <c r="J2144" s="6"/>
      <c r="K2144" s="7"/>
      <c r="L2144" s="8"/>
      <c r="O2144" s="10"/>
    </row>
    <row r="2145" ht="14.25" customHeight="1">
      <c r="A2145" s="1"/>
      <c r="B2145" s="2"/>
      <c r="C2145" s="2"/>
      <c r="D2145" s="2"/>
      <c r="E2145" s="3"/>
      <c r="F2145" s="4"/>
      <c r="G2145" s="4"/>
      <c r="H2145" s="14"/>
      <c r="I2145" s="4"/>
      <c r="J2145" s="6"/>
      <c r="K2145" s="7"/>
      <c r="L2145" s="8"/>
      <c r="O2145" s="10"/>
    </row>
    <row r="2146" ht="14.25" customHeight="1">
      <c r="A2146" s="1"/>
      <c r="B2146" s="2"/>
      <c r="C2146" s="2"/>
      <c r="D2146" s="2"/>
      <c r="E2146" s="3"/>
      <c r="F2146" s="4"/>
      <c r="G2146" s="4"/>
      <c r="H2146" s="14"/>
      <c r="I2146" s="4"/>
      <c r="J2146" s="6"/>
      <c r="K2146" s="7"/>
      <c r="L2146" s="8"/>
      <c r="O2146" s="10"/>
    </row>
    <row r="2147" ht="14.25" customHeight="1">
      <c r="A2147" s="1"/>
      <c r="B2147" s="2"/>
      <c r="C2147" s="2"/>
      <c r="D2147" s="2"/>
      <c r="E2147" s="3"/>
      <c r="F2147" s="4"/>
      <c r="G2147" s="4"/>
      <c r="H2147" s="14"/>
      <c r="I2147" s="4"/>
      <c r="J2147" s="6"/>
      <c r="K2147" s="7"/>
      <c r="L2147" s="8"/>
      <c r="O2147" s="10"/>
    </row>
    <row r="2148" ht="14.25" customHeight="1">
      <c r="A2148" s="1"/>
      <c r="B2148" s="2"/>
      <c r="C2148" s="2"/>
      <c r="D2148" s="2"/>
      <c r="E2148" s="3"/>
      <c r="F2148" s="4"/>
      <c r="G2148" s="4"/>
      <c r="H2148" s="4"/>
      <c r="I2148" s="4"/>
      <c r="J2148" s="6"/>
      <c r="K2148" s="7"/>
      <c r="L2148" s="8"/>
      <c r="O2148" s="10"/>
    </row>
    <row r="2149" ht="14.25" customHeight="1">
      <c r="A2149" s="1"/>
      <c r="B2149" s="2"/>
      <c r="C2149" s="2"/>
      <c r="D2149" s="2"/>
      <c r="E2149" s="3"/>
      <c r="F2149" s="4"/>
      <c r="G2149" s="4"/>
      <c r="H2149" s="14"/>
      <c r="I2149" s="4"/>
      <c r="J2149" s="6"/>
      <c r="K2149" s="7"/>
      <c r="L2149" s="8"/>
      <c r="O2149" s="10"/>
    </row>
    <row r="2150" ht="14.25" customHeight="1">
      <c r="A2150" s="1"/>
      <c r="B2150" s="2"/>
      <c r="C2150" s="2"/>
      <c r="D2150" s="2"/>
      <c r="E2150" s="3"/>
      <c r="F2150" s="4"/>
      <c r="G2150" s="4"/>
      <c r="H2150" s="14"/>
      <c r="I2150" s="4"/>
      <c r="J2150" s="6"/>
      <c r="K2150" s="7"/>
      <c r="L2150" s="8"/>
      <c r="O2150" s="10"/>
    </row>
    <row r="2151" ht="14.25" customHeight="1">
      <c r="A2151" s="1"/>
      <c r="B2151" s="2"/>
      <c r="C2151" s="2"/>
      <c r="D2151" s="2"/>
      <c r="E2151" s="3"/>
      <c r="F2151" s="4"/>
      <c r="G2151" s="4"/>
      <c r="H2151" s="14"/>
      <c r="I2151" s="4"/>
      <c r="J2151" s="6"/>
      <c r="K2151" s="7"/>
      <c r="L2151" s="8"/>
      <c r="O2151" s="10"/>
    </row>
    <row r="2152" ht="14.25" customHeight="1">
      <c r="A2152" s="1"/>
      <c r="B2152" s="2"/>
      <c r="C2152" s="2"/>
      <c r="D2152" s="2"/>
      <c r="E2152" s="3"/>
      <c r="F2152" s="4"/>
      <c r="G2152" s="4"/>
      <c r="H2152" s="4"/>
      <c r="I2152" s="4"/>
      <c r="J2152" s="6"/>
      <c r="K2152" s="7"/>
      <c r="L2152" s="8"/>
      <c r="O2152" s="10"/>
    </row>
    <row r="2153" ht="14.25" customHeight="1">
      <c r="A2153" s="1"/>
      <c r="B2153" s="2"/>
      <c r="C2153" s="2"/>
      <c r="D2153" s="2"/>
      <c r="E2153" s="3"/>
      <c r="F2153" s="4"/>
      <c r="G2153" s="4"/>
      <c r="H2153" s="14"/>
      <c r="I2153" s="4"/>
      <c r="J2153" s="6"/>
      <c r="K2153" s="7"/>
      <c r="L2153" s="8"/>
      <c r="O2153" s="10"/>
    </row>
    <row r="2154" ht="14.25" customHeight="1">
      <c r="A2154" s="1"/>
      <c r="B2154" s="2"/>
      <c r="C2154" s="2"/>
      <c r="D2154" s="2"/>
      <c r="E2154" s="3"/>
      <c r="F2154" s="4"/>
      <c r="G2154" s="4"/>
      <c r="H2154" s="4"/>
      <c r="I2154" s="4"/>
      <c r="J2154" s="6"/>
      <c r="K2154" s="7"/>
      <c r="L2154" s="8"/>
      <c r="O2154" s="10"/>
    </row>
    <row r="2155" ht="14.25" customHeight="1">
      <c r="A2155" s="1"/>
      <c r="B2155" s="2"/>
      <c r="C2155" s="2"/>
      <c r="D2155" s="2"/>
      <c r="E2155" s="3"/>
      <c r="F2155" s="4"/>
      <c r="G2155" s="4"/>
      <c r="H2155" s="14"/>
      <c r="I2155" s="4"/>
      <c r="J2155" s="6"/>
      <c r="K2155" s="7"/>
      <c r="L2155" s="8"/>
      <c r="O2155" s="10"/>
    </row>
    <row r="2156" ht="14.25" customHeight="1">
      <c r="A2156" s="1"/>
      <c r="B2156" s="2"/>
      <c r="C2156" s="2"/>
      <c r="D2156" s="2"/>
      <c r="E2156" s="3"/>
      <c r="F2156" s="4"/>
      <c r="G2156" s="4"/>
      <c r="H2156" s="14"/>
      <c r="I2156" s="4"/>
      <c r="J2156" s="6"/>
      <c r="K2156" s="7"/>
      <c r="L2156" s="8"/>
      <c r="O2156" s="10"/>
    </row>
    <row r="2157" ht="14.25" customHeight="1">
      <c r="A2157" s="1"/>
      <c r="B2157" s="2"/>
      <c r="C2157" s="2"/>
      <c r="D2157" s="2"/>
      <c r="E2157" s="3"/>
      <c r="F2157" s="4"/>
      <c r="G2157" s="4"/>
      <c r="H2157" s="14"/>
      <c r="I2157" s="4"/>
      <c r="J2157" s="6"/>
      <c r="K2157" s="7"/>
      <c r="L2157" s="8"/>
      <c r="O2157" s="10"/>
    </row>
    <row r="2158" ht="14.25" customHeight="1">
      <c r="A2158" s="1"/>
      <c r="B2158" s="2"/>
      <c r="C2158" s="2"/>
      <c r="D2158" s="2"/>
      <c r="E2158" s="3"/>
      <c r="F2158" s="4"/>
      <c r="G2158" s="4"/>
      <c r="H2158" s="14"/>
      <c r="I2158" s="4"/>
      <c r="J2158" s="6"/>
      <c r="K2158" s="7"/>
      <c r="L2158" s="8"/>
      <c r="O2158" s="10"/>
    </row>
    <row r="2159" ht="14.25" customHeight="1">
      <c r="A2159" s="1"/>
      <c r="B2159" s="2"/>
      <c r="C2159" s="2"/>
      <c r="D2159" s="2"/>
      <c r="E2159" s="3"/>
      <c r="F2159" s="4"/>
      <c r="G2159" s="4"/>
      <c r="H2159" s="14"/>
      <c r="I2159" s="4"/>
      <c r="J2159" s="6"/>
      <c r="K2159" s="7"/>
      <c r="L2159" s="8"/>
      <c r="O2159" s="10"/>
    </row>
    <row r="2160" ht="14.25" customHeight="1">
      <c r="A2160" s="1"/>
      <c r="B2160" s="2"/>
      <c r="C2160" s="2"/>
      <c r="D2160" s="2"/>
      <c r="E2160" s="3"/>
      <c r="F2160" s="4"/>
      <c r="G2160" s="4"/>
      <c r="H2160" s="4"/>
      <c r="I2160" s="4"/>
      <c r="J2160" s="6"/>
      <c r="K2160" s="7"/>
      <c r="L2160" s="8"/>
      <c r="O2160" s="10"/>
    </row>
    <row r="2161" ht="14.25" customHeight="1">
      <c r="A2161" s="1"/>
      <c r="B2161" s="2"/>
      <c r="C2161" s="2"/>
      <c r="D2161" s="2"/>
      <c r="E2161" s="3"/>
      <c r="F2161" s="4"/>
      <c r="G2161" s="4"/>
      <c r="H2161" s="14"/>
      <c r="I2161" s="4"/>
      <c r="J2161" s="6"/>
      <c r="K2161" s="7"/>
      <c r="L2161" s="8"/>
      <c r="O2161" s="10"/>
    </row>
    <row r="2162" ht="14.25" customHeight="1">
      <c r="A2162" s="1"/>
      <c r="B2162" s="2"/>
      <c r="C2162" s="2"/>
      <c r="D2162" s="2"/>
      <c r="E2162" s="3"/>
      <c r="F2162" s="4"/>
      <c r="G2162" s="4"/>
      <c r="H2162" s="14"/>
      <c r="I2162" s="4"/>
      <c r="J2162" s="6"/>
      <c r="K2162" s="7"/>
      <c r="L2162" s="8"/>
      <c r="O2162" s="10"/>
    </row>
    <row r="2163" ht="14.25" customHeight="1">
      <c r="A2163" s="1"/>
      <c r="B2163" s="2"/>
      <c r="C2163" s="2"/>
      <c r="D2163" s="2"/>
      <c r="E2163" s="3"/>
      <c r="F2163" s="4"/>
      <c r="G2163" s="4"/>
      <c r="H2163" s="14"/>
      <c r="I2163" s="4"/>
      <c r="J2163" s="6"/>
      <c r="K2163" s="7"/>
      <c r="L2163" s="8"/>
      <c r="O2163" s="10"/>
    </row>
    <row r="2164" ht="14.25" customHeight="1">
      <c r="A2164" s="1"/>
      <c r="B2164" s="2"/>
      <c r="C2164" s="2"/>
      <c r="D2164" s="2"/>
      <c r="E2164" s="3"/>
      <c r="F2164" s="4"/>
      <c r="G2164" s="4"/>
      <c r="H2164" s="14"/>
      <c r="I2164" s="4"/>
      <c r="J2164" s="6"/>
      <c r="K2164" s="7"/>
      <c r="L2164" s="8"/>
      <c r="O2164" s="10"/>
    </row>
    <row r="2165" ht="14.25" customHeight="1">
      <c r="A2165" s="1"/>
      <c r="B2165" s="2"/>
      <c r="C2165" s="2"/>
      <c r="D2165" s="2"/>
      <c r="E2165" s="3"/>
      <c r="F2165" s="4"/>
      <c r="G2165" s="4"/>
      <c r="H2165" s="4"/>
      <c r="I2165" s="4"/>
      <c r="J2165" s="6"/>
      <c r="K2165" s="7"/>
      <c r="L2165" s="8"/>
      <c r="O2165" s="10"/>
    </row>
    <row r="2166" ht="14.25" customHeight="1">
      <c r="A2166" s="1"/>
      <c r="B2166" s="2"/>
      <c r="C2166" s="2"/>
      <c r="D2166" s="2"/>
      <c r="E2166" s="3"/>
      <c r="F2166" s="4"/>
      <c r="G2166" s="4"/>
      <c r="H2166" s="4"/>
      <c r="I2166" s="4"/>
      <c r="J2166" s="6"/>
      <c r="K2166" s="7"/>
      <c r="L2166" s="8"/>
      <c r="O2166" s="10"/>
    </row>
    <row r="2167" ht="14.25" customHeight="1">
      <c r="A2167" s="1"/>
      <c r="B2167" s="2"/>
      <c r="C2167" s="2"/>
      <c r="D2167" s="2"/>
      <c r="E2167" s="3"/>
      <c r="F2167" s="4"/>
      <c r="G2167" s="4"/>
      <c r="H2167" s="4"/>
      <c r="I2167" s="4"/>
      <c r="J2167" s="6"/>
      <c r="K2167" s="7"/>
      <c r="L2167" s="8"/>
      <c r="O2167" s="10"/>
    </row>
    <row r="2168" ht="14.25" customHeight="1">
      <c r="A2168" s="1"/>
      <c r="B2168" s="2"/>
      <c r="C2168" s="2"/>
      <c r="D2168" s="2"/>
      <c r="E2168" s="3"/>
      <c r="F2168" s="4"/>
      <c r="G2168" s="4"/>
      <c r="H2168" s="14"/>
      <c r="I2168" s="4"/>
      <c r="J2168" s="6"/>
      <c r="K2168" s="7"/>
      <c r="L2168" s="8"/>
      <c r="O2168" s="10"/>
    </row>
    <row r="2169" ht="14.25" customHeight="1">
      <c r="A2169" s="1"/>
      <c r="B2169" s="2"/>
      <c r="C2169" s="2"/>
      <c r="D2169" s="2"/>
      <c r="E2169" s="3"/>
      <c r="F2169" s="4"/>
      <c r="G2169" s="4"/>
      <c r="H2169" s="14"/>
      <c r="I2169" s="4"/>
      <c r="J2169" s="6"/>
      <c r="K2169" s="7"/>
      <c r="L2169" s="8"/>
      <c r="O2169" s="10"/>
    </row>
    <row r="2170" ht="14.25" customHeight="1">
      <c r="A2170" s="1"/>
      <c r="B2170" s="2"/>
      <c r="C2170" s="2"/>
      <c r="D2170" s="2"/>
      <c r="E2170" s="3"/>
      <c r="F2170" s="4"/>
      <c r="G2170" s="4"/>
      <c r="H2170" s="4"/>
      <c r="I2170" s="4"/>
      <c r="J2170" s="6"/>
      <c r="K2170" s="7"/>
      <c r="L2170" s="8"/>
      <c r="O2170" s="10"/>
    </row>
    <row r="2171" ht="14.25" customHeight="1">
      <c r="A2171" s="1"/>
      <c r="B2171" s="2"/>
      <c r="C2171" s="2"/>
      <c r="D2171" s="2"/>
      <c r="E2171" s="3"/>
      <c r="F2171" s="4"/>
      <c r="G2171" s="4"/>
      <c r="H2171" s="4"/>
      <c r="I2171" s="4"/>
      <c r="J2171" s="6"/>
      <c r="K2171" s="7"/>
      <c r="L2171" s="8"/>
      <c r="O2171" s="10"/>
    </row>
    <row r="2172" ht="14.25" customHeight="1">
      <c r="A2172" s="1"/>
      <c r="B2172" s="2"/>
      <c r="C2172" s="2"/>
      <c r="D2172" s="2"/>
      <c r="E2172" s="3"/>
      <c r="F2172" s="4"/>
      <c r="G2172" s="4"/>
      <c r="H2172" s="14"/>
      <c r="I2172" s="4"/>
      <c r="J2172" s="6"/>
      <c r="K2172" s="7"/>
      <c r="L2172" s="8"/>
      <c r="O2172" s="10"/>
    </row>
    <row r="2173" ht="14.25" customHeight="1">
      <c r="A2173" s="1"/>
      <c r="B2173" s="2"/>
      <c r="C2173" s="2"/>
      <c r="D2173" s="2"/>
      <c r="E2173" s="3"/>
      <c r="F2173" s="4"/>
      <c r="G2173" s="4"/>
      <c r="H2173" s="14"/>
      <c r="I2173" s="4"/>
      <c r="J2173" s="6"/>
      <c r="K2173" s="7"/>
      <c r="L2173" s="8"/>
      <c r="O2173" s="10"/>
    </row>
    <row r="2174" ht="14.25" customHeight="1">
      <c r="A2174" s="1"/>
      <c r="B2174" s="2"/>
      <c r="C2174" s="2"/>
      <c r="D2174" s="2"/>
      <c r="E2174" s="3"/>
      <c r="F2174" s="4"/>
      <c r="G2174" s="4"/>
      <c r="H2174" s="14"/>
      <c r="I2174" s="4"/>
      <c r="J2174" s="6"/>
      <c r="K2174" s="7"/>
      <c r="L2174" s="8"/>
      <c r="O2174" s="10"/>
    </row>
    <row r="2175" ht="14.25" customHeight="1">
      <c r="A2175" s="1"/>
      <c r="B2175" s="2"/>
      <c r="C2175" s="2"/>
      <c r="D2175" s="2"/>
      <c r="E2175" s="3"/>
      <c r="F2175" s="4"/>
      <c r="G2175" s="4"/>
      <c r="H2175" s="14"/>
      <c r="I2175" s="4"/>
      <c r="J2175" s="6"/>
      <c r="K2175" s="7"/>
      <c r="L2175" s="8"/>
      <c r="O2175" s="10"/>
    </row>
    <row r="2176" ht="14.25" customHeight="1">
      <c r="A2176" s="1"/>
      <c r="B2176" s="2"/>
      <c r="C2176" s="2"/>
      <c r="D2176" s="2"/>
      <c r="E2176" s="3"/>
      <c r="F2176" s="4"/>
      <c r="G2176" s="4"/>
      <c r="H2176" s="14"/>
      <c r="I2176" s="4"/>
      <c r="J2176" s="6"/>
      <c r="K2176" s="7"/>
      <c r="L2176" s="8"/>
      <c r="O2176" s="10"/>
    </row>
    <row r="2177" ht="14.25" customHeight="1">
      <c r="A2177" s="1"/>
      <c r="B2177" s="2"/>
      <c r="C2177" s="2"/>
      <c r="D2177" s="2"/>
      <c r="E2177" s="3"/>
      <c r="F2177" s="4"/>
      <c r="G2177" s="4"/>
      <c r="H2177" s="14"/>
      <c r="I2177" s="4"/>
      <c r="J2177" s="6"/>
      <c r="K2177" s="7"/>
      <c r="L2177" s="8"/>
      <c r="O2177" s="10"/>
    </row>
    <row r="2178" ht="14.25" customHeight="1">
      <c r="A2178" s="1"/>
      <c r="B2178" s="2"/>
      <c r="C2178" s="2"/>
      <c r="D2178" s="2"/>
      <c r="E2178" s="3"/>
      <c r="F2178" s="4"/>
      <c r="G2178" s="4"/>
      <c r="H2178" s="14"/>
      <c r="I2178" s="4"/>
      <c r="J2178" s="6"/>
      <c r="K2178" s="7"/>
      <c r="L2178" s="8"/>
      <c r="O2178" s="10"/>
    </row>
    <row r="2179" ht="14.25" customHeight="1">
      <c r="A2179" s="1"/>
      <c r="B2179" s="2"/>
      <c r="C2179" s="2"/>
      <c r="D2179" s="2"/>
      <c r="E2179" s="3"/>
      <c r="F2179" s="4"/>
      <c r="G2179" s="4"/>
      <c r="H2179" s="14"/>
      <c r="I2179" s="4"/>
      <c r="J2179" s="6"/>
      <c r="K2179" s="7"/>
      <c r="L2179" s="8"/>
      <c r="O2179" s="10"/>
    </row>
    <row r="2180" ht="14.25" customHeight="1">
      <c r="A2180" s="1"/>
      <c r="B2180" s="2"/>
      <c r="C2180" s="2"/>
      <c r="D2180" s="2"/>
      <c r="E2180" s="3"/>
      <c r="F2180" s="4"/>
      <c r="G2180" s="4"/>
      <c r="H2180" s="14"/>
      <c r="I2180" s="4"/>
      <c r="J2180" s="6"/>
      <c r="K2180" s="7"/>
      <c r="L2180" s="8"/>
      <c r="O2180" s="10"/>
    </row>
    <row r="2181" ht="14.25" customHeight="1">
      <c r="A2181" s="1"/>
      <c r="B2181" s="2"/>
      <c r="C2181" s="2"/>
      <c r="D2181" s="2"/>
      <c r="E2181" s="3"/>
      <c r="F2181" s="4"/>
      <c r="G2181" s="4"/>
      <c r="H2181" s="14"/>
      <c r="I2181" s="4"/>
      <c r="J2181" s="6"/>
      <c r="K2181" s="7"/>
      <c r="L2181" s="8"/>
      <c r="O2181" s="10"/>
    </row>
    <row r="2182" ht="14.25" customHeight="1">
      <c r="A2182" s="1"/>
      <c r="B2182" s="2"/>
      <c r="C2182" s="2"/>
      <c r="D2182" s="2"/>
      <c r="E2182" s="3"/>
      <c r="F2182" s="4"/>
      <c r="G2182" s="4"/>
      <c r="H2182" s="14"/>
      <c r="I2182" s="4"/>
      <c r="J2182" s="6"/>
      <c r="K2182" s="7"/>
      <c r="L2182" s="8"/>
      <c r="O2182" s="10"/>
    </row>
    <row r="2183" ht="14.25" customHeight="1">
      <c r="A2183" s="1"/>
      <c r="B2183" s="2"/>
      <c r="C2183" s="2"/>
      <c r="D2183" s="2"/>
      <c r="E2183" s="3"/>
      <c r="F2183" s="4"/>
      <c r="G2183" s="4"/>
      <c r="H2183" s="14"/>
      <c r="I2183" s="4"/>
      <c r="J2183" s="6"/>
      <c r="K2183" s="7"/>
      <c r="L2183" s="8"/>
      <c r="O2183" s="10"/>
    </row>
    <row r="2184" ht="14.25" customHeight="1">
      <c r="A2184" s="1"/>
      <c r="B2184" s="2"/>
      <c r="C2184" s="2"/>
      <c r="D2184" s="2"/>
      <c r="E2184" s="3"/>
      <c r="F2184" s="4"/>
      <c r="G2184" s="4"/>
      <c r="H2184" s="14"/>
      <c r="I2184" s="4"/>
      <c r="J2184" s="6"/>
      <c r="K2184" s="7"/>
      <c r="L2184" s="8"/>
      <c r="O2184" s="10"/>
    </row>
    <row r="2185" ht="14.25" customHeight="1">
      <c r="A2185" s="1"/>
      <c r="B2185" s="2"/>
      <c r="C2185" s="2"/>
      <c r="D2185" s="2"/>
      <c r="E2185" s="3"/>
      <c r="F2185" s="4"/>
      <c r="G2185" s="4"/>
      <c r="H2185" s="14"/>
      <c r="I2185" s="4"/>
      <c r="J2185" s="6"/>
      <c r="K2185" s="7"/>
      <c r="L2185" s="8"/>
      <c r="O2185" s="10"/>
    </row>
    <row r="2186" ht="14.25" customHeight="1">
      <c r="A2186" s="1"/>
      <c r="B2186" s="2"/>
      <c r="C2186" s="2"/>
      <c r="D2186" s="2"/>
      <c r="E2186" s="3"/>
      <c r="F2186" s="4"/>
      <c r="G2186" s="4"/>
      <c r="H2186" s="4"/>
      <c r="I2186" s="4"/>
      <c r="J2186" s="6"/>
      <c r="K2186" s="7"/>
      <c r="L2186" s="8"/>
      <c r="O2186" s="10"/>
    </row>
    <row r="2187" ht="14.25" customHeight="1">
      <c r="A2187" s="1"/>
      <c r="B2187" s="2"/>
      <c r="C2187" s="2"/>
      <c r="D2187" s="2"/>
      <c r="E2187" s="3"/>
      <c r="F2187" s="4"/>
      <c r="G2187" s="4"/>
      <c r="H2187" s="4"/>
      <c r="I2187" s="4"/>
      <c r="J2187" s="6"/>
      <c r="K2187" s="7"/>
      <c r="L2187" s="8"/>
      <c r="O2187" s="10"/>
    </row>
    <row r="2188" ht="14.25" customHeight="1">
      <c r="A2188" s="1"/>
      <c r="B2188" s="2"/>
      <c r="C2188" s="2"/>
      <c r="D2188" s="2"/>
      <c r="E2188" s="3"/>
      <c r="F2188" s="4"/>
      <c r="G2188" s="4"/>
      <c r="H2188" s="14"/>
      <c r="I2188" s="4"/>
      <c r="J2188" s="6"/>
      <c r="K2188" s="7"/>
      <c r="L2188" s="8"/>
      <c r="O2188" s="10"/>
    </row>
    <row r="2189" ht="14.25" customHeight="1">
      <c r="A2189" s="1"/>
      <c r="B2189" s="2"/>
      <c r="C2189" s="2"/>
      <c r="D2189" s="2"/>
      <c r="E2189" s="3"/>
      <c r="F2189" s="4"/>
      <c r="G2189" s="4"/>
      <c r="H2189" s="4"/>
      <c r="I2189" s="4"/>
      <c r="J2189" s="6"/>
      <c r="K2189" s="7"/>
      <c r="L2189" s="8"/>
      <c r="O2189" s="10"/>
    </row>
    <row r="2190" ht="14.25" customHeight="1">
      <c r="A2190" s="1"/>
      <c r="B2190" s="2"/>
      <c r="C2190" s="2"/>
      <c r="D2190" s="2"/>
      <c r="E2190" s="3"/>
      <c r="F2190" s="4"/>
      <c r="G2190" s="4"/>
      <c r="H2190" s="14"/>
      <c r="I2190" s="4"/>
      <c r="J2190" s="6"/>
      <c r="K2190" s="7"/>
      <c r="L2190" s="8"/>
      <c r="O2190" s="10"/>
    </row>
    <row r="2191" ht="14.25" customHeight="1">
      <c r="A2191" s="1"/>
      <c r="B2191" s="2"/>
      <c r="C2191" s="2"/>
      <c r="D2191" s="2"/>
      <c r="E2191" s="3"/>
      <c r="F2191" s="4"/>
      <c r="G2191" s="4"/>
      <c r="H2191" s="4"/>
      <c r="I2191" s="4"/>
      <c r="J2191" s="6"/>
      <c r="K2191" s="7"/>
      <c r="L2191" s="8"/>
      <c r="O2191" s="10"/>
    </row>
    <row r="2192" ht="14.25" customHeight="1">
      <c r="A2192" s="1"/>
      <c r="B2192" s="2"/>
      <c r="C2192" s="2"/>
      <c r="D2192" s="2"/>
      <c r="E2192" s="3"/>
      <c r="F2192" s="4"/>
      <c r="G2192" s="4"/>
      <c r="H2192" s="14"/>
      <c r="I2192" s="4"/>
      <c r="J2192" s="6"/>
      <c r="K2192" s="7"/>
      <c r="L2192" s="8"/>
      <c r="O2192" s="10"/>
    </row>
    <row r="2193" ht="14.25" customHeight="1">
      <c r="A2193" s="1"/>
      <c r="B2193" s="2"/>
      <c r="C2193" s="2"/>
      <c r="D2193" s="2"/>
      <c r="E2193" s="3"/>
      <c r="F2193" s="4"/>
      <c r="G2193" s="4"/>
      <c r="H2193" s="14"/>
      <c r="I2193" s="4"/>
      <c r="J2193" s="6"/>
      <c r="K2193" s="7"/>
      <c r="L2193" s="8"/>
      <c r="O2193" s="10"/>
    </row>
    <row r="2194" ht="14.25" customHeight="1">
      <c r="A2194" s="1"/>
      <c r="B2194" s="2"/>
      <c r="C2194" s="2"/>
      <c r="D2194" s="2"/>
      <c r="E2194" s="3"/>
      <c r="F2194" s="4"/>
      <c r="G2194" s="4"/>
      <c r="H2194" s="14"/>
      <c r="I2194" s="4"/>
      <c r="J2194" s="6"/>
      <c r="K2194" s="7"/>
      <c r="L2194" s="8"/>
      <c r="O2194" s="10"/>
    </row>
    <row r="2195" ht="14.25" customHeight="1">
      <c r="A2195" s="1"/>
      <c r="B2195" s="2"/>
      <c r="C2195" s="2"/>
      <c r="D2195" s="2"/>
      <c r="E2195" s="3"/>
      <c r="F2195" s="4"/>
      <c r="G2195" s="4"/>
      <c r="H2195" s="14"/>
      <c r="I2195" s="4"/>
      <c r="J2195" s="6"/>
      <c r="K2195" s="7"/>
      <c r="L2195" s="8"/>
      <c r="O2195" s="10"/>
    </row>
    <row r="2196" ht="14.25" customHeight="1">
      <c r="A2196" s="1"/>
      <c r="B2196" s="2"/>
      <c r="C2196" s="2"/>
      <c r="D2196" s="2"/>
      <c r="E2196" s="3"/>
      <c r="F2196" s="4"/>
      <c r="G2196" s="4"/>
      <c r="H2196" s="14"/>
      <c r="I2196" s="4"/>
      <c r="J2196" s="6"/>
      <c r="K2196" s="7"/>
      <c r="L2196" s="8"/>
      <c r="O2196" s="10"/>
    </row>
    <row r="2197" ht="14.25" customHeight="1">
      <c r="A2197" s="1"/>
      <c r="B2197" s="2"/>
      <c r="C2197" s="2"/>
      <c r="D2197" s="2"/>
      <c r="E2197" s="3"/>
      <c r="F2197" s="4"/>
      <c r="G2197" s="4"/>
      <c r="H2197" s="4"/>
      <c r="I2197" s="4"/>
      <c r="J2197" s="6"/>
      <c r="K2197" s="7"/>
      <c r="L2197" s="8"/>
      <c r="O2197" s="10"/>
    </row>
    <row r="2198" ht="14.25" customHeight="1">
      <c r="A2198" s="1"/>
      <c r="B2198" s="2"/>
      <c r="C2198" s="2"/>
      <c r="D2198" s="2"/>
      <c r="E2198" s="3"/>
      <c r="F2198" s="4"/>
      <c r="G2198" s="4"/>
      <c r="H2198" s="14"/>
      <c r="I2198" s="4"/>
      <c r="J2198" s="6"/>
      <c r="K2198" s="7"/>
      <c r="L2198" s="8"/>
      <c r="O2198" s="10"/>
    </row>
    <row r="2199" ht="14.25" customHeight="1">
      <c r="A2199" s="1"/>
      <c r="B2199" s="2"/>
      <c r="C2199" s="2"/>
      <c r="D2199" s="2"/>
      <c r="E2199" s="3"/>
      <c r="F2199" s="4"/>
      <c r="G2199" s="4"/>
      <c r="H2199" s="14"/>
      <c r="I2199" s="4"/>
      <c r="J2199" s="6"/>
      <c r="K2199" s="7"/>
      <c r="L2199" s="8"/>
      <c r="O2199" s="10"/>
    </row>
    <row r="2200" ht="14.25" customHeight="1">
      <c r="A2200" s="1"/>
      <c r="B2200" s="2"/>
      <c r="C2200" s="2"/>
      <c r="D2200" s="2"/>
      <c r="E2200" s="3"/>
      <c r="F2200" s="4"/>
      <c r="G2200" s="4"/>
      <c r="H2200" s="14"/>
      <c r="I2200" s="4"/>
      <c r="J2200" s="6"/>
      <c r="K2200" s="7"/>
      <c r="L2200" s="8"/>
      <c r="O2200" s="10"/>
    </row>
    <row r="2201" ht="14.25" customHeight="1">
      <c r="A2201" s="1"/>
      <c r="B2201" s="2"/>
      <c r="C2201" s="2"/>
      <c r="D2201" s="2"/>
      <c r="E2201" s="3"/>
      <c r="F2201" s="4"/>
      <c r="G2201" s="4"/>
      <c r="H2201" s="14"/>
      <c r="I2201" s="4"/>
      <c r="J2201" s="6"/>
      <c r="K2201" s="7"/>
      <c r="L2201" s="8"/>
      <c r="O2201" s="10"/>
    </row>
    <row r="2202" ht="14.25" customHeight="1">
      <c r="A2202" s="1"/>
      <c r="B2202" s="2"/>
      <c r="C2202" s="2"/>
      <c r="D2202" s="2"/>
      <c r="E2202" s="3"/>
      <c r="F2202" s="4"/>
      <c r="G2202" s="4"/>
      <c r="H2202" s="4"/>
      <c r="I2202" s="4"/>
      <c r="J2202" s="6"/>
      <c r="K2202" s="7"/>
      <c r="L2202" s="8"/>
      <c r="O2202" s="10"/>
    </row>
    <row r="2203" ht="14.25" customHeight="1">
      <c r="A2203" s="1"/>
      <c r="B2203" s="2"/>
      <c r="C2203" s="2"/>
      <c r="D2203" s="2"/>
      <c r="E2203" s="3"/>
      <c r="F2203" s="4"/>
      <c r="G2203" s="4"/>
      <c r="H2203" s="14"/>
      <c r="I2203" s="4"/>
      <c r="J2203" s="6"/>
      <c r="K2203" s="7"/>
      <c r="L2203" s="8"/>
      <c r="O2203" s="10"/>
    </row>
    <row r="2204" ht="14.25" customHeight="1">
      <c r="A2204" s="1"/>
      <c r="B2204" s="2"/>
      <c r="C2204" s="2"/>
      <c r="D2204" s="2"/>
      <c r="E2204" s="3"/>
      <c r="F2204" s="4"/>
      <c r="G2204" s="4"/>
      <c r="H2204" s="14"/>
      <c r="I2204" s="4"/>
      <c r="J2204" s="6"/>
      <c r="K2204" s="7"/>
      <c r="L2204" s="8"/>
      <c r="O2204" s="10"/>
    </row>
    <row r="2205" ht="14.25" customHeight="1">
      <c r="A2205" s="1"/>
      <c r="B2205" s="2"/>
      <c r="C2205" s="2"/>
      <c r="D2205" s="2"/>
      <c r="E2205" s="3"/>
      <c r="F2205" s="4"/>
      <c r="G2205" s="4"/>
      <c r="H2205" s="14"/>
      <c r="I2205" s="4"/>
      <c r="J2205" s="6"/>
      <c r="K2205" s="7"/>
      <c r="L2205" s="8"/>
      <c r="O2205" s="10"/>
    </row>
    <row r="2206" ht="14.25" customHeight="1">
      <c r="A2206" s="1"/>
      <c r="B2206" s="2"/>
      <c r="C2206" s="2"/>
      <c r="D2206" s="2"/>
      <c r="E2206" s="3"/>
      <c r="F2206" s="4"/>
      <c r="G2206" s="4"/>
      <c r="H2206" s="4"/>
      <c r="I2206" s="4"/>
      <c r="J2206" s="6"/>
      <c r="K2206" s="7"/>
      <c r="L2206" s="8"/>
      <c r="O2206" s="10"/>
    </row>
    <row r="2207" ht="14.25" customHeight="1">
      <c r="A2207" s="1"/>
      <c r="B2207" s="2"/>
      <c r="C2207" s="2"/>
      <c r="D2207" s="2"/>
      <c r="E2207" s="3"/>
      <c r="F2207" s="4"/>
      <c r="G2207" s="4"/>
      <c r="H2207" s="4"/>
      <c r="I2207" s="4"/>
      <c r="J2207" s="6"/>
      <c r="K2207" s="7"/>
      <c r="L2207" s="8"/>
      <c r="O2207" s="10"/>
    </row>
    <row r="2208" ht="14.25" customHeight="1">
      <c r="A2208" s="1"/>
      <c r="B2208" s="2"/>
      <c r="C2208" s="2"/>
      <c r="D2208" s="2"/>
      <c r="E2208" s="3"/>
      <c r="F2208" s="4"/>
      <c r="G2208" s="4"/>
      <c r="H2208" s="14"/>
      <c r="I2208" s="4"/>
      <c r="J2208" s="6"/>
      <c r="K2208" s="7"/>
      <c r="L2208" s="8"/>
      <c r="O2208" s="10"/>
    </row>
    <row r="2209" ht="14.25" customHeight="1">
      <c r="A2209" s="1"/>
      <c r="B2209" s="2"/>
      <c r="C2209" s="2"/>
      <c r="D2209" s="2"/>
      <c r="E2209" s="3"/>
      <c r="F2209" s="4"/>
      <c r="G2209" s="4"/>
      <c r="H2209" s="14"/>
      <c r="I2209" s="4"/>
      <c r="J2209" s="6"/>
      <c r="K2209" s="7"/>
      <c r="L2209" s="8"/>
      <c r="O2209" s="10"/>
    </row>
    <row r="2210" ht="14.25" customHeight="1">
      <c r="A2210" s="1"/>
      <c r="B2210" s="2"/>
      <c r="C2210" s="2"/>
      <c r="D2210" s="2"/>
      <c r="E2210" s="3"/>
      <c r="F2210" s="4"/>
      <c r="G2210" s="4"/>
      <c r="H2210" s="14"/>
      <c r="I2210" s="4"/>
      <c r="J2210" s="6"/>
      <c r="K2210" s="7"/>
      <c r="L2210" s="8"/>
      <c r="O2210" s="10"/>
    </row>
    <row r="2211" ht="14.25" customHeight="1">
      <c r="A2211" s="1"/>
      <c r="B2211" s="2"/>
      <c r="C2211" s="2"/>
      <c r="D2211" s="2"/>
      <c r="E2211" s="3"/>
      <c r="F2211" s="4"/>
      <c r="G2211" s="4"/>
      <c r="H2211" s="14"/>
      <c r="I2211" s="4"/>
      <c r="J2211" s="6"/>
      <c r="K2211" s="7"/>
      <c r="L2211" s="8"/>
      <c r="O2211" s="10"/>
    </row>
    <row r="2212" ht="14.25" customHeight="1">
      <c r="A2212" s="1"/>
      <c r="B2212" s="2"/>
      <c r="C2212" s="2"/>
      <c r="D2212" s="2"/>
      <c r="E2212" s="3"/>
      <c r="F2212" s="4"/>
      <c r="G2212" s="4"/>
      <c r="H2212" s="14"/>
      <c r="I2212" s="4"/>
      <c r="J2212" s="6"/>
      <c r="K2212" s="7"/>
      <c r="L2212" s="8"/>
      <c r="O2212" s="10"/>
    </row>
    <row r="2213" ht="14.25" customHeight="1">
      <c r="A2213" s="1"/>
      <c r="B2213" s="2"/>
      <c r="C2213" s="2"/>
      <c r="D2213" s="2"/>
      <c r="E2213" s="3"/>
      <c r="F2213" s="4"/>
      <c r="G2213" s="4"/>
      <c r="H2213" s="14"/>
      <c r="I2213" s="4"/>
      <c r="J2213" s="6"/>
      <c r="K2213" s="7"/>
      <c r="L2213" s="8"/>
      <c r="O2213" s="10"/>
    </row>
    <row r="2214" ht="14.25" customHeight="1">
      <c r="A2214" s="1"/>
      <c r="B2214" s="2"/>
      <c r="C2214" s="2"/>
      <c r="D2214" s="2"/>
      <c r="E2214" s="3"/>
      <c r="F2214" s="4"/>
      <c r="G2214" s="4"/>
      <c r="H2214" s="14"/>
      <c r="I2214" s="4"/>
      <c r="J2214" s="6"/>
      <c r="K2214" s="7"/>
      <c r="L2214" s="8"/>
      <c r="O2214" s="10"/>
    </row>
    <row r="2215" ht="14.25" customHeight="1">
      <c r="A2215" s="1"/>
      <c r="B2215" s="2"/>
      <c r="C2215" s="2"/>
      <c r="D2215" s="2"/>
      <c r="E2215" s="3"/>
      <c r="F2215" s="4"/>
      <c r="G2215" s="4"/>
      <c r="H2215" s="14"/>
      <c r="I2215" s="4"/>
      <c r="J2215" s="6"/>
      <c r="K2215" s="7"/>
      <c r="L2215" s="8"/>
      <c r="O2215" s="10"/>
    </row>
    <row r="2216" ht="14.25" customHeight="1">
      <c r="A2216" s="1"/>
      <c r="B2216" s="2"/>
      <c r="C2216" s="2"/>
      <c r="D2216" s="2"/>
      <c r="E2216" s="3"/>
      <c r="F2216" s="4"/>
      <c r="G2216" s="4"/>
      <c r="H2216" s="4"/>
      <c r="I2216" s="4"/>
      <c r="J2216" s="6"/>
      <c r="K2216" s="7"/>
      <c r="L2216" s="8"/>
      <c r="O2216" s="10"/>
    </row>
    <row r="2217" ht="14.25" customHeight="1">
      <c r="A2217" s="1"/>
      <c r="B2217" s="2"/>
      <c r="C2217" s="2"/>
      <c r="D2217" s="2"/>
      <c r="E2217" s="3"/>
      <c r="F2217" s="4"/>
      <c r="G2217" s="4"/>
      <c r="H2217" s="4"/>
      <c r="I2217" s="4"/>
      <c r="J2217" s="6"/>
      <c r="K2217" s="7"/>
      <c r="L2217" s="8"/>
      <c r="O2217" s="10"/>
    </row>
    <row r="2218" ht="14.25" customHeight="1">
      <c r="A2218" s="1"/>
      <c r="B2218" s="2"/>
      <c r="C2218" s="2"/>
      <c r="D2218" s="2"/>
      <c r="E2218" s="3"/>
      <c r="F2218" s="4"/>
      <c r="G2218" s="4"/>
      <c r="H2218" s="14"/>
      <c r="I2218" s="4"/>
      <c r="J2218" s="6"/>
      <c r="K2218" s="7"/>
      <c r="L2218" s="8"/>
      <c r="O2218" s="10"/>
    </row>
    <row r="2219" ht="14.25" customHeight="1">
      <c r="A2219" s="1"/>
      <c r="B2219" s="2"/>
      <c r="C2219" s="2"/>
      <c r="D2219" s="2"/>
      <c r="E2219" s="3"/>
      <c r="F2219" s="4"/>
      <c r="G2219" s="4"/>
      <c r="H2219" s="14"/>
      <c r="I2219" s="4"/>
      <c r="J2219" s="6"/>
      <c r="K2219" s="7"/>
      <c r="L2219" s="8"/>
      <c r="O2219" s="10"/>
    </row>
    <row r="2220" ht="14.25" customHeight="1">
      <c r="A2220" s="1"/>
      <c r="B2220" s="2"/>
      <c r="C2220" s="2"/>
      <c r="D2220" s="2"/>
      <c r="E2220" s="3"/>
      <c r="F2220" s="4"/>
      <c r="G2220" s="4"/>
      <c r="H2220" s="14"/>
      <c r="I2220" s="4"/>
      <c r="J2220" s="6"/>
      <c r="K2220" s="7"/>
      <c r="L2220" s="8"/>
      <c r="O2220" s="10"/>
    </row>
    <row r="2221" ht="14.25" customHeight="1">
      <c r="A2221" s="1"/>
      <c r="B2221" s="2"/>
      <c r="C2221" s="2"/>
      <c r="D2221" s="2"/>
      <c r="E2221" s="3"/>
      <c r="F2221" s="4"/>
      <c r="G2221" s="4"/>
      <c r="H2221" s="14"/>
      <c r="I2221" s="4"/>
      <c r="J2221" s="6"/>
      <c r="K2221" s="7"/>
      <c r="L2221" s="8"/>
      <c r="O2221" s="10"/>
    </row>
    <row r="2222" ht="14.25" customHeight="1">
      <c r="A2222" s="1"/>
      <c r="B2222" s="2"/>
      <c r="C2222" s="2"/>
      <c r="D2222" s="2"/>
      <c r="E2222" s="3"/>
      <c r="F2222" s="4"/>
      <c r="G2222" s="4"/>
      <c r="H2222" s="14"/>
      <c r="I2222" s="4"/>
      <c r="J2222" s="6"/>
      <c r="K2222" s="7"/>
      <c r="L2222" s="8"/>
      <c r="O2222" s="10"/>
    </row>
    <row r="2223" ht="14.25" customHeight="1">
      <c r="A2223" s="1"/>
      <c r="B2223" s="2"/>
      <c r="C2223" s="2"/>
      <c r="D2223" s="2"/>
      <c r="E2223" s="3"/>
      <c r="F2223" s="4"/>
      <c r="G2223" s="4"/>
      <c r="H2223" s="14"/>
      <c r="I2223" s="4"/>
      <c r="J2223" s="6"/>
      <c r="K2223" s="7"/>
      <c r="L2223" s="8"/>
      <c r="O2223" s="10"/>
    </row>
    <row r="2224" ht="14.25" customHeight="1">
      <c r="A2224" s="1"/>
      <c r="B2224" s="2"/>
      <c r="C2224" s="2"/>
      <c r="D2224" s="2"/>
      <c r="E2224" s="3"/>
      <c r="F2224" s="4"/>
      <c r="G2224" s="4"/>
      <c r="H2224" s="14"/>
      <c r="I2224" s="4"/>
      <c r="J2224" s="6"/>
      <c r="K2224" s="7"/>
      <c r="L2224" s="8"/>
      <c r="O2224" s="10"/>
    </row>
    <row r="2225" ht="14.25" customHeight="1">
      <c r="A2225" s="1"/>
      <c r="B2225" s="2"/>
      <c r="C2225" s="2"/>
      <c r="D2225" s="2"/>
      <c r="E2225" s="3"/>
      <c r="F2225" s="4"/>
      <c r="G2225" s="4"/>
      <c r="H2225" s="14"/>
      <c r="I2225" s="4"/>
      <c r="J2225" s="6"/>
      <c r="K2225" s="7"/>
      <c r="L2225" s="8"/>
      <c r="O2225" s="10"/>
    </row>
    <row r="2226" ht="14.25" customHeight="1">
      <c r="A2226" s="1"/>
      <c r="B2226" s="2"/>
      <c r="C2226" s="2"/>
      <c r="D2226" s="2"/>
      <c r="E2226" s="3"/>
      <c r="F2226" s="4"/>
      <c r="G2226" s="4"/>
      <c r="H2226" s="14"/>
      <c r="I2226" s="4"/>
      <c r="J2226" s="6"/>
      <c r="K2226" s="7"/>
      <c r="L2226" s="8"/>
      <c r="O2226" s="10"/>
    </row>
    <row r="2227" ht="14.25" customHeight="1">
      <c r="A2227" s="1"/>
      <c r="B2227" s="2"/>
      <c r="C2227" s="2"/>
      <c r="D2227" s="2"/>
      <c r="E2227" s="3"/>
      <c r="F2227" s="4"/>
      <c r="G2227" s="4"/>
      <c r="H2227" s="14"/>
      <c r="I2227" s="4"/>
      <c r="J2227" s="6"/>
      <c r="K2227" s="7"/>
      <c r="L2227" s="8"/>
      <c r="O2227" s="10"/>
    </row>
    <row r="2228" ht="14.25" customHeight="1">
      <c r="A2228" s="1"/>
      <c r="B2228" s="2"/>
      <c r="C2228" s="2"/>
      <c r="D2228" s="2"/>
      <c r="E2228" s="3"/>
      <c r="F2228" s="4"/>
      <c r="G2228" s="4"/>
      <c r="H2228" s="4"/>
      <c r="I2228" s="4"/>
      <c r="J2228" s="6"/>
      <c r="K2228" s="7"/>
      <c r="L2228" s="8"/>
      <c r="O2228" s="10"/>
    </row>
    <row r="2229" ht="14.25" customHeight="1">
      <c r="A2229" s="1"/>
      <c r="B2229" s="2"/>
      <c r="C2229" s="2"/>
      <c r="D2229" s="2"/>
      <c r="E2229" s="3"/>
      <c r="F2229" s="4"/>
      <c r="G2229" s="4"/>
      <c r="H2229" s="14"/>
      <c r="I2229" s="4"/>
      <c r="J2229" s="6"/>
      <c r="K2229" s="7"/>
      <c r="L2229" s="8"/>
      <c r="O2229" s="10"/>
    </row>
    <row r="2230" ht="14.25" customHeight="1">
      <c r="A2230" s="1"/>
      <c r="B2230" s="2"/>
      <c r="C2230" s="2"/>
      <c r="D2230" s="2"/>
      <c r="E2230" s="3"/>
      <c r="F2230" s="4"/>
      <c r="G2230" s="4"/>
      <c r="H2230" s="14"/>
      <c r="I2230" s="4"/>
      <c r="J2230" s="6"/>
      <c r="K2230" s="7"/>
      <c r="L2230" s="8"/>
      <c r="O2230" s="10"/>
    </row>
    <row r="2231" ht="14.25" customHeight="1">
      <c r="A2231" s="1"/>
      <c r="B2231" s="2"/>
      <c r="C2231" s="2"/>
      <c r="D2231" s="2"/>
      <c r="E2231" s="3"/>
      <c r="F2231" s="4"/>
      <c r="G2231" s="4"/>
      <c r="H2231" s="4"/>
      <c r="I2231" s="4"/>
      <c r="J2231" s="6"/>
      <c r="K2231" s="7"/>
      <c r="L2231" s="8"/>
      <c r="O2231" s="10"/>
    </row>
    <row r="2232" ht="14.25" customHeight="1">
      <c r="A2232" s="1"/>
      <c r="B2232" s="2"/>
      <c r="C2232" s="2"/>
      <c r="D2232" s="2"/>
      <c r="E2232" s="3"/>
      <c r="F2232" s="4"/>
      <c r="G2232" s="4"/>
      <c r="H2232" s="14"/>
      <c r="I2232" s="4"/>
      <c r="J2232" s="6"/>
      <c r="K2232" s="7"/>
      <c r="L2232" s="8"/>
      <c r="O2232" s="10"/>
    </row>
    <row r="2233" ht="14.25" customHeight="1">
      <c r="A2233" s="1"/>
      <c r="B2233" s="2"/>
      <c r="C2233" s="2"/>
      <c r="D2233" s="2"/>
      <c r="E2233" s="3"/>
      <c r="F2233" s="4"/>
      <c r="G2233" s="4"/>
      <c r="H2233" s="4"/>
      <c r="I2233" s="4"/>
      <c r="J2233" s="6"/>
      <c r="K2233" s="7"/>
      <c r="L2233" s="8"/>
      <c r="O2233" s="10"/>
    </row>
    <row r="2234" ht="14.25" customHeight="1">
      <c r="A2234" s="1"/>
      <c r="B2234" s="2"/>
      <c r="C2234" s="2"/>
      <c r="D2234" s="2"/>
      <c r="E2234" s="3"/>
      <c r="F2234" s="4"/>
      <c r="G2234" s="4"/>
      <c r="H2234" s="14"/>
      <c r="I2234" s="4"/>
      <c r="J2234" s="6"/>
      <c r="K2234" s="7"/>
      <c r="L2234" s="8"/>
      <c r="O2234" s="10"/>
    </row>
    <row r="2235" ht="14.25" customHeight="1">
      <c r="A2235" s="1"/>
      <c r="B2235" s="2"/>
      <c r="C2235" s="2"/>
      <c r="D2235" s="2"/>
      <c r="E2235" s="3"/>
      <c r="F2235" s="4"/>
      <c r="G2235" s="4"/>
      <c r="H2235" s="14"/>
      <c r="I2235" s="4"/>
      <c r="J2235" s="6"/>
      <c r="K2235" s="7"/>
      <c r="L2235" s="8"/>
      <c r="O2235" s="10"/>
    </row>
    <row r="2236" ht="14.25" customHeight="1">
      <c r="A2236" s="1"/>
      <c r="B2236" s="2"/>
      <c r="C2236" s="2"/>
      <c r="D2236" s="2"/>
      <c r="E2236" s="3"/>
      <c r="F2236" s="4"/>
      <c r="G2236" s="4"/>
      <c r="H2236" s="14"/>
      <c r="I2236" s="4"/>
      <c r="J2236" s="6"/>
      <c r="K2236" s="7"/>
      <c r="L2236" s="8"/>
      <c r="O2236" s="10"/>
    </row>
    <row r="2237" ht="14.25" customHeight="1">
      <c r="A2237" s="1"/>
      <c r="B2237" s="2"/>
      <c r="C2237" s="2"/>
      <c r="D2237" s="2"/>
      <c r="E2237" s="3"/>
      <c r="F2237" s="4"/>
      <c r="G2237" s="4"/>
      <c r="H2237" s="14"/>
      <c r="I2237" s="4"/>
      <c r="J2237" s="6"/>
      <c r="K2237" s="7"/>
      <c r="L2237" s="8"/>
      <c r="O2237" s="10"/>
    </row>
    <row r="2238" ht="14.25" customHeight="1">
      <c r="A2238" s="1"/>
      <c r="B2238" s="2"/>
      <c r="C2238" s="2"/>
      <c r="D2238" s="2"/>
      <c r="E2238" s="3"/>
      <c r="F2238" s="4"/>
      <c r="G2238" s="4"/>
      <c r="H2238" s="14"/>
      <c r="I2238" s="4"/>
      <c r="J2238" s="6"/>
      <c r="K2238" s="7"/>
      <c r="L2238" s="8"/>
      <c r="O2238" s="10"/>
    </row>
    <row r="2239" ht="14.25" customHeight="1">
      <c r="A2239" s="1"/>
      <c r="B2239" s="2"/>
      <c r="C2239" s="2"/>
      <c r="D2239" s="2"/>
      <c r="E2239" s="3"/>
      <c r="F2239" s="4"/>
      <c r="G2239" s="4"/>
      <c r="H2239" s="14"/>
      <c r="I2239" s="4"/>
      <c r="J2239" s="6"/>
      <c r="K2239" s="7"/>
      <c r="L2239" s="8"/>
      <c r="O2239" s="10"/>
    </row>
    <row r="2240" ht="14.25" customHeight="1">
      <c r="A2240" s="1"/>
      <c r="B2240" s="2"/>
      <c r="C2240" s="2"/>
      <c r="D2240" s="2"/>
      <c r="E2240" s="3"/>
      <c r="F2240" s="4"/>
      <c r="G2240" s="4"/>
      <c r="H2240" s="14"/>
      <c r="I2240" s="4"/>
      <c r="J2240" s="6"/>
      <c r="K2240" s="7"/>
      <c r="L2240" s="8"/>
      <c r="O2240" s="10"/>
    </row>
    <row r="2241" ht="14.25" customHeight="1">
      <c r="A2241" s="1"/>
      <c r="B2241" s="2"/>
      <c r="C2241" s="2"/>
      <c r="D2241" s="2"/>
      <c r="E2241" s="3"/>
      <c r="F2241" s="4"/>
      <c r="G2241" s="4"/>
      <c r="H2241" s="14"/>
      <c r="I2241" s="4"/>
      <c r="J2241" s="6"/>
      <c r="K2241" s="7"/>
      <c r="L2241" s="8"/>
      <c r="O2241" s="10"/>
    </row>
    <row r="2242" ht="14.25" customHeight="1">
      <c r="A2242" s="1"/>
      <c r="B2242" s="2"/>
      <c r="C2242" s="2"/>
      <c r="D2242" s="2"/>
      <c r="E2242" s="3"/>
      <c r="F2242" s="4"/>
      <c r="G2242" s="4"/>
      <c r="H2242" s="14"/>
      <c r="I2242" s="4"/>
      <c r="J2242" s="6"/>
      <c r="K2242" s="7"/>
      <c r="L2242" s="8"/>
      <c r="O2242" s="10"/>
    </row>
    <row r="2243" ht="14.25" customHeight="1">
      <c r="A2243" s="1"/>
      <c r="B2243" s="2"/>
      <c r="C2243" s="2"/>
      <c r="D2243" s="2"/>
      <c r="E2243" s="3"/>
      <c r="F2243" s="4"/>
      <c r="G2243" s="4"/>
      <c r="H2243" s="4"/>
      <c r="I2243" s="4"/>
      <c r="J2243" s="6"/>
      <c r="K2243" s="7"/>
      <c r="L2243" s="8"/>
      <c r="O2243" s="10"/>
    </row>
    <row r="2244" ht="14.25" customHeight="1">
      <c r="A2244" s="1"/>
      <c r="B2244" s="2"/>
      <c r="C2244" s="2"/>
      <c r="D2244" s="2"/>
      <c r="E2244" s="3"/>
      <c r="F2244" s="4"/>
      <c r="G2244" s="4"/>
      <c r="H2244" s="4"/>
      <c r="I2244" s="4"/>
      <c r="J2244" s="6"/>
      <c r="K2244" s="7"/>
      <c r="L2244" s="8"/>
      <c r="O2244" s="10"/>
    </row>
    <row r="2245" ht="14.25" customHeight="1">
      <c r="A2245" s="1"/>
      <c r="B2245" s="2"/>
      <c r="C2245" s="2"/>
      <c r="D2245" s="2"/>
      <c r="E2245" s="3"/>
      <c r="F2245" s="4"/>
      <c r="G2245" s="4"/>
      <c r="H2245" s="4"/>
      <c r="I2245" s="4"/>
      <c r="J2245" s="6"/>
      <c r="K2245" s="7"/>
      <c r="L2245" s="8"/>
      <c r="O2245" s="10"/>
    </row>
    <row r="2246" ht="14.25" customHeight="1">
      <c r="A2246" s="1"/>
      <c r="B2246" s="2"/>
      <c r="C2246" s="2"/>
      <c r="D2246" s="2"/>
      <c r="E2246" s="3"/>
      <c r="F2246" s="4"/>
      <c r="G2246" s="4"/>
      <c r="H2246" s="14"/>
      <c r="I2246" s="4"/>
      <c r="J2246" s="6"/>
      <c r="K2246" s="7"/>
      <c r="L2246" s="8"/>
      <c r="O2246" s="10"/>
    </row>
    <row r="2247" ht="14.25" customHeight="1">
      <c r="A2247" s="1"/>
      <c r="B2247" s="2"/>
      <c r="C2247" s="2"/>
      <c r="D2247" s="2"/>
      <c r="E2247" s="3"/>
      <c r="F2247" s="4"/>
      <c r="G2247" s="4"/>
      <c r="H2247" s="14"/>
      <c r="I2247" s="4"/>
      <c r="J2247" s="6"/>
      <c r="K2247" s="7"/>
      <c r="L2247" s="8"/>
      <c r="O2247" s="10"/>
    </row>
    <row r="2248" ht="14.25" customHeight="1">
      <c r="A2248" s="1"/>
      <c r="B2248" s="2"/>
      <c r="C2248" s="2"/>
      <c r="D2248" s="2"/>
      <c r="E2248" s="3"/>
      <c r="F2248" s="4"/>
      <c r="G2248" s="4"/>
      <c r="H2248" s="14"/>
      <c r="I2248" s="4"/>
      <c r="J2248" s="6"/>
      <c r="K2248" s="7"/>
      <c r="L2248" s="8"/>
      <c r="O2248" s="10"/>
    </row>
    <row r="2249" ht="14.25" customHeight="1">
      <c r="A2249" s="1"/>
      <c r="B2249" s="2"/>
      <c r="C2249" s="2"/>
      <c r="D2249" s="2"/>
      <c r="E2249" s="3"/>
      <c r="F2249" s="4"/>
      <c r="G2249" s="4"/>
      <c r="H2249" s="4"/>
      <c r="I2249" s="4"/>
      <c r="J2249" s="6"/>
      <c r="K2249" s="7"/>
      <c r="L2249" s="8"/>
      <c r="O2249" s="10"/>
    </row>
    <row r="2250" ht="14.25" customHeight="1">
      <c r="A2250" s="1"/>
      <c r="B2250" s="2"/>
      <c r="C2250" s="2"/>
      <c r="D2250" s="2"/>
      <c r="E2250" s="3"/>
      <c r="F2250" s="4"/>
      <c r="G2250" s="4"/>
      <c r="H2250" s="4"/>
      <c r="I2250" s="4"/>
      <c r="J2250" s="6"/>
      <c r="K2250" s="7"/>
      <c r="L2250" s="8"/>
      <c r="O2250" s="10"/>
    </row>
    <row r="2251" ht="14.25" customHeight="1">
      <c r="A2251" s="1"/>
      <c r="B2251" s="2"/>
      <c r="C2251" s="2"/>
      <c r="D2251" s="2"/>
      <c r="E2251" s="3"/>
      <c r="F2251" s="4"/>
      <c r="G2251" s="4"/>
      <c r="H2251" s="14"/>
      <c r="I2251" s="4"/>
      <c r="J2251" s="6"/>
      <c r="K2251" s="7"/>
      <c r="L2251" s="8"/>
      <c r="O2251" s="10"/>
    </row>
    <row r="2252" ht="14.25" customHeight="1">
      <c r="A2252" s="1"/>
      <c r="B2252" s="2"/>
      <c r="C2252" s="2"/>
      <c r="D2252" s="2"/>
      <c r="E2252" s="3"/>
      <c r="F2252" s="4"/>
      <c r="G2252" s="4"/>
      <c r="H2252" s="14"/>
      <c r="I2252" s="4"/>
      <c r="J2252" s="6"/>
      <c r="K2252" s="7"/>
      <c r="L2252" s="8"/>
      <c r="O2252" s="10"/>
    </row>
    <row r="2253" ht="14.25" customHeight="1">
      <c r="A2253" s="1"/>
      <c r="B2253" s="2"/>
      <c r="C2253" s="2"/>
      <c r="D2253" s="2"/>
      <c r="E2253" s="3"/>
      <c r="F2253" s="4"/>
      <c r="G2253" s="4"/>
      <c r="H2253" s="14"/>
      <c r="I2253" s="4"/>
      <c r="J2253" s="6"/>
      <c r="K2253" s="7"/>
      <c r="L2253" s="8"/>
      <c r="O2253" s="10"/>
    </row>
    <row r="2254" ht="14.25" customHeight="1">
      <c r="A2254" s="1"/>
      <c r="B2254" s="2"/>
      <c r="C2254" s="2"/>
      <c r="D2254" s="2"/>
      <c r="E2254" s="3"/>
      <c r="F2254" s="4"/>
      <c r="G2254" s="4"/>
      <c r="H2254" s="14"/>
      <c r="I2254" s="4"/>
      <c r="J2254" s="6"/>
      <c r="K2254" s="7"/>
      <c r="L2254" s="8"/>
      <c r="O2254" s="10"/>
    </row>
    <row r="2255" ht="14.25" customHeight="1">
      <c r="A2255" s="1"/>
      <c r="B2255" s="2"/>
      <c r="C2255" s="2"/>
      <c r="D2255" s="2"/>
      <c r="E2255" s="3"/>
      <c r="F2255" s="4"/>
      <c r="G2255" s="4"/>
      <c r="H2255" s="14"/>
      <c r="I2255" s="4"/>
      <c r="J2255" s="6"/>
      <c r="K2255" s="7"/>
      <c r="L2255" s="8"/>
      <c r="O2255" s="10"/>
    </row>
    <row r="2256" ht="14.25" customHeight="1">
      <c r="A2256" s="1"/>
      <c r="B2256" s="2"/>
      <c r="C2256" s="2"/>
      <c r="D2256" s="2"/>
      <c r="E2256" s="3"/>
      <c r="F2256" s="4"/>
      <c r="G2256" s="4"/>
      <c r="H2256" s="14"/>
      <c r="I2256" s="4"/>
      <c r="J2256" s="6"/>
      <c r="K2256" s="7"/>
      <c r="L2256" s="8"/>
      <c r="O2256" s="10"/>
    </row>
    <row r="2257" ht="14.25" customHeight="1">
      <c r="A2257" s="1"/>
      <c r="B2257" s="2"/>
      <c r="C2257" s="2"/>
      <c r="D2257" s="2"/>
      <c r="E2257" s="3"/>
      <c r="F2257" s="4"/>
      <c r="G2257" s="4"/>
      <c r="H2257" s="14"/>
      <c r="I2257" s="4"/>
      <c r="J2257" s="6"/>
      <c r="K2257" s="7"/>
      <c r="L2257" s="8"/>
      <c r="O2257" s="10"/>
    </row>
    <row r="2258" ht="14.25" customHeight="1">
      <c r="A2258" s="1"/>
      <c r="B2258" s="2"/>
      <c r="C2258" s="2"/>
      <c r="D2258" s="2"/>
      <c r="E2258" s="3"/>
      <c r="F2258" s="4"/>
      <c r="G2258" s="4"/>
      <c r="H2258" s="14"/>
      <c r="I2258" s="4"/>
      <c r="J2258" s="6"/>
      <c r="K2258" s="7"/>
      <c r="L2258" s="8"/>
      <c r="O2258" s="10"/>
    </row>
    <row r="2259" ht="14.25" customHeight="1">
      <c r="A2259" s="1"/>
      <c r="B2259" s="2"/>
      <c r="C2259" s="2"/>
      <c r="D2259" s="2"/>
      <c r="E2259" s="3"/>
      <c r="F2259" s="4"/>
      <c r="G2259" s="4"/>
      <c r="H2259" s="14"/>
      <c r="I2259" s="4"/>
      <c r="J2259" s="6"/>
      <c r="K2259" s="7"/>
      <c r="L2259" s="8"/>
      <c r="O2259" s="10"/>
    </row>
    <row r="2260" ht="14.25" customHeight="1">
      <c r="A2260" s="1"/>
      <c r="B2260" s="2"/>
      <c r="C2260" s="2"/>
      <c r="D2260" s="2"/>
      <c r="E2260" s="3"/>
      <c r="F2260" s="4"/>
      <c r="G2260" s="4"/>
      <c r="H2260" s="14"/>
      <c r="I2260" s="4"/>
      <c r="J2260" s="6"/>
      <c r="K2260" s="7"/>
      <c r="L2260" s="8"/>
      <c r="O2260" s="10"/>
    </row>
    <row r="2261" ht="14.25" customHeight="1">
      <c r="A2261" s="1"/>
      <c r="B2261" s="2"/>
      <c r="C2261" s="2"/>
      <c r="D2261" s="2"/>
      <c r="E2261" s="3"/>
      <c r="F2261" s="4"/>
      <c r="G2261" s="4"/>
      <c r="H2261" s="4"/>
      <c r="I2261" s="4"/>
      <c r="J2261" s="6"/>
      <c r="K2261" s="7"/>
      <c r="L2261" s="8"/>
      <c r="O2261" s="10"/>
    </row>
    <row r="2262" ht="14.25" customHeight="1">
      <c r="A2262" s="1"/>
      <c r="B2262" s="2"/>
      <c r="C2262" s="2"/>
      <c r="D2262" s="2"/>
      <c r="E2262" s="3"/>
      <c r="F2262" s="4"/>
      <c r="G2262" s="4"/>
      <c r="H2262" s="14"/>
      <c r="I2262" s="4"/>
      <c r="J2262" s="6"/>
      <c r="K2262" s="7"/>
      <c r="L2262" s="8"/>
      <c r="O2262" s="10"/>
    </row>
    <row r="2263" ht="14.25" customHeight="1">
      <c r="A2263" s="1"/>
      <c r="B2263" s="2"/>
      <c r="C2263" s="2"/>
      <c r="D2263" s="2"/>
      <c r="E2263" s="3"/>
      <c r="F2263" s="4"/>
      <c r="G2263" s="4"/>
      <c r="H2263" s="14"/>
      <c r="I2263" s="4"/>
      <c r="J2263" s="6"/>
      <c r="K2263" s="7"/>
      <c r="L2263" s="8"/>
      <c r="O2263" s="10"/>
    </row>
    <row r="2264" ht="14.25" customHeight="1">
      <c r="A2264" s="1"/>
      <c r="B2264" s="2"/>
      <c r="C2264" s="2"/>
      <c r="D2264" s="2"/>
      <c r="E2264" s="3"/>
      <c r="F2264" s="4"/>
      <c r="G2264" s="4"/>
      <c r="H2264" s="4"/>
      <c r="I2264" s="4"/>
      <c r="J2264" s="6"/>
      <c r="K2264" s="7"/>
      <c r="L2264" s="8"/>
      <c r="O2264" s="10"/>
    </row>
    <row r="2265" ht="14.25" customHeight="1">
      <c r="A2265" s="1"/>
      <c r="B2265" s="2"/>
      <c r="C2265" s="2"/>
      <c r="D2265" s="2"/>
      <c r="E2265" s="3"/>
      <c r="F2265" s="4"/>
      <c r="G2265" s="4"/>
      <c r="H2265" s="4"/>
      <c r="I2265" s="4"/>
      <c r="J2265" s="6"/>
      <c r="K2265" s="7"/>
      <c r="L2265" s="8"/>
      <c r="O2265" s="10"/>
    </row>
    <row r="2266" ht="14.25" customHeight="1">
      <c r="A2266" s="1"/>
      <c r="B2266" s="2"/>
      <c r="C2266" s="2"/>
      <c r="D2266" s="2"/>
      <c r="E2266" s="3"/>
      <c r="F2266" s="4"/>
      <c r="G2266" s="4"/>
      <c r="H2266" s="14"/>
      <c r="I2266" s="4"/>
      <c r="J2266" s="6"/>
      <c r="K2266" s="7"/>
      <c r="L2266" s="8"/>
      <c r="O2266" s="10"/>
    </row>
    <row r="2267" ht="14.25" customHeight="1">
      <c r="A2267" s="1"/>
      <c r="B2267" s="2"/>
      <c r="C2267" s="2"/>
      <c r="D2267" s="2"/>
      <c r="E2267" s="3"/>
      <c r="F2267" s="4"/>
      <c r="G2267" s="4"/>
      <c r="H2267" s="14"/>
      <c r="I2267" s="4"/>
      <c r="J2267" s="6"/>
      <c r="K2267" s="7"/>
      <c r="L2267" s="8"/>
      <c r="O2267" s="10"/>
    </row>
    <row r="2268" ht="14.25" customHeight="1">
      <c r="A2268" s="1"/>
      <c r="B2268" s="2"/>
      <c r="C2268" s="2"/>
      <c r="D2268" s="2"/>
      <c r="E2268" s="3"/>
      <c r="F2268" s="4"/>
      <c r="G2268" s="4"/>
      <c r="H2268" s="4"/>
      <c r="I2268" s="4"/>
      <c r="J2268" s="6"/>
      <c r="K2268" s="7"/>
      <c r="L2268" s="8"/>
      <c r="O2268" s="10"/>
    </row>
    <row r="2269" ht="14.25" customHeight="1">
      <c r="A2269" s="1"/>
      <c r="B2269" s="2"/>
      <c r="C2269" s="2"/>
      <c r="D2269" s="2"/>
      <c r="E2269" s="3"/>
      <c r="F2269" s="4"/>
      <c r="G2269" s="4"/>
      <c r="H2269" s="4"/>
      <c r="I2269" s="4"/>
      <c r="J2269" s="6"/>
      <c r="K2269" s="7"/>
      <c r="L2269" s="8"/>
      <c r="O2269" s="10"/>
    </row>
    <row r="2270" ht="14.25" customHeight="1">
      <c r="A2270" s="1"/>
      <c r="B2270" s="2"/>
      <c r="C2270" s="2"/>
      <c r="D2270" s="2"/>
      <c r="E2270" s="3"/>
      <c r="F2270" s="4"/>
      <c r="G2270" s="4"/>
      <c r="H2270" s="14"/>
      <c r="I2270" s="4"/>
      <c r="J2270" s="6"/>
      <c r="K2270" s="7"/>
      <c r="L2270" s="8"/>
      <c r="O2270" s="10"/>
    </row>
    <row r="2271" ht="14.25" customHeight="1">
      <c r="A2271" s="1"/>
      <c r="B2271" s="2"/>
      <c r="C2271" s="2"/>
      <c r="D2271" s="2"/>
      <c r="E2271" s="3"/>
      <c r="F2271" s="4"/>
      <c r="G2271" s="4"/>
      <c r="H2271" s="14"/>
      <c r="I2271" s="4"/>
      <c r="J2271" s="6"/>
      <c r="K2271" s="7"/>
      <c r="L2271" s="8"/>
      <c r="O2271" s="10"/>
    </row>
    <row r="2272" ht="14.25" customHeight="1">
      <c r="A2272" s="1"/>
      <c r="B2272" s="2"/>
      <c r="C2272" s="2"/>
      <c r="D2272" s="2"/>
      <c r="E2272" s="3"/>
      <c r="F2272" s="4"/>
      <c r="G2272" s="4"/>
      <c r="H2272" s="4"/>
      <c r="I2272" s="4"/>
      <c r="J2272" s="6"/>
      <c r="K2272" s="7"/>
      <c r="L2272" s="8"/>
      <c r="O2272" s="10"/>
    </row>
    <row r="2273" ht="14.25" customHeight="1">
      <c r="A2273" s="1"/>
      <c r="B2273" s="2"/>
      <c r="C2273" s="2"/>
      <c r="D2273" s="2"/>
      <c r="E2273" s="3"/>
      <c r="F2273" s="4"/>
      <c r="G2273" s="4"/>
      <c r="H2273" s="4"/>
      <c r="I2273" s="4"/>
      <c r="J2273" s="6"/>
      <c r="K2273" s="7"/>
      <c r="L2273" s="8"/>
      <c r="O2273" s="10"/>
    </row>
    <row r="2274" ht="14.25" customHeight="1">
      <c r="A2274" s="1"/>
      <c r="B2274" s="2"/>
      <c r="C2274" s="2"/>
      <c r="D2274" s="2"/>
      <c r="E2274" s="3"/>
      <c r="F2274" s="4"/>
      <c r="G2274" s="4"/>
      <c r="H2274" s="14"/>
      <c r="I2274" s="4"/>
      <c r="J2274" s="6"/>
      <c r="K2274" s="7"/>
      <c r="L2274" s="8"/>
      <c r="O2274" s="10"/>
    </row>
    <row r="2275" ht="14.25" customHeight="1">
      <c r="A2275" s="1"/>
      <c r="B2275" s="2"/>
      <c r="C2275" s="2"/>
      <c r="D2275" s="2"/>
      <c r="E2275" s="3"/>
      <c r="F2275" s="4"/>
      <c r="G2275" s="4"/>
      <c r="H2275" s="14"/>
      <c r="I2275" s="4"/>
      <c r="J2275" s="6"/>
      <c r="K2275" s="7"/>
      <c r="L2275" s="8"/>
      <c r="O2275" s="10"/>
    </row>
    <row r="2276" ht="14.25" customHeight="1">
      <c r="A2276" s="1"/>
      <c r="B2276" s="2"/>
      <c r="C2276" s="2"/>
      <c r="D2276" s="2"/>
      <c r="E2276" s="3"/>
      <c r="F2276" s="4"/>
      <c r="G2276" s="4"/>
      <c r="H2276" s="4"/>
      <c r="I2276" s="4"/>
      <c r="J2276" s="6"/>
      <c r="K2276" s="7"/>
      <c r="L2276" s="8"/>
      <c r="O2276" s="10"/>
    </row>
    <row r="2277" ht="14.25" customHeight="1">
      <c r="A2277" s="1"/>
      <c r="B2277" s="2"/>
      <c r="C2277" s="2"/>
      <c r="D2277" s="2"/>
      <c r="E2277" s="3"/>
      <c r="F2277" s="4"/>
      <c r="G2277" s="4"/>
      <c r="H2277" s="14"/>
      <c r="I2277" s="4"/>
      <c r="J2277" s="6"/>
      <c r="K2277" s="7"/>
      <c r="L2277" s="8"/>
      <c r="O2277" s="10"/>
    </row>
    <row r="2278" ht="14.25" customHeight="1">
      <c r="A2278" s="1"/>
      <c r="B2278" s="2"/>
      <c r="C2278" s="2"/>
      <c r="D2278" s="2"/>
      <c r="E2278" s="3"/>
      <c r="F2278" s="4"/>
      <c r="G2278" s="4"/>
      <c r="H2278" s="14"/>
      <c r="I2278" s="4"/>
      <c r="J2278" s="6"/>
      <c r="K2278" s="7"/>
      <c r="L2278" s="8"/>
      <c r="O2278" s="10"/>
    </row>
    <row r="2279" ht="14.25" customHeight="1">
      <c r="A2279" s="1"/>
      <c r="B2279" s="2"/>
      <c r="C2279" s="2"/>
      <c r="D2279" s="2"/>
      <c r="E2279" s="3"/>
      <c r="F2279" s="4"/>
      <c r="G2279" s="4"/>
      <c r="H2279" s="4"/>
      <c r="I2279" s="4"/>
      <c r="J2279" s="6"/>
      <c r="K2279" s="7"/>
      <c r="L2279" s="8"/>
      <c r="O2279" s="10"/>
    </row>
    <row r="2280" ht="14.25" customHeight="1">
      <c r="A2280" s="1"/>
      <c r="B2280" s="2"/>
      <c r="C2280" s="2"/>
      <c r="D2280" s="2"/>
      <c r="E2280" s="3"/>
      <c r="F2280" s="4"/>
      <c r="G2280" s="4"/>
      <c r="H2280" s="14"/>
      <c r="I2280" s="4"/>
      <c r="J2280" s="6"/>
      <c r="K2280" s="7"/>
      <c r="L2280" s="8"/>
      <c r="O2280" s="10"/>
    </row>
    <row r="2281" ht="14.25" customHeight="1">
      <c r="A2281" s="1"/>
      <c r="B2281" s="2"/>
      <c r="C2281" s="2"/>
      <c r="D2281" s="2"/>
      <c r="E2281" s="3"/>
      <c r="F2281" s="4"/>
      <c r="G2281" s="4"/>
      <c r="H2281" s="14"/>
      <c r="I2281" s="4"/>
      <c r="J2281" s="6"/>
      <c r="K2281" s="7"/>
      <c r="L2281" s="8"/>
      <c r="O2281" s="10"/>
    </row>
    <row r="2282" ht="14.25" customHeight="1">
      <c r="A2282" s="1"/>
      <c r="B2282" s="2"/>
      <c r="C2282" s="2"/>
      <c r="D2282" s="2"/>
      <c r="E2282" s="3"/>
      <c r="F2282" s="4"/>
      <c r="G2282" s="4"/>
      <c r="H2282" s="14"/>
      <c r="I2282" s="4"/>
      <c r="J2282" s="6"/>
      <c r="K2282" s="7"/>
      <c r="L2282" s="8"/>
      <c r="O2282" s="10"/>
    </row>
    <row r="2283" ht="14.25" customHeight="1">
      <c r="A2283" s="1"/>
      <c r="B2283" s="2"/>
      <c r="C2283" s="2"/>
      <c r="D2283" s="2"/>
      <c r="E2283" s="3"/>
      <c r="F2283" s="4"/>
      <c r="G2283" s="4"/>
      <c r="H2283" s="4"/>
      <c r="I2283" s="4"/>
      <c r="J2283" s="6"/>
      <c r="K2283" s="7"/>
      <c r="L2283" s="8"/>
      <c r="O2283" s="10"/>
    </row>
    <row r="2284" ht="14.25" customHeight="1">
      <c r="A2284" s="1"/>
      <c r="B2284" s="2"/>
      <c r="C2284" s="2"/>
      <c r="D2284" s="2"/>
      <c r="E2284" s="3"/>
      <c r="F2284" s="4"/>
      <c r="G2284" s="4"/>
      <c r="H2284" s="14"/>
      <c r="I2284" s="4"/>
      <c r="J2284" s="6"/>
      <c r="K2284" s="7"/>
      <c r="L2284" s="8"/>
      <c r="O2284" s="10"/>
    </row>
    <row r="2285" ht="14.25" customHeight="1">
      <c r="A2285" s="1"/>
      <c r="B2285" s="2"/>
      <c r="C2285" s="2"/>
      <c r="D2285" s="2"/>
      <c r="E2285" s="3"/>
      <c r="F2285" s="4"/>
      <c r="G2285" s="4"/>
      <c r="H2285" s="14"/>
      <c r="I2285" s="4"/>
      <c r="J2285" s="6"/>
      <c r="K2285" s="7"/>
      <c r="L2285" s="8"/>
      <c r="O2285" s="10"/>
    </row>
    <row r="2286" ht="14.25" customHeight="1">
      <c r="A2286" s="1"/>
      <c r="B2286" s="2"/>
      <c r="C2286" s="2"/>
      <c r="D2286" s="2"/>
      <c r="E2286" s="3"/>
      <c r="F2286" s="4"/>
      <c r="G2286" s="4"/>
      <c r="H2286" s="14"/>
      <c r="I2286" s="4"/>
      <c r="J2286" s="6"/>
      <c r="K2286" s="7"/>
      <c r="L2286" s="8"/>
      <c r="O2286" s="10"/>
    </row>
    <row r="2287" ht="14.25" customHeight="1">
      <c r="A2287" s="1"/>
      <c r="B2287" s="2"/>
      <c r="C2287" s="2"/>
      <c r="D2287" s="2"/>
      <c r="E2287" s="3"/>
      <c r="F2287" s="4"/>
      <c r="G2287" s="4"/>
      <c r="H2287" s="14"/>
      <c r="I2287" s="4"/>
      <c r="J2287" s="6"/>
      <c r="K2287" s="7"/>
      <c r="L2287" s="8"/>
      <c r="O2287" s="10"/>
    </row>
    <row r="2288" ht="14.25" customHeight="1">
      <c r="A2288" s="1"/>
      <c r="B2288" s="2"/>
      <c r="C2288" s="2"/>
      <c r="D2288" s="2"/>
      <c r="E2288" s="3"/>
      <c r="F2288" s="4"/>
      <c r="G2288" s="4"/>
      <c r="H2288" s="4"/>
      <c r="I2288" s="4"/>
      <c r="J2288" s="6"/>
      <c r="K2288" s="7"/>
      <c r="L2288" s="8"/>
      <c r="O2288" s="10"/>
    </row>
    <row r="2289" ht="14.25" customHeight="1">
      <c r="A2289" s="1"/>
      <c r="B2289" s="2"/>
      <c r="C2289" s="2"/>
      <c r="D2289" s="2"/>
      <c r="E2289" s="3"/>
      <c r="F2289" s="4"/>
      <c r="G2289" s="4"/>
      <c r="H2289" s="14"/>
      <c r="I2289" s="4"/>
      <c r="J2289" s="6"/>
      <c r="K2289" s="7"/>
      <c r="L2289" s="8"/>
      <c r="O2289" s="10"/>
    </row>
    <row r="2290" ht="14.25" customHeight="1">
      <c r="A2290" s="1"/>
      <c r="B2290" s="2"/>
      <c r="C2290" s="2"/>
      <c r="D2290" s="2"/>
      <c r="E2290" s="3"/>
      <c r="F2290" s="4"/>
      <c r="G2290" s="4"/>
      <c r="H2290" s="14"/>
      <c r="I2290" s="4"/>
      <c r="J2290" s="6"/>
      <c r="K2290" s="7"/>
      <c r="L2290" s="8"/>
      <c r="O2290" s="10"/>
    </row>
    <row r="2291" ht="14.25" customHeight="1">
      <c r="A2291" s="1"/>
      <c r="B2291" s="2"/>
      <c r="C2291" s="2"/>
      <c r="D2291" s="2"/>
      <c r="E2291" s="3"/>
      <c r="F2291" s="4"/>
      <c r="G2291" s="4"/>
      <c r="H2291" s="4"/>
      <c r="I2291" s="4"/>
      <c r="J2291" s="6"/>
      <c r="K2291" s="7"/>
      <c r="L2291" s="8"/>
      <c r="O2291" s="10"/>
    </row>
    <row r="2292" ht="14.25" customHeight="1">
      <c r="A2292" s="1"/>
      <c r="B2292" s="2"/>
      <c r="C2292" s="2"/>
      <c r="D2292" s="2"/>
      <c r="E2292" s="3"/>
      <c r="F2292" s="4"/>
      <c r="G2292" s="4"/>
      <c r="H2292" s="14"/>
      <c r="I2292" s="4"/>
      <c r="J2292" s="6"/>
      <c r="K2292" s="7"/>
      <c r="L2292" s="8"/>
      <c r="O2292" s="10"/>
    </row>
    <row r="2293" ht="14.25" customHeight="1">
      <c r="A2293" s="1"/>
      <c r="B2293" s="2"/>
      <c r="C2293" s="2"/>
      <c r="D2293" s="2"/>
      <c r="E2293" s="3"/>
      <c r="F2293" s="4"/>
      <c r="G2293" s="4"/>
      <c r="H2293" s="14"/>
      <c r="I2293" s="4"/>
      <c r="J2293" s="6"/>
      <c r="K2293" s="7"/>
      <c r="L2293" s="8"/>
      <c r="O2293" s="10"/>
    </row>
    <row r="2294" ht="14.25" customHeight="1">
      <c r="A2294" s="1"/>
      <c r="B2294" s="2"/>
      <c r="C2294" s="2"/>
      <c r="D2294" s="2"/>
      <c r="E2294" s="3"/>
      <c r="F2294" s="4"/>
      <c r="G2294" s="4"/>
      <c r="H2294" s="14"/>
      <c r="I2294" s="4"/>
      <c r="J2294" s="6"/>
      <c r="K2294" s="7"/>
      <c r="L2294" s="8"/>
      <c r="O2294" s="10"/>
    </row>
    <row r="2295" ht="14.25" customHeight="1">
      <c r="A2295" s="1"/>
      <c r="B2295" s="2"/>
      <c r="C2295" s="2"/>
      <c r="D2295" s="2"/>
      <c r="E2295" s="3"/>
      <c r="F2295" s="4"/>
      <c r="G2295" s="4"/>
      <c r="H2295" s="14"/>
      <c r="I2295" s="4"/>
      <c r="J2295" s="6"/>
      <c r="K2295" s="7"/>
      <c r="L2295" s="8"/>
      <c r="O2295" s="10"/>
    </row>
    <row r="2296" ht="14.25" customHeight="1">
      <c r="A2296" s="1"/>
      <c r="B2296" s="2"/>
      <c r="C2296" s="2"/>
      <c r="D2296" s="2"/>
      <c r="E2296" s="3"/>
      <c r="F2296" s="4"/>
      <c r="G2296" s="4"/>
      <c r="H2296" s="4"/>
      <c r="I2296" s="4"/>
      <c r="J2296" s="6"/>
      <c r="K2296" s="7"/>
      <c r="L2296" s="8"/>
      <c r="O2296" s="10"/>
    </row>
    <row r="2297" ht="14.25" customHeight="1">
      <c r="A2297" s="1"/>
      <c r="B2297" s="2"/>
      <c r="C2297" s="2"/>
      <c r="D2297" s="2"/>
      <c r="E2297" s="3"/>
      <c r="F2297" s="4"/>
      <c r="G2297" s="4"/>
      <c r="H2297" s="4"/>
      <c r="I2297" s="4"/>
      <c r="J2297" s="6"/>
      <c r="K2297" s="7"/>
      <c r="L2297" s="8"/>
      <c r="O2297" s="10"/>
    </row>
    <row r="2298" ht="14.25" customHeight="1">
      <c r="A2298" s="1"/>
      <c r="B2298" s="2"/>
      <c r="C2298" s="2"/>
      <c r="D2298" s="2"/>
      <c r="E2298" s="3"/>
      <c r="F2298" s="4"/>
      <c r="G2298" s="4"/>
      <c r="H2298" s="4"/>
      <c r="I2298" s="4"/>
      <c r="J2298" s="6"/>
      <c r="K2298" s="7"/>
      <c r="L2298" s="8"/>
      <c r="O2298" s="10"/>
    </row>
    <row r="2299" ht="14.25" customHeight="1">
      <c r="A2299" s="1"/>
      <c r="B2299" s="2"/>
      <c r="C2299" s="2"/>
      <c r="D2299" s="2"/>
      <c r="E2299" s="3"/>
      <c r="F2299" s="4"/>
      <c r="G2299" s="4"/>
      <c r="H2299" s="14"/>
      <c r="I2299" s="4"/>
      <c r="J2299" s="6"/>
      <c r="K2299" s="7"/>
      <c r="L2299" s="8"/>
      <c r="O2299" s="10"/>
    </row>
    <row r="2300" ht="14.25" customHeight="1">
      <c r="A2300" s="1"/>
      <c r="B2300" s="2"/>
      <c r="C2300" s="2"/>
      <c r="D2300" s="2"/>
      <c r="E2300" s="3"/>
      <c r="F2300" s="4"/>
      <c r="G2300" s="4"/>
      <c r="H2300" s="4"/>
      <c r="I2300" s="4"/>
      <c r="J2300" s="6"/>
      <c r="K2300" s="7"/>
      <c r="L2300" s="8"/>
      <c r="O2300" s="10"/>
    </row>
    <row r="2301" ht="14.25" customHeight="1">
      <c r="A2301" s="1"/>
      <c r="B2301" s="2"/>
      <c r="C2301" s="2"/>
      <c r="D2301" s="2"/>
      <c r="E2301" s="3"/>
      <c r="F2301" s="4"/>
      <c r="G2301" s="4"/>
      <c r="H2301" s="4"/>
      <c r="I2301" s="4"/>
      <c r="J2301" s="6"/>
      <c r="K2301" s="7"/>
      <c r="L2301" s="8"/>
      <c r="O2301" s="10"/>
    </row>
    <row r="2302" ht="14.25" customHeight="1">
      <c r="A2302" s="1"/>
      <c r="B2302" s="2"/>
      <c r="C2302" s="2"/>
      <c r="D2302" s="2"/>
      <c r="E2302" s="3"/>
      <c r="F2302" s="4"/>
      <c r="G2302" s="4"/>
      <c r="H2302" s="14"/>
      <c r="I2302" s="4"/>
      <c r="J2302" s="6"/>
      <c r="K2302" s="7"/>
      <c r="L2302" s="8"/>
      <c r="O2302" s="10"/>
    </row>
    <row r="2303" ht="14.25" customHeight="1">
      <c r="A2303" s="1"/>
      <c r="B2303" s="2"/>
      <c r="C2303" s="2"/>
      <c r="D2303" s="2"/>
      <c r="E2303" s="3"/>
      <c r="F2303" s="4"/>
      <c r="G2303" s="4"/>
      <c r="H2303" s="14"/>
      <c r="I2303" s="4"/>
      <c r="J2303" s="6"/>
      <c r="K2303" s="7"/>
      <c r="L2303" s="8"/>
      <c r="O2303" s="10"/>
    </row>
    <row r="2304" ht="14.25" customHeight="1">
      <c r="A2304" s="1"/>
      <c r="B2304" s="2"/>
      <c r="C2304" s="2"/>
      <c r="D2304" s="2"/>
      <c r="E2304" s="3"/>
      <c r="F2304" s="4"/>
      <c r="G2304" s="4"/>
      <c r="H2304" s="14"/>
      <c r="I2304" s="4"/>
      <c r="J2304" s="6"/>
      <c r="K2304" s="7"/>
      <c r="L2304" s="8"/>
      <c r="O2304" s="10"/>
    </row>
    <row r="2305" ht="14.25" customHeight="1">
      <c r="A2305" s="1"/>
      <c r="B2305" s="2"/>
      <c r="C2305" s="2"/>
      <c r="D2305" s="2"/>
      <c r="E2305" s="3"/>
      <c r="F2305" s="4"/>
      <c r="G2305" s="4"/>
      <c r="H2305" s="4"/>
      <c r="I2305" s="4"/>
      <c r="J2305" s="6"/>
      <c r="K2305" s="7"/>
      <c r="L2305" s="8"/>
      <c r="O2305" s="10"/>
    </row>
    <row r="2306" ht="14.25" customHeight="1">
      <c r="A2306" s="1"/>
      <c r="B2306" s="2"/>
      <c r="C2306" s="2"/>
      <c r="D2306" s="2"/>
      <c r="E2306" s="3"/>
      <c r="F2306" s="4"/>
      <c r="G2306" s="4"/>
      <c r="H2306" s="4"/>
      <c r="I2306" s="4"/>
      <c r="J2306" s="6"/>
      <c r="K2306" s="7"/>
      <c r="L2306" s="8"/>
      <c r="O2306" s="10"/>
    </row>
    <row r="2307" ht="14.25" customHeight="1">
      <c r="A2307" s="1"/>
      <c r="B2307" s="2"/>
      <c r="C2307" s="2"/>
      <c r="D2307" s="2"/>
      <c r="E2307" s="3"/>
      <c r="F2307" s="4"/>
      <c r="G2307" s="4"/>
      <c r="H2307" s="14"/>
      <c r="I2307" s="4"/>
      <c r="J2307" s="6"/>
      <c r="K2307" s="7"/>
      <c r="L2307" s="8"/>
      <c r="O2307" s="10"/>
    </row>
    <row r="2308" ht="14.25" customHeight="1">
      <c r="A2308" s="1"/>
      <c r="B2308" s="2"/>
      <c r="C2308" s="2"/>
      <c r="D2308" s="2"/>
      <c r="E2308" s="3"/>
      <c r="F2308" s="4"/>
      <c r="G2308" s="4"/>
      <c r="H2308" s="14"/>
      <c r="I2308" s="4"/>
      <c r="J2308" s="6"/>
      <c r="K2308" s="7"/>
      <c r="L2308" s="8"/>
      <c r="O2308" s="10"/>
    </row>
    <row r="2309" ht="14.25" customHeight="1">
      <c r="A2309" s="1"/>
      <c r="B2309" s="2"/>
      <c r="C2309" s="2"/>
      <c r="D2309" s="2"/>
      <c r="E2309" s="3"/>
      <c r="F2309" s="4"/>
      <c r="G2309" s="4"/>
      <c r="H2309" s="4"/>
      <c r="I2309" s="4"/>
      <c r="J2309" s="6"/>
      <c r="K2309" s="7"/>
      <c r="L2309" s="8"/>
      <c r="O2309" s="10"/>
    </row>
    <row r="2310" ht="14.25" customHeight="1">
      <c r="A2310" s="1"/>
      <c r="B2310" s="2"/>
      <c r="C2310" s="2"/>
      <c r="D2310" s="2"/>
      <c r="E2310" s="3"/>
      <c r="F2310" s="4"/>
      <c r="G2310" s="4"/>
      <c r="H2310" s="14"/>
      <c r="I2310" s="4"/>
      <c r="J2310" s="6"/>
      <c r="K2310" s="7"/>
      <c r="L2310" s="8"/>
      <c r="O2310" s="10"/>
    </row>
    <row r="2311" ht="14.25" customHeight="1">
      <c r="A2311" s="1"/>
      <c r="B2311" s="2"/>
      <c r="C2311" s="2"/>
      <c r="D2311" s="2"/>
      <c r="E2311" s="3"/>
      <c r="F2311" s="4"/>
      <c r="G2311" s="4"/>
      <c r="H2311" s="14"/>
      <c r="I2311" s="4"/>
      <c r="J2311" s="6"/>
      <c r="K2311" s="7"/>
      <c r="L2311" s="8"/>
      <c r="O2311" s="10"/>
    </row>
    <row r="2312" ht="14.25" customHeight="1">
      <c r="A2312" s="1"/>
      <c r="B2312" s="2"/>
      <c r="C2312" s="2"/>
      <c r="D2312" s="2"/>
      <c r="E2312" s="3"/>
      <c r="F2312" s="4"/>
      <c r="G2312" s="4"/>
      <c r="H2312" s="14"/>
      <c r="I2312" s="4"/>
      <c r="J2312" s="6"/>
      <c r="K2312" s="7"/>
      <c r="L2312" s="8"/>
      <c r="O2312" s="10"/>
    </row>
    <row r="2313" ht="14.25" customHeight="1">
      <c r="A2313" s="1"/>
      <c r="B2313" s="2"/>
      <c r="C2313" s="2"/>
      <c r="D2313" s="2"/>
      <c r="E2313" s="3"/>
      <c r="F2313" s="4"/>
      <c r="G2313" s="4"/>
      <c r="H2313" s="14"/>
      <c r="I2313" s="4"/>
      <c r="J2313" s="6"/>
      <c r="K2313" s="7"/>
      <c r="L2313" s="8"/>
      <c r="O2313" s="10"/>
    </row>
    <row r="2314" ht="14.25" customHeight="1">
      <c r="A2314" s="1"/>
      <c r="B2314" s="2"/>
      <c r="C2314" s="2"/>
      <c r="D2314" s="2"/>
      <c r="E2314" s="3"/>
      <c r="F2314" s="4"/>
      <c r="G2314" s="4"/>
      <c r="H2314" s="14"/>
      <c r="I2314" s="4"/>
      <c r="J2314" s="6"/>
      <c r="K2314" s="7"/>
      <c r="L2314" s="8"/>
      <c r="O2314" s="10"/>
    </row>
    <row r="2315" ht="14.25" customHeight="1">
      <c r="A2315" s="1"/>
      <c r="B2315" s="2"/>
      <c r="C2315" s="2"/>
      <c r="D2315" s="2"/>
      <c r="E2315" s="3"/>
      <c r="F2315" s="4"/>
      <c r="G2315" s="4"/>
      <c r="H2315" s="14"/>
      <c r="I2315" s="4"/>
      <c r="J2315" s="6"/>
      <c r="K2315" s="7"/>
      <c r="L2315" s="8"/>
      <c r="O2315" s="10"/>
    </row>
    <row r="2316" ht="14.25" customHeight="1">
      <c r="A2316" s="1"/>
      <c r="B2316" s="2"/>
      <c r="C2316" s="2"/>
      <c r="D2316" s="2"/>
      <c r="E2316" s="3"/>
      <c r="F2316" s="4"/>
      <c r="G2316" s="4"/>
      <c r="H2316" s="4"/>
      <c r="I2316" s="4"/>
      <c r="J2316" s="6"/>
      <c r="K2316" s="7"/>
      <c r="L2316" s="8"/>
      <c r="O2316" s="10"/>
    </row>
    <row r="2317" ht="14.25" customHeight="1">
      <c r="A2317" s="1"/>
      <c r="B2317" s="2"/>
      <c r="C2317" s="2"/>
      <c r="D2317" s="2"/>
      <c r="E2317" s="3"/>
      <c r="F2317" s="4"/>
      <c r="G2317" s="4"/>
      <c r="H2317" s="14"/>
      <c r="I2317" s="4"/>
      <c r="J2317" s="6"/>
      <c r="K2317" s="7"/>
      <c r="L2317" s="8"/>
      <c r="O2317" s="10"/>
    </row>
    <row r="2318" ht="14.25" customHeight="1">
      <c r="A2318" s="1"/>
      <c r="B2318" s="2"/>
      <c r="C2318" s="2"/>
      <c r="D2318" s="2"/>
      <c r="E2318" s="3"/>
      <c r="F2318" s="4"/>
      <c r="G2318" s="4"/>
      <c r="H2318" s="4"/>
      <c r="I2318" s="4"/>
      <c r="J2318" s="6"/>
      <c r="K2318" s="7"/>
      <c r="L2318" s="8"/>
      <c r="O2318" s="10"/>
    </row>
    <row r="2319" ht="14.25" customHeight="1">
      <c r="A2319" s="1"/>
      <c r="B2319" s="2"/>
      <c r="C2319" s="2"/>
      <c r="D2319" s="2"/>
      <c r="E2319" s="3"/>
      <c r="F2319" s="4"/>
      <c r="G2319" s="4"/>
      <c r="H2319" s="14"/>
      <c r="I2319" s="4"/>
      <c r="J2319" s="6"/>
      <c r="K2319" s="7"/>
      <c r="L2319" s="8"/>
      <c r="O2319" s="10"/>
    </row>
    <row r="2320" ht="14.25" customHeight="1">
      <c r="A2320" s="1"/>
      <c r="B2320" s="2"/>
      <c r="C2320" s="2"/>
      <c r="D2320" s="2"/>
      <c r="E2320" s="3"/>
      <c r="F2320" s="4"/>
      <c r="G2320" s="4"/>
      <c r="H2320" s="14"/>
      <c r="I2320" s="4"/>
      <c r="J2320" s="6"/>
      <c r="K2320" s="7"/>
      <c r="L2320" s="8"/>
      <c r="O2320" s="10"/>
    </row>
    <row r="2321" ht="14.25" customHeight="1">
      <c r="A2321" s="1"/>
      <c r="B2321" s="2"/>
      <c r="C2321" s="2"/>
      <c r="D2321" s="2"/>
      <c r="E2321" s="3"/>
      <c r="F2321" s="4"/>
      <c r="G2321" s="4"/>
      <c r="H2321" s="14"/>
      <c r="I2321" s="4"/>
      <c r="J2321" s="6"/>
      <c r="K2321" s="7"/>
      <c r="L2321" s="8"/>
      <c r="O2321" s="10"/>
    </row>
    <row r="2322" ht="14.25" customHeight="1">
      <c r="A2322" s="1"/>
      <c r="B2322" s="2"/>
      <c r="C2322" s="2"/>
      <c r="D2322" s="2"/>
      <c r="E2322" s="3"/>
      <c r="F2322" s="4"/>
      <c r="G2322" s="4"/>
      <c r="H2322" s="14"/>
      <c r="I2322" s="4"/>
      <c r="J2322" s="6"/>
      <c r="K2322" s="7"/>
      <c r="L2322" s="8"/>
      <c r="O2322" s="10"/>
    </row>
    <row r="2323" ht="14.25" customHeight="1">
      <c r="A2323" s="1"/>
      <c r="B2323" s="2"/>
      <c r="C2323" s="2"/>
      <c r="D2323" s="2"/>
      <c r="E2323" s="3"/>
      <c r="F2323" s="4"/>
      <c r="G2323" s="4"/>
      <c r="H2323" s="14"/>
      <c r="I2323" s="4"/>
      <c r="J2323" s="6"/>
      <c r="K2323" s="7"/>
      <c r="L2323" s="8"/>
      <c r="O2323" s="10"/>
    </row>
    <row r="2324" ht="14.25" customHeight="1">
      <c r="A2324" s="1"/>
      <c r="B2324" s="2"/>
      <c r="C2324" s="2"/>
      <c r="D2324" s="2"/>
      <c r="E2324" s="3"/>
      <c r="F2324" s="4"/>
      <c r="G2324" s="4"/>
      <c r="H2324" s="14"/>
      <c r="I2324" s="4"/>
      <c r="J2324" s="6"/>
      <c r="K2324" s="7"/>
      <c r="L2324" s="8"/>
      <c r="O2324" s="10"/>
    </row>
    <row r="2325" ht="14.25" customHeight="1">
      <c r="A2325" s="1"/>
      <c r="B2325" s="2"/>
      <c r="C2325" s="2"/>
      <c r="D2325" s="2"/>
      <c r="E2325" s="3"/>
      <c r="F2325" s="4"/>
      <c r="G2325" s="4"/>
      <c r="H2325" s="4"/>
      <c r="I2325" s="4"/>
      <c r="J2325" s="6"/>
      <c r="K2325" s="7"/>
      <c r="L2325" s="8"/>
      <c r="O2325" s="10"/>
    </row>
    <row r="2326" ht="14.25" customHeight="1">
      <c r="A2326" s="1"/>
      <c r="B2326" s="2"/>
      <c r="C2326" s="2"/>
      <c r="D2326" s="2"/>
      <c r="E2326" s="3"/>
      <c r="F2326" s="4"/>
      <c r="G2326" s="4"/>
      <c r="H2326" s="4"/>
      <c r="I2326" s="4"/>
      <c r="J2326" s="6"/>
      <c r="K2326" s="7"/>
      <c r="L2326" s="8"/>
      <c r="O2326" s="10"/>
    </row>
    <row r="2327" ht="14.25" customHeight="1">
      <c r="A2327" s="1"/>
      <c r="B2327" s="2"/>
      <c r="C2327" s="2"/>
      <c r="D2327" s="2"/>
      <c r="E2327" s="3"/>
      <c r="F2327" s="4"/>
      <c r="G2327" s="4"/>
      <c r="H2327" s="4"/>
      <c r="I2327" s="4"/>
      <c r="J2327" s="6"/>
      <c r="K2327" s="7"/>
      <c r="L2327" s="8"/>
      <c r="O2327" s="10"/>
    </row>
    <row r="2328" ht="14.25" customHeight="1">
      <c r="A2328" s="1"/>
      <c r="B2328" s="2"/>
      <c r="C2328" s="2"/>
      <c r="D2328" s="2"/>
      <c r="E2328" s="3"/>
      <c r="F2328" s="4"/>
      <c r="G2328" s="4"/>
      <c r="H2328" s="4"/>
      <c r="I2328" s="4"/>
      <c r="J2328" s="6"/>
      <c r="K2328" s="7"/>
      <c r="L2328" s="8"/>
      <c r="O2328" s="10"/>
    </row>
    <row r="2329" ht="14.25" customHeight="1">
      <c r="A2329" s="1"/>
      <c r="B2329" s="2"/>
      <c r="C2329" s="2"/>
      <c r="D2329" s="2"/>
      <c r="E2329" s="3"/>
      <c r="F2329" s="4"/>
      <c r="G2329" s="4"/>
      <c r="H2329" s="4"/>
      <c r="I2329" s="4"/>
      <c r="J2329" s="6"/>
      <c r="K2329" s="7"/>
      <c r="L2329" s="8"/>
      <c r="O2329" s="10"/>
    </row>
    <row r="2330" ht="14.25" customHeight="1">
      <c r="A2330" s="1"/>
      <c r="B2330" s="2"/>
      <c r="C2330" s="2"/>
      <c r="D2330" s="2"/>
      <c r="E2330" s="3"/>
      <c r="F2330" s="4"/>
      <c r="G2330" s="4"/>
      <c r="H2330" s="4"/>
      <c r="I2330" s="4"/>
      <c r="J2330" s="6"/>
      <c r="K2330" s="7"/>
      <c r="L2330" s="8"/>
      <c r="O2330" s="10"/>
    </row>
    <row r="2331" ht="14.25" customHeight="1">
      <c r="A2331" s="1"/>
      <c r="B2331" s="2"/>
      <c r="C2331" s="2"/>
      <c r="D2331" s="2"/>
      <c r="E2331" s="3"/>
      <c r="F2331" s="4"/>
      <c r="G2331" s="4"/>
      <c r="H2331" s="14"/>
      <c r="I2331" s="4"/>
      <c r="J2331" s="6"/>
      <c r="K2331" s="7"/>
      <c r="L2331" s="8"/>
      <c r="O2331" s="10"/>
    </row>
    <row r="2332" ht="14.25" customHeight="1">
      <c r="A2332" s="1"/>
      <c r="B2332" s="2"/>
      <c r="C2332" s="2"/>
      <c r="D2332" s="2"/>
      <c r="E2332" s="3"/>
      <c r="F2332" s="4"/>
      <c r="G2332" s="4"/>
      <c r="H2332" s="14"/>
      <c r="I2332" s="4"/>
      <c r="J2332" s="6"/>
      <c r="K2332" s="7"/>
      <c r="L2332" s="8"/>
      <c r="O2332" s="10"/>
    </row>
    <row r="2333" ht="14.25" customHeight="1">
      <c r="A2333" s="1"/>
      <c r="B2333" s="2"/>
      <c r="C2333" s="2"/>
      <c r="D2333" s="2"/>
      <c r="E2333" s="3"/>
      <c r="F2333" s="4"/>
      <c r="G2333" s="4"/>
      <c r="H2333" s="14"/>
      <c r="I2333" s="4"/>
      <c r="J2333" s="6"/>
      <c r="K2333" s="7"/>
      <c r="L2333" s="8"/>
      <c r="O2333" s="10"/>
    </row>
    <row r="2334" ht="14.25" customHeight="1">
      <c r="A2334" s="1"/>
      <c r="B2334" s="2"/>
      <c r="C2334" s="2"/>
      <c r="D2334" s="2"/>
      <c r="E2334" s="3"/>
      <c r="F2334" s="4"/>
      <c r="G2334" s="4"/>
      <c r="H2334" s="14"/>
      <c r="I2334" s="4"/>
      <c r="J2334" s="6"/>
      <c r="K2334" s="7"/>
      <c r="L2334" s="8"/>
      <c r="O2334" s="10"/>
    </row>
    <row r="2335" ht="14.25" customHeight="1">
      <c r="A2335" s="1"/>
      <c r="B2335" s="2"/>
      <c r="C2335" s="2"/>
      <c r="D2335" s="2"/>
      <c r="E2335" s="3"/>
      <c r="F2335" s="4"/>
      <c r="G2335" s="4"/>
      <c r="H2335" s="14"/>
      <c r="I2335" s="4"/>
      <c r="J2335" s="6"/>
      <c r="K2335" s="7"/>
      <c r="L2335" s="8"/>
      <c r="O2335" s="10"/>
    </row>
    <row r="2336" ht="14.25" customHeight="1">
      <c r="A2336" s="1"/>
      <c r="B2336" s="2"/>
      <c r="C2336" s="2"/>
      <c r="D2336" s="2"/>
      <c r="E2336" s="3"/>
      <c r="F2336" s="4"/>
      <c r="G2336" s="4"/>
      <c r="H2336" s="14"/>
      <c r="I2336" s="4"/>
      <c r="J2336" s="6"/>
      <c r="K2336" s="7"/>
      <c r="L2336" s="8"/>
      <c r="O2336" s="10"/>
    </row>
    <row r="2337" ht="14.25" customHeight="1">
      <c r="A2337" s="1"/>
      <c r="B2337" s="2"/>
      <c r="C2337" s="2"/>
      <c r="D2337" s="2"/>
      <c r="E2337" s="3"/>
      <c r="F2337" s="4"/>
      <c r="G2337" s="4"/>
      <c r="H2337" s="14"/>
      <c r="I2337" s="4"/>
      <c r="J2337" s="6"/>
      <c r="K2337" s="7"/>
      <c r="L2337" s="8"/>
      <c r="O2337" s="10"/>
    </row>
    <row r="2338" ht="14.25" customHeight="1">
      <c r="A2338" s="1"/>
      <c r="B2338" s="2"/>
      <c r="C2338" s="2"/>
      <c r="D2338" s="2"/>
      <c r="E2338" s="3"/>
      <c r="F2338" s="4"/>
      <c r="G2338" s="4"/>
      <c r="H2338" s="14"/>
      <c r="I2338" s="4"/>
      <c r="J2338" s="6"/>
      <c r="K2338" s="7"/>
      <c r="L2338" s="8"/>
      <c r="O2338" s="10"/>
    </row>
    <row r="2339" ht="14.25" customHeight="1">
      <c r="A2339" s="1"/>
      <c r="B2339" s="2"/>
      <c r="C2339" s="2"/>
      <c r="D2339" s="2"/>
      <c r="E2339" s="3"/>
      <c r="F2339" s="4"/>
      <c r="G2339" s="4"/>
      <c r="H2339" s="14"/>
      <c r="I2339" s="4"/>
      <c r="J2339" s="6"/>
      <c r="K2339" s="7"/>
      <c r="L2339" s="8"/>
      <c r="O2339" s="10"/>
    </row>
    <row r="2340" ht="14.25" customHeight="1">
      <c r="A2340" s="1"/>
      <c r="B2340" s="2"/>
      <c r="C2340" s="2"/>
      <c r="D2340" s="2"/>
      <c r="E2340" s="3"/>
      <c r="F2340" s="4"/>
      <c r="G2340" s="4"/>
      <c r="H2340" s="14"/>
      <c r="I2340" s="4"/>
      <c r="J2340" s="6"/>
      <c r="K2340" s="7"/>
      <c r="L2340" s="8"/>
      <c r="O2340" s="10"/>
    </row>
    <row r="2341" ht="14.25" customHeight="1">
      <c r="A2341" s="1"/>
      <c r="B2341" s="2"/>
      <c r="C2341" s="2"/>
      <c r="D2341" s="2"/>
      <c r="E2341" s="3"/>
      <c r="F2341" s="4"/>
      <c r="G2341" s="4"/>
      <c r="H2341" s="14"/>
      <c r="I2341" s="4"/>
      <c r="J2341" s="6"/>
      <c r="K2341" s="7"/>
      <c r="L2341" s="8"/>
      <c r="O2341" s="10"/>
    </row>
    <row r="2342" ht="14.25" customHeight="1">
      <c r="A2342" s="1"/>
      <c r="B2342" s="2"/>
      <c r="C2342" s="2"/>
      <c r="D2342" s="2"/>
      <c r="E2342" s="3"/>
      <c r="F2342" s="4"/>
      <c r="G2342" s="4"/>
      <c r="H2342" s="14"/>
      <c r="I2342" s="4"/>
      <c r="J2342" s="6"/>
      <c r="K2342" s="7"/>
      <c r="L2342" s="8"/>
      <c r="O2342" s="10"/>
    </row>
    <row r="2343" ht="14.25" customHeight="1">
      <c r="A2343" s="1"/>
      <c r="B2343" s="2"/>
      <c r="C2343" s="2"/>
      <c r="D2343" s="2"/>
      <c r="E2343" s="3"/>
      <c r="F2343" s="4"/>
      <c r="G2343" s="4"/>
      <c r="H2343" s="14"/>
      <c r="I2343" s="4"/>
      <c r="J2343" s="6"/>
      <c r="K2343" s="7"/>
      <c r="L2343" s="8"/>
      <c r="O2343" s="10"/>
    </row>
    <row r="2344" ht="14.25" customHeight="1">
      <c r="A2344" s="1"/>
      <c r="B2344" s="2"/>
      <c r="C2344" s="2"/>
      <c r="D2344" s="2"/>
      <c r="E2344" s="3"/>
      <c r="F2344" s="4"/>
      <c r="G2344" s="4"/>
      <c r="H2344" s="14"/>
      <c r="I2344" s="4"/>
      <c r="J2344" s="6"/>
      <c r="K2344" s="7"/>
      <c r="L2344" s="8"/>
      <c r="O2344" s="10"/>
    </row>
    <row r="2345" ht="14.25" customHeight="1">
      <c r="A2345" s="1"/>
      <c r="B2345" s="2"/>
      <c r="C2345" s="2"/>
      <c r="D2345" s="2"/>
      <c r="E2345" s="3"/>
      <c r="F2345" s="4"/>
      <c r="G2345" s="4"/>
      <c r="H2345" s="4"/>
      <c r="I2345" s="4"/>
      <c r="J2345" s="6"/>
      <c r="K2345" s="7"/>
      <c r="L2345" s="8"/>
      <c r="O2345" s="10"/>
    </row>
    <row r="2346" ht="14.25" customHeight="1">
      <c r="A2346" s="1"/>
      <c r="B2346" s="2"/>
      <c r="C2346" s="2"/>
      <c r="D2346" s="2"/>
      <c r="E2346" s="3"/>
      <c r="F2346" s="4"/>
      <c r="G2346" s="4"/>
      <c r="H2346" s="14"/>
      <c r="I2346" s="4"/>
      <c r="J2346" s="6"/>
      <c r="K2346" s="7"/>
      <c r="L2346" s="8"/>
      <c r="O2346" s="10"/>
    </row>
    <row r="2347" ht="14.25" customHeight="1">
      <c r="A2347" s="1"/>
      <c r="B2347" s="2"/>
      <c r="C2347" s="2"/>
      <c r="D2347" s="2"/>
      <c r="E2347" s="3"/>
      <c r="F2347" s="4"/>
      <c r="G2347" s="4"/>
      <c r="H2347" s="14"/>
      <c r="I2347" s="4"/>
      <c r="J2347" s="6"/>
      <c r="K2347" s="7"/>
      <c r="L2347" s="8"/>
      <c r="O2347" s="10"/>
    </row>
    <row r="2348" ht="14.25" customHeight="1">
      <c r="A2348" s="1"/>
      <c r="B2348" s="2"/>
      <c r="C2348" s="2"/>
      <c r="D2348" s="2"/>
      <c r="E2348" s="3"/>
      <c r="F2348" s="4"/>
      <c r="G2348" s="4"/>
      <c r="H2348" s="14"/>
      <c r="I2348" s="4"/>
      <c r="J2348" s="6"/>
      <c r="K2348" s="7"/>
      <c r="L2348" s="8"/>
      <c r="O2348" s="10"/>
    </row>
    <row r="2349" ht="14.25" customHeight="1">
      <c r="A2349" s="1"/>
      <c r="B2349" s="2"/>
      <c r="C2349" s="2"/>
      <c r="D2349" s="2"/>
      <c r="E2349" s="3"/>
      <c r="F2349" s="4"/>
      <c r="G2349" s="4"/>
      <c r="H2349" s="4"/>
      <c r="I2349" s="4"/>
      <c r="J2349" s="6"/>
      <c r="K2349" s="7"/>
      <c r="L2349" s="8"/>
      <c r="O2349" s="10"/>
    </row>
    <row r="2350" ht="14.25" customHeight="1">
      <c r="A2350" s="1"/>
      <c r="B2350" s="2"/>
      <c r="C2350" s="2"/>
      <c r="D2350" s="2"/>
      <c r="E2350" s="3"/>
      <c r="F2350" s="4"/>
      <c r="G2350" s="4"/>
      <c r="H2350" s="14"/>
      <c r="I2350" s="4"/>
      <c r="J2350" s="6"/>
      <c r="K2350" s="7"/>
      <c r="L2350" s="8"/>
      <c r="O2350" s="10"/>
    </row>
    <row r="2351" ht="14.25" customHeight="1">
      <c r="A2351" s="1"/>
      <c r="B2351" s="2"/>
      <c r="C2351" s="2"/>
      <c r="D2351" s="2"/>
      <c r="E2351" s="3"/>
      <c r="F2351" s="4"/>
      <c r="G2351" s="4"/>
      <c r="H2351" s="14"/>
      <c r="I2351" s="4"/>
      <c r="J2351" s="6"/>
      <c r="K2351" s="7"/>
      <c r="L2351" s="8"/>
      <c r="O2351" s="10"/>
    </row>
    <row r="2352" ht="14.25" customHeight="1">
      <c r="A2352" s="1"/>
      <c r="B2352" s="2"/>
      <c r="C2352" s="2"/>
      <c r="D2352" s="2"/>
      <c r="E2352" s="3"/>
      <c r="F2352" s="4"/>
      <c r="G2352" s="4"/>
      <c r="H2352" s="14"/>
      <c r="I2352" s="4"/>
      <c r="J2352" s="6"/>
      <c r="K2352" s="7"/>
      <c r="L2352" s="8"/>
      <c r="O2352" s="10"/>
    </row>
    <row r="2353" ht="14.25" customHeight="1">
      <c r="A2353" s="1"/>
      <c r="B2353" s="2"/>
      <c r="C2353" s="2"/>
      <c r="D2353" s="2"/>
      <c r="E2353" s="3"/>
      <c r="F2353" s="4"/>
      <c r="G2353" s="4"/>
      <c r="H2353" s="4"/>
      <c r="I2353" s="4"/>
      <c r="J2353" s="6"/>
      <c r="K2353" s="7"/>
      <c r="L2353" s="8"/>
      <c r="O2353" s="10"/>
    </row>
    <row r="2354" ht="14.25" customHeight="1">
      <c r="A2354" s="1"/>
      <c r="B2354" s="2"/>
      <c r="C2354" s="2"/>
      <c r="D2354" s="2"/>
      <c r="E2354" s="3"/>
      <c r="F2354" s="4"/>
      <c r="G2354" s="4"/>
      <c r="H2354" s="14"/>
      <c r="I2354" s="4"/>
      <c r="J2354" s="6"/>
      <c r="K2354" s="7"/>
      <c r="L2354" s="8"/>
      <c r="O2354" s="10"/>
    </row>
    <row r="2355" ht="14.25" customHeight="1">
      <c r="A2355" s="1"/>
      <c r="B2355" s="2"/>
      <c r="C2355" s="2"/>
      <c r="D2355" s="2"/>
      <c r="E2355" s="3"/>
      <c r="F2355" s="4"/>
      <c r="G2355" s="4"/>
      <c r="H2355" s="4"/>
      <c r="I2355" s="4"/>
      <c r="J2355" s="6"/>
      <c r="K2355" s="7"/>
      <c r="L2355" s="8"/>
      <c r="O2355" s="10"/>
    </row>
    <row r="2356" ht="14.25" customHeight="1">
      <c r="A2356" s="1"/>
      <c r="B2356" s="2"/>
      <c r="C2356" s="2"/>
      <c r="D2356" s="2"/>
      <c r="E2356" s="3"/>
      <c r="F2356" s="4"/>
      <c r="G2356" s="4"/>
      <c r="H2356" s="14"/>
      <c r="I2356" s="4"/>
      <c r="J2356" s="6"/>
      <c r="K2356" s="7"/>
      <c r="L2356" s="8"/>
      <c r="O2356" s="10"/>
    </row>
    <row r="2357" ht="14.25" customHeight="1">
      <c r="A2357" s="1"/>
      <c r="B2357" s="2"/>
      <c r="C2357" s="2"/>
      <c r="D2357" s="2"/>
      <c r="E2357" s="3"/>
      <c r="F2357" s="4"/>
      <c r="G2357" s="4"/>
      <c r="H2357" s="14"/>
      <c r="I2357" s="4"/>
      <c r="J2357" s="6"/>
      <c r="K2357" s="7"/>
      <c r="L2357" s="8"/>
      <c r="O2357" s="10"/>
    </row>
    <row r="2358" ht="14.25" customHeight="1">
      <c r="A2358" s="1"/>
      <c r="B2358" s="2"/>
      <c r="C2358" s="2"/>
      <c r="D2358" s="2"/>
      <c r="E2358" s="3"/>
      <c r="F2358" s="4"/>
      <c r="G2358" s="4"/>
      <c r="H2358" s="14"/>
      <c r="I2358" s="4"/>
      <c r="J2358" s="6"/>
      <c r="K2358" s="7"/>
      <c r="L2358" s="8"/>
      <c r="O2358" s="10"/>
    </row>
    <row r="2359" ht="14.25" customHeight="1">
      <c r="A2359" s="1"/>
      <c r="B2359" s="2"/>
      <c r="C2359" s="2"/>
      <c r="D2359" s="2"/>
      <c r="E2359" s="3"/>
      <c r="F2359" s="4"/>
      <c r="G2359" s="4"/>
      <c r="H2359" s="14"/>
      <c r="I2359" s="4"/>
      <c r="J2359" s="6"/>
      <c r="K2359" s="7"/>
      <c r="L2359" s="8"/>
      <c r="O2359" s="10"/>
    </row>
    <row r="2360" ht="14.25" customHeight="1">
      <c r="A2360" s="1"/>
      <c r="B2360" s="2"/>
      <c r="C2360" s="2"/>
      <c r="D2360" s="2"/>
      <c r="E2360" s="3"/>
      <c r="F2360" s="4"/>
      <c r="G2360" s="4"/>
      <c r="H2360" s="4"/>
      <c r="I2360" s="4"/>
      <c r="J2360" s="6"/>
      <c r="K2360" s="7"/>
      <c r="L2360" s="8"/>
      <c r="O2360" s="10"/>
    </row>
    <row r="2361" ht="14.25" customHeight="1">
      <c r="A2361" s="1"/>
      <c r="B2361" s="2"/>
      <c r="C2361" s="2"/>
      <c r="D2361" s="2"/>
      <c r="E2361" s="3"/>
      <c r="F2361" s="4"/>
      <c r="G2361" s="4"/>
      <c r="H2361" s="4"/>
      <c r="I2361" s="4"/>
      <c r="J2361" s="6"/>
      <c r="K2361" s="7"/>
      <c r="L2361" s="8"/>
      <c r="O2361" s="10"/>
    </row>
    <row r="2362" ht="14.25" customHeight="1">
      <c r="A2362" s="1"/>
      <c r="B2362" s="2"/>
      <c r="C2362" s="2"/>
      <c r="D2362" s="2"/>
      <c r="E2362" s="3"/>
      <c r="F2362" s="4"/>
      <c r="G2362" s="4"/>
      <c r="H2362" s="14"/>
      <c r="I2362" s="4"/>
      <c r="J2362" s="6"/>
      <c r="K2362" s="7"/>
      <c r="L2362" s="8"/>
      <c r="O2362" s="10"/>
    </row>
    <row r="2363" ht="14.25" customHeight="1">
      <c r="A2363" s="1"/>
      <c r="B2363" s="2"/>
      <c r="C2363" s="2"/>
      <c r="D2363" s="2"/>
      <c r="E2363" s="3"/>
      <c r="F2363" s="4"/>
      <c r="G2363" s="4"/>
      <c r="H2363" s="4"/>
      <c r="I2363" s="4"/>
      <c r="J2363" s="6"/>
      <c r="K2363" s="7"/>
      <c r="L2363" s="8"/>
      <c r="O2363" s="10"/>
    </row>
    <row r="2364" ht="14.25" customHeight="1">
      <c r="A2364" s="1"/>
      <c r="B2364" s="2"/>
      <c r="C2364" s="2"/>
      <c r="D2364" s="2"/>
      <c r="E2364" s="3"/>
      <c r="F2364" s="4"/>
      <c r="G2364" s="4"/>
      <c r="H2364" s="14"/>
      <c r="I2364" s="4"/>
      <c r="J2364" s="6"/>
      <c r="K2364" s="7"/>
      <c r="L2364" s="8"/>
      <c r="O2364" s="10"/>
    </row>
    <row r="2365" ht="14.25" customHeight="1">
      <c r="A2365" s="1"/>
      <c r="B2365" s="2"/>
      <c r="C2365" s="2"/>
      <c r="D2365" s="2"/>
      <c r="E2365" s="3"/>
      <c r="F2365" s="4"/>
      <c r="G2365" s="4"/>
      <c r="H2365" s="14"/>
      <c r="I2365" s="4"/>
      <c r="J2365" s="6"/>
      <c r="K2365" s="7"/>
      <c r="L2365" s="8"/>
      <c r="O2365" s="10"/>
    </row>
    <row r="2366" ht="14.25" customHeight="1">
      <c r="A2366" s="1"/>
      <c r="B2366" s="2"/>
      <c r="C2366" s="2"/>
      <c r="D2366" s="2"/>
      <c r="E2366" s="3"/>
      <c r="F2366" s="4"/>
      <c r="G2366" s="4"/>
      <c r="H2366" s="14"/>
      <c r="I2366" s="4"/>
      <c r="J2366" s="6"/>
      <c r="K2366" s="7"/>
      <c r="L2366" s="8"/>
      <c r="O2366" s="10"/>
    </row>
    <row r="2367" ht="14.25" customHeight="1">
      <c r="A2367" s="1"/>
      <c r="B2367" s="2"/>
      <c r="C2367" s="2"/>
      <c r="D2367" s="2"/>
      <c r="E2367" s="3"/>
      <c r="F2367" s="4"/>
      <c r="G2367" s="4"/>
      <c r="H2367" s="14"/>
      <c r="I2367" s="4"/>
      <c r="J2367" s="6"/>
      <c r="K2367" s="7"/>
      <c r="L2367" s="8"/>
      <c r="O2367" s="10"/>
    </row>
    <row r="2368" ht="14.25" customHeight="1">
      <c r="A2368" s="1"/>
      <c r="B2368" s="2"/>
      <c r="C2368" s="2"/>
      <c r="D2368" s="2"/>
      <c r="E2368" s="3"/>
      <c r="F2368" s="4"/>
      <c r="G2368" s="4"/>
      <c r="H2368" s="4"/>
      <c r="I2368" s="4"/>
      <c r="J2368" s="6"/>
      <c r="K2368" s="7"/>
      <c r="L2368" s="8"/>
      <c r="O2368" s="10"/>
    </row>
    <row r="2369" ht="14.25" customHeight="1">
      <c r="A2369" s="1"/>
      <c r="B2369" s="2"/>
      <c r="C2369" s="2"/>
      <c r="D2369" s="2"/>
      <c r="E2369" s="3"/>
      <c r="F2369" s="4"/>
      <c r="G2369" s="4"/>
      <c r="H2369" s="14"/>
      <c r="I2369" s="4"/>
      <c r="J2369" s="6"/>
      <c r="K2369" s="7"/>
      <c r="L2369" s="8"/>
      <c r="O2369" s="10"/>
    </row>
    <row r="2370" ht="14.25" customHeight="1">
      <c r="A2370" s="1"/>
      <c r="B2370" s="2"/>
      <c r="C2370" s="2"/>
      <c r="D2370" s="2"/>
      <c r="E2370" s="3"/>
      <c r="F2370" s="4"/>
      <c r="G2370" s="4"/>
      <c r="H2370" s="14"/>
      <c r="I2370" s="4"/>
      <c r="J2370" s="6"/>
      <c r="K2370" s="7"/>
      <c r="L2370" s="8"/>
      <c r="O2370" s="10"/>
    </row>
    <row r="2371" ht="14.25" customHeight="1">
      <c r="A2371" s="1"/>
      <c r="B2371" s="2"/>
      <c r="C2371" s="2"/>
      <c r="D2371" s="2"/>
      <c r="E2371" s="3"/>
      <c r="F2371" s="4"/>
      <c r="G2371" s="4"/>
      <c r="H2371" s="14"/>
      <c r="I2371" s="4"/>
      <c r="J2371" s="6"/>
      <c r="K2371" s="7"/>
      <c r="L2371" s="8"/>
      <c r="O2371" s="10"/>
    </row>
    <row r="2372" ht="14.25" customHeight="1">
      <c r="A2372" s="1"/>
      <c r="B2372" s="2"/>
      <c r="C2372" s="2"/>
      <c r="D2372" s="2"/>
      <c r="E2372" s="3"/>
      <c r="F2372" s="4"/>
      <c r="G2372" s="4"/>
      <c r="H2372" s="4"/>
      <c r="I2372" s="4"/>
      <c r="J2372" s="6"/>
      <c r="K2372" s="7"/>
      <c r="L2372" s="8"/>
      <c r="O2372" s="10"/>
    </row>
    <row r="2373" ht="14.25" customHeight="1">
      <c r="A2373" s="1"/>
      <c r="B2373" s="2"/>
      <c r="C2373" s="2"/>
      <c r="D2373" s="2"/>
      <c r="E2373" s="3"/>
      <c r="F2373" s="4"/>
      <c r="G2373" s="4"/>
      <c r="H2373" s="14"/>
      <c r="I2373" s="4"/>
      <c r="J2373" s="6"/>
      <c r="K2373" s="7"/>
      <c r="L2373" s="8"/>
      <c r="O2373" s="10"/>
    </row>
    <row r="2374" ht="14.25" customHeight="1">
      <c r="A2374" s="1"/>
      <c r="B2374" s="2"/>
      <c r="C2374" s="2"/>
      <c r="D2374" s="2"/>
      <c r="E2374" s="3"/>
      <c r="F2374" s="4"/>
      <c r="G2374" s="4"/>
      <c r="H2374" s="4"/>
      <c r="I2374" s="4"/>
      <c r="J2374" s="6"/>
      <c r="K2374" s="7"/>
      <c r="L2374" s="8"/>
      <c r="O2374" s="10"/>
    </row>
    <row r="2375" ht="14.25" customHeight="1">
      <c r="A2375" s="1"/>
      <c r="B2375" s="2"/>
      <c r="C2375" s="2"/>
      <c r="D2375" s="2"/>
      <c r="E2375" s="3"/>
      <c r="F2375" s="4"/>
      <c r="G2375" s="4"/>
      <c r="H2375" s="14"/>
      <c r="I2375" s="4"/>
      <c r="J2375" s="6"/>
      <c r="K2375" s="7"/>
      <c r="L2375" s="8"/>
      <c r="O2375" s="10"/>
    </row>
    <row r="2376" ht="14.25" customHeight="1">
      <c r="A2376" s="1"/>
      <c r="B2376" s="2"/>
      <c r="C2376" s="2"/>
      <c r="D2376" s="2"/>
      <c r="E2376" s="3"/>
      <c r="F2376" s="4"/>
      <c r="G2376" s="4"/>
      <c r="H2376" s="14"/>
      <c r="I2376" s="4"/>
      <c r="J2376" s="6"/>
      <c r="K2376" s="7"/>
      <c r="L2376" s="8"/>
      <c r="O2376" s="10"/>
    </row>
    <row r="2377" ht="14.25" customHeight="1">
      <c r="A2377" s="1"/>
      <c r="B2377" s="2"/>
      <c r="C2377" s="2"/>
      <c r="D2377" s="2"/>
      <c r="E2377" s="3"/>
      <c r="F2377" s="4"/>
      <c r="G2377" s="4"/>
      <c r="H2377" s="4"/>
      <c r="I2377" s="4"/>
      <c r="J2377" s="6"/>
      <c r="K2377" s="7"/>
      <c r="L2377" s="8"/>
      <c r="O2377" s="10"/>
    </row>
    <row r="2378" ht="14.25" customHeight="1">
      <c r="A2378" s="1"/>
      <c r="B2378" s="2"/>
      <c r="C2378" s="2"/>
      <c r="D2378" s="2"/>
      <c r="E2378" s="3"/>
      <c r="F2378" s="4"/>
      <c r="G2378" s="4"/>
      <c r="H2378" s="14"/>
      <c r="I2378" s="4"/>
      <c r="J2378" s="6"/>
      <c r="K2378" s="7"/>
      <c r="L2378" s="8"/>
      <c r="O2378" s="10"/>
    </row>
    <row r="2379" ht="14.25" customHeight="1">
      <c r="A2379" s="1"/>
      <c r="B2379" s="2"/>
      <c r="C2379" s="2"/>
      <c r="D2379" s="2"/>
      <c r="E2379" s="3"/>
      <c r="F2379" s="4"/>
      <c r="G2379" s="4"/>
      <c r="H2379" s="14"/>
      <c r="I2379" s="4"/>
      <c r="J2379" s="6"/>
      <c r="K2379" s="7"/>
      <c r="L2379" s="8"/>
      <c r="O2379" s="10"/>
    </row>
    <row r="2380" ht="14.25" customHeight="1">
      <c r="A2380" s="1"/>
      <c r="B2380" s="2"/>
      <c r="C2380" s="2"/>
      <c r="D2380" s="2"/>
      <c r="E2380" s="3"/>
      <c r="F2380" s="4"/>
      <c r="G2380" s="4"/>
      <c r="H2380" s="4"/>
      <c r="I2380" s="4"/>
      <c r="J2380" s="6"/>
      <c r="K2380" s="7"/>
      <c r="L2380" s="8"/>
      <c r="O2380" s="10"/>
    </row>
    <row r="2381" ht="14.25" customHeight="1">
      <c r="A2381" s="1"/>
      <c r="B2381" s="2"/>
      <c r="C2381" s="2"/>
      <c r="D2381" s="2"/>
      <c r="E2381" s="3"/>
      <c r="F2381" s="4"/>
      <c r="G2381" s="4"/>
      <c r="H2381" s="4"/>
      <c r="I2381" s="4"/>
      <c r="J2381" s="6"/>
      <c r="K2381" s="7"/>
      <c r="L2381" s="8"/>
      <c r="O2381" s="10"/>
    </row>
    <row r="2382" ht="14.25" customHeight="1">
      <c r="A2382" s="1"/>
      <c r="B2382" s="2"/>
      <c r="C2382" s="2"/>
      <c r="D2382" s="2"/>
      <c r="E2382" s="3"/>
      <c r="F2382" s="4"/>
      <c r="G2382" s="4"/>
      <c r="H2382" s="4"/>
      <c r="I2382" s="4"/>
      <c r="J2382" s="6"/>
      <c r="K2382" s="7"/>
      <c r="L2382" s="8"/>
      <c r="O2382" s="10"/>
    </row>
    <row r="2383" ht="14.25" customHeight="1">
      <c r="A2383" s="1"/>
      <c r="B2383" s="2"/>
      <c r="C2383" s="2"/>
      <c r="D2383" s="2"/>
      <c r="E2383" s="3"/>
      <c r="F2383" s="4"/>
      <c r="G2383" s="4"/>
      <c r="H2383" s="14"/>
      <c r="I2383" s="4"/>
      <c r="J2383" s="6"/>
      <c r="K2383" s="7"/>
      <c r="L2383" s="8"/>
      <c r="O2383" s="10"/>
    </row>
    <row r="2384" ht="14.25" customHeight="1">
      <c r="A2384" s="1"/>
      <c r="B2384" s="2"/>
      <c r="C2384" s="2"/>
      <c r="D2384" s="2"/>
      <c r="E2384" s="3"/>
      <c r="F2384" s="4"/>
      <c r="G2384" s="4"/>
      <c r="H2384" s="14"/>
      <c r="I2384" s="4"/>
      <c r="J2384" s="6"/>
      <c r="K2384" s="7"/>
      <c r="L2384" s="8"/>
      <c r="O2384" s="10"/>
    </row>
    <row r="2385" ht="14.25" customHeight="1">
      <c r="A2385" s="1"/>
      <c r="B2385" s="2"/>
      <c r="C2385" s="2"/>
      <c r="D2385" s="2"/>
      <c r="E2385" s="3"/>
      <c r="F2385" s="4"/>
      <c r="G2385" s="4"/>
      <c r="H2385" s="4"/>
      <c r="I2385" s="4"/>
      <c r="J2385" s="6"/>
      <c r="K2385" s="7"/>
      <c r="L2385" s="8"/>
      <c r="O2385" s="10"/>
    </row>
    <row r="2386" ht="14.25" customHeight="1">
      <c r="A2386" s="1"/>
      <c r="B2386" s="2"/>
      <c r="C2386" s="2"/>
      <c r="D2386" s="2"/>
      <c r="E2386" s="3"/>
      <c r="F2386" s="4"/>
      <c r="G2386" s="4"/>
      <c r="H2386" s="4"/>
      <c r="I2386" s="4"/>
      <c r="J2386" s="6"/>
      <c r="K2386" s="7"/>
      <c r="L2386" s="8"/>
      <c r="O2386" s="10"/>
    </row>
    <row r="2387" ht="14.25" customHeight="1">
      <c r="A2387" s="1"/>
      <c r="B2387" s="2"/>
      <c r="C2387" s="2"/>
      <c r="D2387" s="2"/>
      <c r="E2387" s="3"/>
      <c r="F2387" s="4"/>
      <c r="G2387" s="4"/>
      <c r="H2387" s="14"/>
      <c r="I2387" s="4"/>
      <c r="J2387" s="6"/>
      <c r="K2387" s="7"/>
      <c r="L2387" s="8"/>
      <c r="O2387" s="10"/>
    </row>
    <row r="2388" ht="14.25" customHeight="1">
      <c r="A2388" s="1"/>
      <c r="B2388" s="2"/>
      <c r="C2388" s="2"/>
      <c r="D2388" s="2"/>
      <c r="E2388" s="3"/>
      <c r="F2388" s="4"/>
      <c r="G2388" s="4"/>
      <c r="H2388" s="14"/>
      <c r="I2388" s="4"/>
      <c r="J2388" s="6"/>
      <c r="K2388" s="7"/>
      <c r="L2388" s="8"/>
      <c r="O2388" s="10"/>
    </row>
    <row r="2389" ht="14.25" customHeight="1">
      <c r="A2389" s="1"/>
      <c r="B2389" s="2"/>
      <c r="C2389" s="2"/>
      <c r="D2389" s="2"/>
      <c r="E2389" s="3"/>
      <c r="F2389" s="4"/>
      <c r="G2389" s="4"/>
      <c r="H2389" s="14"/>
      <c r="I2389" s="4"/>
      <c r="J2389" s="6"/>
      <c r="K2389" s="7"/>
      <c r="L2389" s="8"/>
      <c r="O2389" s="10"/>
    </row>
    <row r="2390" ht="14.25" customHeight="1">
      <c r="A2390" s="1"/>
      <c r="B2390" s="2"/>
      <c r="C2390" s="2"/>
      <c r="D2390" s="2"/>
      <c r="E2390" s="3"/>
      <c r="F2390" s="4"/>
      <c r="G2390" s="4"/>
      <c r="H2390" s="14"/>
      <c r="I2390" s="4"/>
      <c r="J2390" s="6"/>
      <c r="K2390" s="7"/>
      <c r="L2390" s="8"/>
      <c r="O2390" s="10"/>
    </row>
    <row r="2391" ht="14.25" customHeight="1">
      <c r="A2391" s="1"/>
      <c r="B2391" s="2"/>
      <c r="C2391" s="2"/>
      <c r="D2391" s="2"/>
      <c r="E2391" s="3"/>
      <c r="F2391" s="4"/>
      <c r="G2391" s="4"/>
      <c r="H2391" s="14"/>
      <c r="I2391" s="4"/>
      <c r="J2391" s="6"/>
      <c r="K2391" s="7"/>
      <c r="L2391" s="8"/>
      <c r="O2391" s="10"/>
    </row>
    <row r="2392" ht="14.25" customHeight="1">
      <c r="A2392" s="1"/>
      <c r="B2392" s="2"/>
      <c r="C2392" s="2"/>
      <c r="D2392" s="2"/>
      <c r="E2392" s="3"/>
      <c r="F2392" s="4"/>
      <c r="G2392" s="4"/>
      <c r="H2392" s="14"/>
      <c r="I2392" s="4"/>
      <c r="J2392" s="6"/>
      <c r="K2392" s="7"/>
      <c r="L2392" s="8"/>
      <c r="O2392" s="10"/>
    </row>
    <row r="2393" ht="14.25" customHeight="1">
      <c r="A2393" s="1"/>
      <c r="B2393" s="2"/>
      <c r="C2393" s="2"/>
      <c r="D2393" s="2"/>
      <c r="E2393" s="3"/>
      <c r="F2393" s="4"/>
      <c r="G2393" s="4"/>
      <c r="H2393" s="14"/>
      <c r="I2393" s="4"/>
      <c r="J2393" s="6"/>
      <c r="K2393" s="7"/>
      <c r="L2393" s="8"/>
      <c r="O2393" s="10"/>
    </row>
    <row r="2394" ht="14.25" customHeight="1">
      <c r="A2394" s="1"/>
      <c r="B2394" s="2"/>
      <c r="C2394" s="2"/>
      <c r="D2394" s="2"/>
      <c r="E2394" s="3"/>
      <c r="F2394" s="4"/>
      <c r="G2394" s="4"/>
      <c r="H2394" s="14"/>
      <c r="I2394" s="4"/>
      <c r="J2394" s="6"/>
      <c r="K2394" s="7"/>
      <c r="L2394" s="8"/>
      <c r="O2394" s="10"/>
    </row>
    <row r="2395" ht="14.25" customHeight="1">
      <c r="A2395" s="1"/>
      <c r="B2395" s="2"/>
      <c r="C2395" s="2"/>
      <c r="D2395" s="2"/>
      <c r="E2395" s="3"/>
      <c r="F2395" s="4"/>
      <c r="G2395" s="4"/>
      <c r="H2395" s="4"/>
      <c r="I2395" s="4"/>
      <c r="J2395" s="6"/>
      <c r="K2395" s="7"/>
      <c r="L2395" s="8"/>
      <c r="O2395" s="10"/>
    </row>
    <row r="2396" ht="14.25" customHeight="1">
      <c r="A2396" s="1"/>
      <c r="B2396" s="2"/>
      <c r="C2396" s="2"/>
      <c r="D2396" s="2"/>
      <c r="E2396" s="3"/>
      <c r="F2396" s="4"/>
      <c r="G2396" s="4"/>
      <c r="H2396" s="14"/>
      <c r="I2396" s="4"/>
      <c r="J2396" s="6"/>
      <c r="K2396" s="7"/>
      <c r="L2396" s="8"/>
      <c r="O2396" s="10"/>
    </row>
    <row r="2397" ht="14.25" customHeight="1">
      <c r="A2397" s="1"/>
      <c r="B2397" s="2"/>
      <c r="C2397" s="2"/>
      <c r="D2397" s="2"/>
      <c r="E2397" s="3"/>
      <c r="F2397" s="4"/>
      <c r="G2397" s="4"/>
      <c r="H2397" s="4"/>
      <c r="I2397" s="4"/>
      <c r="J2397" s="6"/>
      <c r="K2397" s="7"/>
      <c r="L2397" s="8"/>
      <c r="O2397" s="10"/>
    </row>
    <row r="2398" ht="14.25" customHeight="1">
      <c r="A2398" s="1"/>
      <c r="B2398" s="2"/>
      <c r="C2398" s="2"/>
      <c r="D2398" s="2"/>
      <c r="E2398" s="3"/>
      <c r="F2398" s="4"/>
      <c r="G2398" s="4"/>
      <c r="H2398" s="14"/>
      <c r="I2398" s="4"/>
      <c r="J2398" s="6"/>
      <c r="K2398" s="7"/>
      <c r="L2398" s="8"/>
      <c r="O2398" s="10"/>
    </row>
    <row r="2399" ht="14.25" customHeight="1">
      <c r="A2399" s="1"/>
      <c r="B2399" s="2"/>
      <c r="C2399" s="2"/>
      <c r="D2399" s="2"/>
      <c r="E2399" s="3"/>
      <c r="F2399" s="4"/>
      <c r="G2399" s="4"/>
      <c r="H2399" s="14"/>
      <c r="I2399" s="4"/>
      <c r="J2399" s="6"/>
      <c r="K2399" s="7"/>
      <c r="L2399" s="8"/>
      <c r="O2399" s="10"/>
    </row>
    <row r="2400" ht="14.25" customHeight="1">
      <c r="A2400" s="1"/>
      <c r="B2400" s="2"/>
      <c r="C2400" s="2"/>
      <c r="D2400" s="2"/>
      <c r="E2400" s="3"/>
      <c r="F2400" s="4"/>
      <c r="G2400" s="4"/>
      <c r="H2400" s="4"/>
      <c r="I2400" s="4"/>
      <c r="J2400" s="6"/>
      <c r="K2400" s="7"/>
      <c r="L2400" s="8"/>
      <c r="O2400" s="10"/>
    </row>
    <row r="2401" ht="14.25" customHeight="1">
      <c r="A2401" s="1"/>
      <c r="B2401" s="2"/>
      <c r="C2401" s="2"/>
      <c r="D2401" s="2"/>
      <c r="E2401" s="3"/>
      <c r="F2401" s="4"/>
      <c r="G2401" s="4"/>
      <c r="H2401" s="14"/>
      <c r="I2401" s="4"/>
      <c r="J2401" s="6"/>
      <c r="K2401" s="7"/>
      <c r="L2401" s="8"/>
      <c r="O2401" s="10"/>
    </row>
    <row r="2402" ht="14.25" customHeight="1">
      <c r="A2402" s="1"/>
      <c r="B2402" s="2"/>
      <c r="C2402" s="2"/>
      <c r="D2402" s="2"/>
      <c r="E2402" s="3"/>
      <c r="F2402" s="4"/>
      <c r="G2402" s="4"/>
      <c r="H2402" s="4"/>
      <c r="I2402" s="4"/>
      <c r="J2402" s="6"/>
      <c r="K2402" s="7"/>
      <c r="L2402" s="8"/>
      <c r="O2402" s="10"/>
    </row>
    <row r="2403" ht="14.25" customHeight="1">
      <c r="A2403" s="1"/>
      <c r="B2403" s="2"/>
      <c r="C2403" s="2"/>
      <c r="D2403" s="2"/>
      <c r="E2403" s="3"/>
      <c r="F2403" s="4"/>
      <c r="G2403" s="4"/>
      <c r="H2403" s="14"/>
      <c r="I2403" s="4"/>
      <c r="J2403" s="6"/>
      <c r="K2403" s="7"/>
      <c r="L2403" s="8"/>
      <c r="O2403" s="10"/>
    </row>
    <row r="2404" ht="14.25" customHeight="1">
      <c r="A2404" s="1"/>
      <c r="B2404" s="2"/>
      <c r="C2404" s="2"/>
      <c r="D2404" s="2"/>
      <c r="E2404" s="3"/>
      <c r="F2404" s="4"/>
      <c r="G2404" s="4"/>
      <c r="H2404" s="14"/>
      <c r="I2404" s="4"/>
      <c r="J2404" s="6"/>
      <c r="K2404" s="7"/>
      <c r="L2404" s="8"/>
      <c r="O2404" s="10"/>
    </row>
    <row r="2405" ht="14.25" customHeight="1">
      <c r="A2405" s="1"/>
      <c r="B2405" s="2"/>
      <c r="C2405" s="2"/>
      <c r="D2405" s="2"/>
      <c r="E2405" s="3"/>
      <c r="F2405" s="4"/>
      <c r="G2405" s="4"/>
      <c r="H2405" s="14"/>
      <c r="I2405" s="4"/>
      <c r="J2405" s="6"/>
      <c r="K2405" s="7"/>
      <c r="L2405" s="8"/>
      <c r="O2405" s="10"/>
    </row>
    <row r="2406" ht="14.25" customHeight="1">
      <c r="A2406" s="1"/>
      <c r="B2406" s="2"/>
      <c r="C2406" s="2"/>
      <c r="D2406" s="2"/>
      <c r="E2406" s="3"/>
      <c r="F2406" s="4"/>
      <c r="G2406" s="4"/>
      <c r="H2406" s="14"/>
      <c r="I2406" s="4"/>
      <c r="J2406" s="6"/>
      <c r="K2406" s="7"/>
      <c r="L2406" s="8"/>
      <c r="O2406" s="10"/>
    </row>
    <row r="2407" ht="14.25" customHeight="1">
      <c r="A2407" s="1"/>
      <c r="B2407" s="2"/>
      <c r="C2407" s="2"/>
      <c r="D2407" s="2"/>
      <c r="E2407" s="3"/>
      <c r="F2407" s="4"/>
      <c r="G2407" s="4"/>
      <c r="H2407" s="4"/>
      <c r="I2407" s="4"/>
      <c r="J2407" s="6"/>
      <c r="K2407" s="7"/>
      <c r="L2407" s="8"/>
      <c r="O2407" s="10"/>
    </row>
    <row r="2408" ht="14.25" customHeight="1">
      <c r="A2408" s="1"/>
      <c r="B2408" s="2"/>
      <c r="C2408" s="2"/>
      <c r="D2408" s="2"/>
      <c r="E2408" s="3"/>
      <c r="F2408" s="4"/>
      <c r="G2408" s="4"/>
      <c r="H2408" s="4"/>
      <c r="I2408" s="4"/>
      <c r="J2408" s="6"/>
      <c r="K2408" s="7"/>
      <c r="L2408" s="8"/>
      <c r="O2408" s="10"/>
    </row>
    <row r="2409" ht="14.25" customHeight="1">
      <c r="A2409" s="1"/>
      <c r="B2409" s="2"/>
      <c r="C2409" s="2"/>
      <c r="D2409" s="2"/>
      <c r="E2409" s="3"/>
      <c r="F2409" s="4"/>
      <c r="G2409" s="4"/>
      <c r="H2409" s="4"/>
      <c r="I2409" s="4"/>
      <c r="J2409" s="6"/>
      <c r="K2409" s="7"/>
      <c r="L2409" s="8"/>
      <c r="O2409" s="10"/>
    </row>
    <row r="2410" ht="14.25" customHeight="1">
      <c r="A2410" s="1"/>
      <c r="B2410" s="2"/>
      <c r="C2410" s="2"/>
      <c r="D2410" s="2"/>
      <c r="E2410" s="3"/>
      <c r="F2410" s="4"/>
      <c r="G2410" s="4"/>
      <c r="H2410" s="14"/>
      <c r="I2410" s="4"/>
      <c r="J2410" s="6"/>
      <c r="K2410" s="7"/>
      <c r="L2410" s="8"/>
      <c r="O2410" s="10"/>
    </row>
    <row r="2411" ht="14.25" customHeight="1">
      <c r="A2411" s="1"/>
      <c r="B2411" s="2"/>
      <c r="C2411" s="2"/>
      <c r="D2411" s="2"/>
      <c r="E2411" s="3"/>
      <c r="F2411" s="4"/>
      <c r="G2411" s="4"/>
      <c r="H2411" s="14"/>
      <c r="I2411" s="4"/>
      <c r="J2411" s="6"/>
      <c r="K2411" s="7"/>
      <c r="L2411" s="8"/>
      <c r="O2411" s="10"/>
    </row>
    <row r="2412" ht="14.25" customHeight="1">
      <c r="A2412" s="1"/>
      <c r="B2412" s="2"/>
      <c r="C2412" s="2"/>
      <c r="D2412" s="2"/>
      <c r="E2412" s="3"/>
      <c r="F2412" s="4"/>
      <c r="G2412" s="4"/>
      <c r="H2412" s="14"/>
      <c r="I2412" s="4"/>
      <c r="J2412" s="6"/>
      <c r="K2412" s="7"/>
      <c r="L2412" s="8"/>
      <c r="O2412" s="10"/>
    </row>
    <row r="2413" ht="14.25" customHeight="1">
      <c r="A2413" s="1"/>
      <c r="B2413" s="2"/>
      <c r="C2413" s="2"/>
      <c r="D2413" s="2"/>
      <c r="E2413" s="3"/>
      <c r="F2413" s="4"/>
      <c r="G2413" s="4"/>
      <c r="H2413" s="14"/>
      <c r="I2413" s="4"/>
      <c r="J2413" s="6"/>
      <c r="K2413" s="7"/>
      <c r="L2413" s="8"/>
      <c r="O2413" s="10"/>
    </row>
    <row r="2414" ht="14.25" customHeight="1">
      <c r="A2414" s="1"/>
      <c r="B2414" s="2"/>
      <c r="C2414" s="2"/>
      <c r="D2414" s="2"/>
      <c r="E2414" s="3"/>
      <c r="F2414" s="4"/>
      <c r="G2414" s="4"/>
      <c r="H2414" s="14"/>
      <c r="I2414" s="4"/>
      <c r="J2414" s="6"/>
      <c r="K2414" s="7"/>
      <c r="L2414" s="8"/>
      <c r="O2414" s="10"/>
    </row>
    <row r="2415" ht="14.25" customHeight="1">
      <c r="A2415" s="1"/>
      <c r="B2415" s="2"/>
      <c r="C2415" s="2"/>
      <c r="D2415" s="2"/>
      <c r="E2415" s="3"/>
      <c r="F2415" s="4"/>
      <c r="G2415" s="4"/>
      <c r="H2415" s="4"/>
      <c r="I2415" s="4"/>
      <c r="J2415" s="6"/>
      <c r="K2415" s="7"/>
      <c r="L2415" s="8"/>
      <c r="O2415" s="10"/>
    </row>
    <row r="2416" ht="14.25" customHeight="1">
      <c r="A2416" s="1"/>
      <c r="B2416" s="2"/>
      <c r="C2416" s="2"/>
      <c r="D2416" s="2"/>
      <c r="E2416" s="3"/>
      <c r="F2416" s="4"/>
      <c r="G2416" s="4"/>
      <c r="H2416" s="14"/>
      <c r="I2416" s="4"/>
      <c r="J2416" s="6"/>
      <c r="K2416" s="7"/>
      <c r="L2416" s="8"/>
      <c r="O2416" s="10"/>
    </row>
    <row r="2417" ht="14.25" customHeight="1">
      <c r="A2417" s="1"/>
      <c r="B2417" s="2"/>
      <c r="C2417" s="2"/>
      <c r="D2417" s="2"/>
      <c r="E2417" s="3"/>
      <c r="F2417" s="4"/>
      <c r="G2417" s="4"/>
      <c r="H2417" s="14"/>
      <c r="I2417" s="4"/>
      <c r="J2417" s="6"/>
      <c r="K2417" s="7"/>
      <c r="L2417" s="8"/>
      <c r="O2417" s="10"/>
    </row>
    <row r="2418" ht="14.25" customHeight="1">
      <c r="A2418" s="1"/>
      <c r="B2418" s="2"/>
      <c r="C2418" s="2"/>
      <c r="D2418" s="2"/>
      <c r="E2418" s="3"/>
      <c r="F2418" s="4"/>
      <c r="G2418" s="4"/>
      <c r="H2418" s="14"/>
      <c r="I2418" s="4"/>
      <c r="J2418" s="6"/>
      <c r="K2418" s="7"/>
      <c r="L2418" s="8"/>
      <c r="O2418" s="10"/>
    </row>
    <row r="2419" ht="14.25" customHeight="1">
      <c r="A2419" s="1"/>
      <c r="B2419" s="2"/>
      <c r="C2419" s="2"/>
      <c r="D2419" s="2"/>
      <c r="E2419" s="3"/>
      <c r="F2419" s="4"/>
      <c r="G2419" s="4"/>
      <c r="H2419" s="14"/>
      <c r="I2419" s="4"/>
      <c r="J2419" s="6"/>
      <c r="K2419" s="7"/>
      <c r="L2419" s="8"/>
      <c r="O2419" s="10"/>
    </row>
    <row r="2420" ht="14.25" customHeight="1">
      <c r="A2420" s="1"/>
      <c r="B2420" s="2"/>
      <c r="C2420" s="2"/>
      <c r="D2420" s="2"/>
      <c r="E2420" s="3"/>
      <c r="F2420" s="4"/>
      <c r="G2420" s="4"/>
      <c r="H2420" s="14"/>
      <c r="I2420" s="4"/>
      <c r="J2420" s="6"/>
      <c r="K2420" s="7"/>
      <c r="L2420" s="8"/>
      <c r="O2420" s="10"/>
    </row>
    <row r="2421" ht="14.25" customHeight="1">
      <c r="A2421" s="1"/>
      <c r="B2421" s="2"/>
      <c r="C2421" s="2"/>
      <c r="D2421" s="2"/>
      <c r="E2421" s="3"/>
      <c r="F2421" s="4"/>
      <c r="G2421" s="4"/>
      <c r="H2421" s="14"/>
      <c r="I2421" s="4"/>
      <c r="J2421" s="6"/>
      <c r="K2421" s="7"/>
      <c r="L2421" s="8"/>
      <c r="O2421" s="10"/>
    </row>
    <row r="2422" ht="14.25" customHeight="1">
      <c r="A2422" s="1"/>
      <c r="B2422" s="2"/>
      <c r="C2422" s="2"/>
      <c r="D2422" s="2"/>
      <c r="E2422" s="3"/>
      <c r="F2422" s="4"/>
      <c r="G2422" s="4"/>
      <c r="H2422" s="14"/>
      <c r="I2422" s="4"/>
      <c r="J2422" s="6"/>
      <c r="K2422" s="7"/>
      <c r="L2422" s="8"/>
      <c r="O2422" s="10"/>
    </row>
    <row r="2423" ht="14.25" customHeight="1">
      <c r="A2423" s="1"/>
      <c r="B2423" s="2"/>
      <c r="C2423" s="2"/>
      <c r="D2423" s="2"/>
      <c r="E2423" s="3"/>
      <c r="F2423" s="4"/>
      <c r="G2423" s="4"/>
      <c r="H2423" s="14"/>
      <c r="I2423" s="4"/>
      <c r="J2423" s="6"/>
      <c r="K2423" s="7"/>
      <c r="L2423" s="8"/>
      <c r="O2423" s="10"/>
    </row>
    <row r="2424" ht="14.25" customHeight="1">
      <c r="A2424" s="1"/>
      <c r="B2424" s="2"/>
      <c r="C2424" s="2"/>
      <c r="D2424" s="2"/>
      <c r="E2424" s="3"/>
      <c r="F2424" s="4"/>
      <c r="G2424" s="4"/>
      <c r="H2424" s="14"/>
      <c r="I2424" s="4"/>
      <c r="J2424" s="6"/>
      <c r="K2424" s="7"/>
      <c r="L2424" s="8"/>
      <c r="O2424" s="10"/>
    </row>
    <row r="2425" ht="14.25" customHeight="1">
      <c r="A2425" s="1"/>
      <c r="B2425" s="2"/>
      <c r="C2425" s="2"/>
      <c r="D2425" s="2"/>
      <c r="E2425" s="3"/>
      <c r="F2425" s="4"/>
      <c r="G2425" s="4"/>
      <c r="H2425" s="4"/>
      <c r="I2425" s="4"/>
      <c r="J2425" s="6"/>
      <c r="K2425" s="7"/>
      <c r="L2425" s="8"/>
      <c r="O2425" s="10"/>
    </row>
    <row r="2426" ht="14.25" customHeight="1">
      <c r="A2426" s="1"/>
      <c r="B2426" s="2"/>
      <c r="C2426" s="2"/>
      <c r="D2426" s="2"/>
      <c r="E2426" s="3"/>
      <c r="F2426" s="4"/>
      <c r="G2426" s="4"/>
      <c r="H2426" s="4"/>
      <c r="I2426" s="4"/>
      <c r="J2426" s="6"/>
      <c r="K2426" s="7"/>
      <c r="L2426" s="8"/>
      <c r="O2426" s="10"/>
    </row>
    <row r="2427" ht="14.25" customHeight="1">
      <c r="A2427" s="1"/>
      <c r="B2427" s="2"/>
      <c r="C2427" s="2"/>
      <c r="D2427" s="2"/>
      <c r="E2427" s="3"/>
      <c r="F2427" s="4"/>
      <c r="G2427" s="4"/>
      <c r="H2427" s="4"/>
      <c r="I2427" s="4"/>
      <c r="J2427" s="6"/>
      <c r="K2427" s="7"/>
      <c r="L2427" s="8"/>
      <c r="O2427" s="10"/>
    </row>
    <row r="2428" ht="14.25" customHeight="1">
      <c r="A2428" s="1"/>
      <c r="B2428" s="2"/>
      <c r="C2428" s="2"/>
      <c r="D2428" s="2"/>
      <c r="E2428" s="3"/>
      <c r="F2428" s="4"/>
      <c r="G2428" s="4"/>
      <c r="H2428" s="14"/>
      <c r="I2428" s="4"/>
      <c r="J2428" s="6"/>
      <c r="K2428" s="7"/>
      <c r="L2428" s="8"/>
      <c r="O2428" s="10"/>
    </row>
    <row r="2429" ht="14.25" customHeight="1">
      <c r="A2429" s="1"/>
      <c r="B2429" s="2"/>
      <c r="C2429" s="2"/>
      <c r="D2429" s="2"/>
      <c r="E2429" s="3"/>
      <c r="F2429" s="4"/>
      <c r="G2429" s="4"/>
      <c r="H2429" s="14"/>
      <c r="I2429" s="4"/>
      <c r="J2429" s="6"/>
      <c r="K2429" s="7"/>
      <c r="L2429" s="8"/>
      <c r="O2429" s="10"/>
    </row>
    <row r="2430" ht="14.25" customHeight="1">
      <c r="A2430" s="1"/>
      <c r="B2430" s="2"/>
      <c r="C2430" s="2"/>
      <c r="D2430" s="2"/>
      <c r="E2430" s="3"/>
      <c r="F2430" s="4"/>
      <c r="G2430" s="4"/>
      <c r="H2430" s="14"/>
      <c r="I2430" s="4"/>
      <c r="J2430" s="6"/>
      <c r="K2430" s="7"/>
      <c r="L2430" s="8"/>
      <c r="O2430" s="10"/>
    </row>
    <row r="2431" ht="14.25" customHeight="1">
      <c r="A2431" s="1"/>
      <c r="B2431" s="2"/>
      <c r="C2431" s="2"/>
      <c r="D2431" s="2"/>
      <c r="E2431" s="3"/>
      <c r="F2431" s="4"/>
      <c r="G2431" s="4"/>
      <c r="H2431" s="14"/>
      <c r="I2431" s="4"/>
      <c r="J2431" s="6"/>
      <c r="K2431" s="7"/>
      <c r="L2431" s="8"/>
      <c r="O2431" s="10"/>
    </row>
    <row r="2432" ht="14.25" customHeight="1">
      <c r="A2432" s="1"/>
      <c r="B2432" s="2"/>
      <c r="C2432" s="2"/>
      <c r="D2432" s="2"/>
      <c r="E2432" s="3"/>
      <c r="F2432" s="4"/>
      <c r="G2432" s="4"/>
      <c r="H2432" s="4"/>
      <c r="I2432" s="4"/>
      <c r="J2432" s="6"/>
      <c r="K2432" s="7"/>
      <c r="L2432" s="8"/>
      <c r="O2432" s="10"/>
    </row>
    <row r="2433" ht="14.25" customHeight="1">
      <c r="A2433" s="1"/>
      <c r="B2433" s="2"/>
      <c r="C2433" s="2"/>
      <c r="D2433" s="2"/>
      <c r="E2433" s="3"/>
      <c r="F2433" s="4"/>
      <c r="G2433" s="4"/>
      <c r="H2433" s="14"/>
      <c r="I2433" s="4"/>
      <c r="J2433" s="6"/>
      <c r="K2433" s="7"/>
      <c r="L2433" s="8"/>
      <c r="O2433" s="10"/>
    </row>
    <row r="2434" ht="14.25" customHeight="1">
      <c r="A2434" s="1"/>
      <c r="B2434" s="2"/>
      <c r="C2434" s="2"/>
      <c r="D2434" s="2"/>
      <c r="E2434" s="3"/>
      <c r="F2434" s="4"/>
      <c r="G2434" s="4"/>
      <c r="H2434" s="4"/>
      <c r="I2434" s="4"/>
      <c r="J2434" s="6"/>
      <c r="K2434" s="7"/>
      <c r="L2434" s="8"/>
      <c r="O2434" s="10"/>
    </row>
    <row r="2435" ht="14.25" customHeight="1">
      <c r="A2435" s="1"/>
      <c r="B2435" s="2"/>
      <c r="C2435" s="2"/>
      <c r="D2435" s="2"/>
      <c r="E2435" s="3"/>
      <c r="F2435" s="4"/>
      <c r="G2435" s="4"/>
      <c r="H2435" s="14"/>
      <c r="I2435" s="4"/>
      <c r="J2435" s="6"/>
      <c r="K2435" s="7"/>
      <c r="L2435" s="8"/>
      <c r="O2435" s="10"/>
    </row>
    <row r="2436" ht="14.25" customHeight="1">
      <c r="A2436" s="1"/>
      <c r="B2436" s="2"/>
      <c r="C2436" s="2"/>
      <c r="D2436" s="2"/>
      <c r="E2436" s="3"/>
      <c r="F2436" s="4"/>
      <c r="G2436" s="4"/>
      <c r="H2436" s="14"/>
      <c r="I2436" s="4"/>
      <c r="J2436" s="6"/>
      <c r="K2436" s="7"/>
      <c r="L2436" s="8"/>
      <c r="O2436" s="10"/>
    </row>
    <row r="2437" ht="14.25" customHeight="1">
      <c r="A2437" s="1"/>
      <c r="B2437" s="2"/>
      <c r="C2437" s="2"/>
      <c r="D2437" s="2"/>
      <c r="E2437" s="3"/>
      <c r="F2437" s="4"/>
      <c r="G2437" s="4"/>
      <c r="H2437" s="14"/>
      <c r="I2437" s="4"/>
      <c r="J2437" s="6"/>
      <c r="K2437" s="7"/>
      <c r="L2437" s="8"/>
      <c r="O2437" s="10"/>
    </row>
    <row r="2438" ht="14.25" customHeight="1">
      <c r="A2438" s="1"/>
      <c r="B2438" s="2"/>
      <c r="C2438" s="2"/>
      <c r="D2438" s="2"/>
      <c r="E2438" s="3"/>
      <c r="F2438" s="4"/>
      <c r="G2438" s="4"/>
      <c r="H2438" s="14"/>
      <c r="I2438" s="4"/>
      <c r="J2438" s="6"/>
      <c r="K2438" s="7"/>
      <c r="L2438" s="8"/>
      <c r="O2438" s="10"/>
    </row>
    <row r="2439" ht="14.25" customHeight="1">
      <c r="A2439" s="1"/>
      <c r="B2439" s="2"/>
      <c r="C2439" s="2"/>
      <c r="D2439" s="2"/>
      <c r="E2439" s="3"/>
      <c r="F2439" s="4"/>
      <c r="G2439" s="4"/>
      <c r="H2439" s="14"/>
      <c r="I2439" s="4"/>
      <c r="J2439" s="6"/>
      <c r="K2439" s="7"/>
      <c r="L2439" s="8"/>
      <c r="O2439" s="10"/>
    </row>
    <row r="2440" ht="14.25" customHeight="1">
      <c r="A2440" s="1"/>
      <c r="B2440" s="2"/>
      <c r="C2440" s="2"/>
      <c r="D2440" s="2"/>
      <c r="E2440" s="3"/>
      <c r="F2440" s="4"/>
      <c r="G2440" s="4"/>
      <c r="H2440" s="14"/>
      <c r="I2440" s="4"/>
      <c r="J2440" s="6"/>
      <c r="K2440" s="7"/>
      <c r="L2440" s="8"/>
      <c r="O2440" s="10"/>
    </row>
    <row r="2441" ht="14.25" customHeight="1">
      <c r="A2441" s="1"/>
      <c r="B2441" s="2"/>
      <c r="C2441" s="2"/>
      <c r="D2441" s="2"/>
      <c r="E2441" s="3"/>
      <c r="F2441" s="4"/>
      <c r="G2441" s="4"/>
      <c r="H2441" s="14"/>
      <c r="I2441" s="4"/>
      <c r="J2441" s="6"/>
      <c r="K2441" s="7"/>
      <c r="L2441" s="8"/>
      <c r="O2441" s="10"/>
    </row>
    <row r="2442" ht="14.25" customHeight="1">
      <c r="A2442" s="1"/>
      <c r="B2442" s="2"/>
      <c r="C2442" s="2"/>
      <c r="D2442" s="2"/>
      <c r="E2442" s="3"/>
      <c r="F2442" s="4"/>
      <c r="G2442" s="4"/>
      <c r="H2442" s="14"/>
      <c r="I2442" s="4"/>
      <c r="J2442" s="6"/>
      <c r="K2442" s="7"/>
      <c r="L2442" s="8"/>
      <c r="O2442" s="10"/>
    </row>
    <row r="2443" ht="14.25" customHeight="1">
      <c r="A2443" s="1"/>
      <c r="B2443" s="2"/>
      <c r="C2443" s="2"/>
      <c r="D2443" s="2"/>
      <c r="E2443" s="3"/>
      <c r="F2443" s="4"/>
      <c r="G2443" s="4"/>
      <c r="H2443" s="14"/>
      <c r="I2443" s="4"/>
      <c r="J2443" s="6"/>
      <c r="K2443" s="7"/>
      <c r="L2443" s="8"/>
      <c r="O2443" s="10"/>
    </row>
    <row r="2444" ht="14.25" customHeight="1">
      <c r="A2444" s="1"/>
      <c r="B2444" s="2"/>
      <c r="C2444" s="2"/>
      <c r="D2444" s="2"/>
      <c r="E2444" s="3"/>
      <c r="F2444" s="4"/>
      <c r="G2444" s="4"/>
      <c r="H2444" s="14"/>
      <c r="I2444" s="4"/>
      <c r="J2444" s="6"/>
      <c r="K2444" s="7"/>
      <c r="L2444" s="8"/>
      <c r="O2444" s="10"/>
    </row>
    <row r="2445" ht="14.25" customHeight="1">
      <c r="A2445" s="1"/>
      <c r="B2445" s="2"/>
      <c r="C2445" s="2"/>
      <c r="D2445" s="2"/>
      <c r="E2445" s="3"/>
      <c r="F2445" s="4"/>
      <c r="G2445" s="4"/>
      <c r="H2445" s="14"/>
      <c r="I2445" s="4"/>
      <c r="J2445" s="6"/>
      <c r="K2445" s="7"/>
      <c r="L2445" s="8"/>
      <c r="O2445" s="10"/>
    </row>
    <row r="2446" ht="14.25" customHeight="1">
      <c r="A2446" s="1"/>
      <c r="B2446" s="2"/>
      <c r="C2446" s="2"/>
      <c r="D2446" s="2"/>
      <c r="E2446" s="3"/>
      <c r="F2446" s="4"/>
      <c r="G2446" s="4"/>
      <c r="H2446" s="14"/>
      <c r="I2446" s="4"/>
      <c r="J2446" s="6"/>
      <c r="K2446" s="7"/>
      <c r="L2446" s="8"/>
      <c r="O2446" s="10"/>
    </row>
    <row r="2447" ht="14.25" customHeight="1">
      <c r="A2447" s="1"/>
      <c r="B2447" s="2"/>
      <c r="C2447" s="2"/>
      <c r="D2447" s="2"/>
      <c r="E2447" s="3"/>
      <c r="F2447" s="4"/>
      <c r="G2447" s="4"/>
      <c r="H2447" s="14"/>
      <c r="I2447" s="4"/>
      <c r="J2447" s="6"/>
      <c r="K2447" s="7"/>
      <c r="L2447" s="8"/>
      <c r="O2447" s="10"/>
    </row>
    <row r="2448" ht="14.25" customHeight="1">
      <c r="A2448" s="1"/>
      <c r="B2448" s="2"/>
      <c r="C2448" s="2"/>
      <c r="D2448" s="2"/>
      <c r="E2448" s="3"/>
      <c r="F2448" s="4"/>
      <c r="G2448" s="4"/>
      <c r="H2448" s="14"/>
      <c r="I2448" s="4"/>
      <c r="J2448" s="6"/>
      <c r="K2448" s="7"/>
      <c r="L2448" s="8"/>
      <c r="O2448" s="10"/>
    </row>
    <row r="2449" ht="14.25" customHeight="1">
      <c r="A2449" s="1"/>
      <c r="B2449" s="2"/>
      <c r="C2449" s="2"/>
      <c r="D2449" s="2"/>
      <c r="E2449" s="3"/>
      <c r="F2449" s="4"/>
      <c r="G2449" s="4"/>
      <c r="H2449" s="14"/>
      <c r="I2449" s="4"/>
      <c r="J2449" s="6"/>
      <c r="K2449" s="7"/>
      <c r="L2449" s="8"/>
      <c r="O2449" s="10"/>
    </row>
    <row r="2450" ht="14.25" customHeight="1">
      <c r="A2450" s="1"/>
      <c r="B2450" s="2"/>
      <c r="C2450" s="2"/>
      <c r="D2450" s="2"/>
      <c r="E2450" s="3"/>
      <c r="F2450" s="4"/>
      <c r="G2450" s="4"/>
      <c r="H2450" s="14"/>
      <c r="I2450" s="4"/>
      <c r="J2450" s="6"/>
      <c r="K2450" s="7"/>
      <c r="L2450" s="8"/>
      <c r="O2450" s="10"/>
    </row>
    <row r="2451" ht="14.25" customHeight="1">
      <c r="A2451" s="1"/>
      <c r="B2451" s="2"/>
      <c r="C2451" s="2"/>
      <c r="D2451" s="2"/>
      <c r="E2451" s="3"/>
      <c r="F2451" s="4"/>
      <c r="G2451" s="4"/>
      <c r="H2451" s="14"/>
      <c r="I2451" s="4"/>
      <c r="J2451" s="6"/>
      <c r="K2451" s="7"/>
      <c r="L2451" s="8"/>
      <c r="O2451" s="10"/>
    </row>
    <row r="2452" ht="14.25" customHeight="1">
      <c r="A2452" s="1"/>
      <c r="B2452" s="2"/>
      <c r="C2452" s="2"/>
      <c r="D2452" s="2"/>
      <c r="E2452" s="3"/>
      <c r="F2452" s="4"/>
      <c r="G2452" s="4"/>
      <c r="H2452" s="14"/>
      <c r="I2452" s="4"/>
      <c r="J2452" s="6"/>
      <c r="K2452" s="7"/>
      <c r="L2452" s="8"/>
      <c r="O2452" s="10"/>
    </row>
    <row r="2453" ht="14.25" customHeight="1">
      <c r="A2453" s="1"/>
      <c r="B2453" s="2"/>
      <c r="C2453" s="2"/>
      <c r="D2453" s="2"/>
      <c r="E2453" s="3"/>
      <c r="F2453" s="4"/>
      <c r="G2453" s="4"/>
      <c r="H2453" s="14"/>
      <c r="I2453" s="4"/>
      <c r="J2453" s="6"/>
      <c r="K2453" s="7"/>
      <c r="L2453" s="8"/>
      <c r="O2453" s="10"/>
    </row>
    <row r="2454" ht="14.25" customHeight="1">
      <c r="A2454" s="1"/>
      <c r="B2454" s="2"/>
      <c r="C2454" s="2"/>
      <c r="D2454" s="2"/>
      <c r="E2454" s="3"/>
      <c r="F2454" s="4"/>
      <c r="G2454" s="4"/>
      <c r="H2454" s="4"/>
      <c r="I2454" s="4"/>
      <c r="J2454" s="6"/>
      <c r="K2454" s="7"/>
      <c r="L2454" s="8"/>
      <c r="O2454" s="10"/>
    </row>
    <row r="2455" ht="14.25" customHeight="1">
      <c r="A2455" s="1"/>
      <c r="B2455" s="2"/>
      <c r="C2455" s="2"/>
      <c r="D2455" s="2"/>
      <c r="E2455" s="3"/>
      <c r="F2455" s="4"/>
      <c r="G2455" s="4"/>
      <c r="H2455" s="14"/>
      <c r="I2455" s="4"/>
      <c r="J2455" s="6"/>
      <c r="K2455" s="7"/>
      <c r="L2455" s="8"/>
      <c r="O2455" s="10"/>
    </row>
    <row r="2456" ht="14.25" customHeight="1">
      <c r="A2456" s="1"/>
      <c r="B2456" s="2"/>
      <c r="C2456" s="2"/>
      <c r="D2456" s="2"/>
      <c r="E2456" s="3"/>
      <c r="F2456" s="4"/>
      <c r="G2456" s="4"/>
      <c r="H2456" s="14"/>
      <c r="I2456" s="4"/>
      <c r="J2456" s="6"/>
      <c r="K2456" s="7"/>
      <c r="L2456" s="8"/>
      <c r="O2456" s="10"/>
    </row>
    <row r="2457" ht="14.25" customHeight="1">
      <c r="A2457" s="1"/>
      <c r="B2457" s="2"/>
      <c r="C2457" s="2"/>
      <c r="D2457" s="2"/>
      <c r="E2457" s="3"/>
      <c r="F2457" s="4"/>
      <c r="G2457" s="4"/>
      <c r="H2457" s="4"/>
      <c r="I2457" s="4"/>
      <c r="J2457" s="6"/>
      <c r="K2457" s="7"/>
      <c r="L2457" s="8"/>
      <c r="O2457" s="10"/>
    </row>
    <row r="2458" ht="14.25" customHeight="1">
      <c r="A2458" s="1"/>
      <c r="B2458" s="2"/>
      <c r="C2458" s="2"/>
      <c r="D2458" s="2"/>
      <c r="E2458" s="3"/>
      <c r="F2458" s="4"/>
      <c r="G2458" s="4"/>
      <c r="H2458" s="4"/>
      <c r="I2458" s="4"/>
      <c r="J2458" s="6"/>
      <c r="K2458" s="7"/>
      <c r="L2458" s="8"/>
      <c r="O2458" s="10"/>
    </row>
    <row r="2459" ht="14.25" customHeight="1">
      <c r="A2459" s="1"/>
      <c r="B2459" s="2"/>
      <c r="C2459" s="2"/>
      <c r="D2459" s="2"/>
      <c r="E2459" s="3"/>
      <c r="F2459" s="4"/>
      <c r="G2459" s="4"/>
      <c r="H2459" s="4"/>
      <c r="I2459" s="4"/>
      <c r="J2459" s="6"/>
      <c r="K2459" s="7"/>
      <c r="L2459" s="8"/>
      <c r="O2459" s="10"/>
    </row>
    <row r="2460" ht="14.25" customHeight="1">
      <c r="A2460" s="1"/>
      <c r="B2460" s="2"/>
      <c r="C2460" s="2"/>
      <c r="D2460" s="2"/>
      <c r="E2460" s="3"/>
      <c r="F2460" s="4"/>
      <c r="G2460" s="4"/>
      <c r="H2460" s="14"/>
      <c r="I2460" s="4"/>
      <c r="J2460" s="6"/>
      <c r="K2460" s="7"/>
      <c r="L2460" s="8"/>
      <c r="O2460" s="10"/>
    </row>
    <row r="2461" ht="14.25" customHeight="1">
      <c r="A2461" s="1"/>
      <c r="B2461" s="2"/>
      <c r="C2461" s="2"/>
      <c r="D2461" s="2"/>
      <c r="E2461" s="3"/>
      <c r="F2461" s="4"/>
      <c r="G2461" s="4"/>
      <c r="H2461" s="14"/>
      <c r="I2461" s="4"/>
      <c r="J2461" s="6"/>
      <c r="K2461" s="7"/>
      <c r="L2461" s="8"/>
      <c r="O2461" s="10"/>
    </row>
    <row r="2462" ht="14.25" customHeight="1">
      <c r="A2462" s="1"/>
      <c r="B2462" s="2"/>
      <c r="C2462" s="2"/>
      <c r="D2462" s="2"/>
      <c r="E2462" s="3"/>
      <c r="F2462" s="4"/>
      <c r="G2462" s="4"/>
      <c r="H2462" s="14"/>
      <c r="I2462" s="4"/>
      <c r="J2462" s="6"/>
      <c r="K2462" s="7"/>
      <c r="L2462" s="8"/>
      <c r="O2462" s="10"/>
    </row>
    <row r="2463" ht="14.25" customHeight="1">
      <c r="A2463" s="1"/>
      <c r="B2463" s="2"/>
      <c r="C2463" s="2"/>
      <c r="D2463" s="2"/>
      <c r="E2463" s="3"/>
      <c r="F2463" s="4"/>
      <c r="G2463" s="4"/>
      <c r="H2463" s="14"/>
      <c r="I2463" s="4"/>
      <c r="J2463" s="6"/>
      <c r="K2463" s="7"/>
      <c r="L2463" s="8"/>
      <c r="O2463" s="10"/>
    </row>
    <row r="2464" ht="14.25" customHeight="1">
      <c r="A2464" s="1"/>
      <c r="B2464" s="2"/>
      <c r="C2464" s="2"/>
      <c r="D2464" s="2"/>
      <c r="E2464" s="3"/>
      <c r="F2464" s="4"/>
      <c r="G2464" s="4"/>
      <c r="H2464" s="14"/>
      <c r="I2464" s="4"/>
      <c r="J2464" s="6"/>
      <c r="K2464" s="7"/>
      <c r="L2464" s="8"/>
      <c r="O2464" s="10"/>
    </row>
    <row r="2465" ht="14.25" customHeight="1">
      <c r="A2465" s="1"/>
      <c r="B2465" s="2"/>
      <c r="C2465" s="2"/>
      <c r="D2465" s="2"/>
      <c r="E2465" s="3"/>
      <c r="F2465" s="4"/>
      <c r="G2465" s="4"/>
      <c r="H2465" s="14"/>
      <c r="I2465" s="4"/>
      <c r="J2465" s="6"/>
      <c r="K2465" s="7"/>
      <c r="L2465" s="8"/>
      <c r="O2465" s="10"/>
    </row>
    <row r="2466" ht="14.25" customHeight="1">
      <c r="A2466" s="1"/>
      <c r="B2466" s="2"/>
      <c r="C2466" s="2"/>
      <c r="D2466" s="2"/>
      <c r="E2466" s="3"/>
      <c r="F2466" s="4"/>
      <c r="G2466" s="4"/>
      <c r="H2466" s="14"/>
      <c r="I2466" s="4"/>
      <c r="J2466" s="6"/>
      <c r="K2466" s="7"/>
      <c r="L2466" s="8"/>
      <c r="O2466" s="10"/>
    </row>
    <row r="2467" ht="14.25" customHeight="1">
      <c r="A2467" s="1"/>
      <c r="B2467" s="2"/>
      <c r="C2467" s="2"/>
      <c r="D2467" s="2"/>
      <c r="E2467" s="3"/>
      <c r="F2467" s="4"/>
      <c r="G2467" s="4"/>
      <c r="H2467" s="14"/>
      <c r="I2467" s="4"/>
      <c r="J2467" s="6"/>
      <c r="K2467" s="7"/>
      <c r="L2467" s="8"/>
      <c r="O2467" s="10"/>
    </row>
    <row r="2468" ht="14.25" customHeight="1">
      <c r="A2468" s="1"/>
      <c r="B2468" s="2"/>
      <c r="C2468" s="2"/>
      <c r="D2468" s="2"/>
      <c r="E2468" s="3"/>
      <c r="F2468" s="4"/>
      <c r="G2468" s="4"/>
      <c r="H2468" s="4"/>
      <c r="I2468" s="4"/>
      <c r="J2468" s="6"/>
      <c r="K2468" s="7"/>
      <c r="L2468" s="8"/>
      <c r="O2468" s="10"/>
    </row>
    <row r="2469" ht="14.25" customHeight="1">
      <c r="A2469" s="1"/>
      <c r="B2469" s="2"/>
      <c r="C2469" s="2"/>
      <c r="D2469" s="2"/>
      <c r="E2469" s="3"/>
      <c r="F2469" s="4"/>
      <c r="G2469" s="4"/>
      <c r="H2469" s="14"/>
      <c r="I2469" s="4"/>
      <c r="J2469" s="6"/>
      <c r="K2469" s="7"/>
      <c r="L2469" s="8"/>
      <c r="O2469" s="10"/>
    </row>
    <row r="2470" ht="14.25" customHeight="1">
      <c r="A2470" s="1"/>
      <c r="B2470" s="2"/>
      <c r="C2470" s="2"/>
      <c r="D2470" s="2"/>
      <c r="E2470" s="3"/>
      <c r="F2470" s="4"/>
      <c r="G2470" s="4"/>
      <c r="H2470" s="14"/>
      <c r="I2470" s="4"/>
      <c r="J2470" s="6"/>
      <c r="K2470" s="7"/>
      <c r="L2470" s="8"/>
      <c r="O2470" s="10"/>
    </row>
    <row r="2471" ht="14.25" customHeight="1">
      <c r="A2471" s="1"/>
      <c r="B2471" s="2"/>
      <c r="C2471" s="2"/>
      <c r="D2471" s="2"/>
      <c r="E2471" s="3"/>
      <c r="F2471" s="4"/>
      <c r="G2471" s="4"/>
      <c r="H2471" s="14"/>
      <c r="I2471" s="4"/>
      <c r="J2471" s="6"/>
      <c r="K2471" s="7"/>
      <c r="L2471" s="8"/>
      <c r="O2471" s="10"/>
    </row>
    <row r="2472" ht="14.25" customHeight="1">
      <c r="A2472" s="1"/>
      <c r="B2472" s="2"/>
      <c r="C2472" s="2"/>
      <c r="D2472" s="2"/>
      <c r="E2472" s="3"/>
      <c r="F2472" s="4"/>
      <c r="G2472" s="4"/>
      <c r="H2472" s="14"/>
      <c r="I2472" s="4"/>
      <c r="J2472" s="6"/>
      <c r="K2472" s="7"/>
      <c r="L2472" s="8"/>
      <c r="O2472" s="10"/>
    </row>
    <row r="2473" ht="14.25" customHeight="1">
      <c r="A2473" s="1"/>
      <c r="B2473" s="2"/>
      <c r="C2473" s="2"/>
      <c r="D2473" s="2"/>
      <c r="E2473" s="3"/>
      <c r="F2473" s="4"/>
      <c r="G2473" s="4"/>
      <c r="H2473" s="4"/>
      <c r="I2473" s="4"/>
      <c r="J2473" s="6"/>
      <c r="K2473" s="7"/>
      <c r="L2473" s="8"/>
      <c r="O2473" s="10"/>
    </row>
    <row r="2474" ht="14.25" customHeight="1">
      <c r="A2474" s="1"/>
      <c r="B2474" s="2"/>
      <c r="C2474" s="2"/>
      <c r="D2474" s="2"/>
      <c r="E2474" s="3"/>
      <c r="F2474" s="4"/>
      <c r="G2474" s="4"/>
      <c r="H2474" s="4"/>
      <c r="I2474" s="4"/>
      <c r="J2474" s="6"/>
      <c r="K2474" s="7"/>
      <c r="L2474" s="8"/>
      <c r="O2474" s="10"/>
    </row>
    <row r="2475" ht="14.25" customHeight="1">
      <c r="A2475" s="1"/>
      <c r="B2475" s="2"/>
      <c r="C2475" s="2"/>
      <c r="D2475" s="2"/>
      <c r="E2475" s="3"/>
      <c r="F2475" s="4"/>
      <c r="G2475" s="4"/>
      <c r="H2475" s="14"/>
      <c r="I2475" s="4"/>
      <c r="J2475" s="6"/>
      <c r="K2475" s="7"/>
      <c r="L2475" s="8"/>
      <c r="O2475" s="10"/>
    </row>
    <row r="2476" ht="14.25" customHeight="1">
      <c r="A2476" s="1"/>
      <c r="B2476" s="2"/>
      <c r="C2476" s="2"/>
      <c r="D2476" s="2"/>
      <c r="E2476" s="3"/>
      <c r="F2476" s="4"/>
      <c r="G2476" s="4"/>
      <c r="H2476" s="14"/>
      <c r="I2476" s="4"/>
      <c r="J2476" s="6"/>
      <c r="K2476" s="7"/>
      <c r="L2476" s="8"/>
      <c r="O2476" s="10"/>
    </row>
    <row r="2477" ht="14.25" customHeight="1">
      <c r="A2477" s="1"/>
      <c r="B2477" s="2"/>
      <c r="C2477" s="2"/>
      <c r="D2477" s="2"/>
      <c r="E2477" s="3"/>
      <c r="F2477" s="4"/>
      <c r="G2477" s="4"/>
      <c r="H2477" s="14"/>
      <c r="I2477" s="4"/>
      <c r="J2477" s="6"/>
      <c r="K2477" s="7"/>
      <c r="L2477" s="8"/>
      <c r="O2477" s="10"/>
    </row>
    <row r="2478" ht="14.25" customHeight="1">
      <c r="A2478" s="1"/>
      <c r="B2478" s="2"/>
      <c r="C2478" s="2"/>
      <c r="D2478" s="2"/>
      <c r="E2478" s="3"/>
      <c r="F2478" s="4"/>
      <c r="G2478" s="4"/>
      <c r="H2478" s="14"/>
      <c r="I2478" s="4"/>
      <c r="J2478" s="6"/>
      <c r="K2478" s="7"/>
      <c r="L2478" s="8"/>
      <c r="O2478" s="10"/>
    </row>
    <row r="2479" ht="14.25" customHeight="1">
      <c r="A2479" s="1"/>
      <c r="B2479" s="2"/>
      <c r="C2479" s="2"/>
      <c r="D2479" s="2"/>
      <c r="E2479" s="3"/>
      <c r="F2479" s="4"/>
      <c r="G2479" s="4"/>
      <c r="H2479" s="4"/>
      <c r="I2479" s="4"/>
      <c r="J2479" s="6"/>
      <c r="K2479" s="7"/>
      <c r="L2479" s="8"/>
      <c r="O2479" s="10"/>
    </row>
    <row r="2480" ht="14.25" customHeight="1">
      <c r="A2480" s="1"/>
      <c r="B2480" s="2"/>
      <c r="C2480" s="2"/>
      <c r="D2480" s="2"/>
      <c r="E2480" s="3"/>
      <c r="F2480" s="4"/>
      <c r="G2480" s="4"/>
      <c r="H2480" s="14"/>
      <c r="I2480" s="4"/>
      <c r="J2480" s="6"/>
      <c r="K2480" s="7"/>
      <c r="L2480" s="8"/>
      <c r="O2480" s="10"/>
    </row>
    <row r="2481" ht="14.25" customHeight="1">
      <c r="A2481" s="1"/>
      <c r="B2481" s="2"/>
      <c r="C2481" s="2"/>
      <c r="D2481" s="2"/>
      <c r="E2481" s="3"/>
      <c r="F2481" s="4"/>
      <c r="G2481" s="4"/>
      <c r="H2481" s="14"/>
      <c r="I2481" s="4"/>
      <c r="J2481" s="6"/>
      <c r="K2481" s="7"/>
      <c r="L2481" s="8"/>
      <c r="O2481" s="10"/>
    </row>
    <row r="2482" ht="14.25" customHeight="1">
      <c r="A2482" s="1"/>
      <c r="B2482" s="2"/>
      <c r="C2482" s="2"/>
      <c r="D2482" s="2"/>
      <c r="E2482" s="3"/>
      <c r="F2482" s="4"/>
      <c r="G2482" s="4"/>
      <c r="H2482" s="4"/>
      <c r="I2482" s="4"/>
      <c r="J2482" s="6"/>
      <c r="K2482" s="7"/>
      <c r="L2482" s="8"/>
      <c r="O2482" s="10"/>
    </row>
    <row r="2483" ht="14.25" customHeight="1">
      <c r="A2483" s="1"/>
      <c r="B2483" s="2"/>
      <c r="C2483" s="2"/>
      <c r="D2483" s="2"/>
      <c r="E2483" s="3"/>
      <c r="F2483" s="4"/>
      <c r="G2483" s="4"/>
      <c r="H2483" s="14"/>
      <c r="I2483" s="4"/>
      <c r="J2483" s="6"/>
      <c r="K2483" s="7"/>
      <c r="L2483" s="8"/>
      <c r="O2483" s="10"/>
    </row>
    <row r="2484" ht="14.25" customHeight="1">
      <c r="A2484" s="1"/>
      <c r="B2484" s="2"/>
      <c r="C2484" s="2"/>
      <c r="D2484" s="2"/>
      <c r="E2484" s="3"/>
      <c r="F2484" s="4"/>
      <c r="G2484" s="4"/>
      <c r="H2484" s="4"/>
      <c r="I2484" s="4"/>
      <c r="J2484" s="6"/>
      <c r="K2484" s="7"/>
      <c r="L2484" s="8"/>
      <c r="O2484" s="10"/>
    </row>
    <row r="2485" ht="14.25" customHeight="1">
      <c r="A2485" s="1"/>
      <c r="B2485" s="2"/>
      <c r="C2485" s="2"/>
      <c r="D2485" s="2"/>
      <c r="E2485" s="3"/>
      <c r="F2485" s="4"/>
      <c r="G2485" s="4"/>
      <c r="H2485" s="14"/>
      <c r="I2485" s="4"/>
      <c r="J2485" s="6"/>
      <c r="K2485" s="7"/>
      <c r="L2485" s="8"/>
      <c r="O2485" s="10"/>
    </row>
    <row r="2486" ht="14.25" customHeight="1">
      <c r="A2486" s="1"/>
      <c r="B2486" s="2"/>
      <c r="C2486" s="2"/>
      <c r="D2486" s="2"/>
      <c r="E2486" s="3"/>
      <c r="F2486" s="4"/>
      <c r="G2486" s="4"/>
      <c r="H2486" s="4"/>
      <c r="I2486" s="4"/>
      <c r="J2486" s="6"/>
      <c r="K2486" s="7"/>
      <c r="L2486" s="8"/>
      <c r="O2486" s="10"/>
    </row>
    <row r="2487" ht="14.25" customHeight="1">
      <c r="A2487" s="1"/>
      <c r="B2487" s="2"/>
      <c r="C2487" s="2"/>
      <c r="D2487" s="2"/>
      <c r="E2487" s="3"/>
      <c r="F2487" s="4"/>
      <c r="G2487" s="4"/>
      <c r="H2487" s="14"/>
      <c r="I2487" s="4"/>
      <c r="J2487" s="6"/>
      <c r="K2487" s="7"/>
      <c r="L2487" s="8"/>
      <c r="O2487" s="10"/>
    </row>
    <row r="2488" ht="14.25" customHeight="1">
      <c r="A2488" s="1"/>
      <c r="B2488" s="2"/>
      <c r="C2488" s="2"/>
      <c r="D2488" s="2"/>
      <c r="E2488" s="3"/>
      <c r="F2488" s="4"/>
      <c r="G2488" s="4"/>
      <c r="H2488" s="4"/>
      <c r="I2488" s="4"/>
      <c r="J2488" s="6"/>
      <c r="K2488" s="7"/>
      <c r="L2488" s="8"/>
      <c r="O2488" s="10"/>
    </row>
    <row r="2489" ht="14.25" customHeight="1">
      <c r="A2489" s="1"/>
      <c r="B2489" s="2"/>
      <c r="C2489" s="2"/>
      <c r="D2489" s="2"/>
      <c r="E2489" s="3"/>
      <c r="F2489" s="4"/>
      <c r="G2489" s="4"/>
      <c r="H2489" s="14"/>
      <c r="I2489" s="4"/>
      <c r="J2489" s="6"/>
      <c r="K2489" s="7"/>
      <c r="L2489" s="8"/>
      <c r="O2489" s="10"/>
    </row>
    <row r="2490" ht="14.25" customHeight="1">
      <c r="A2490" s="1"/>
      <c r="B2490" s="2"/>
      <c r="C2490" s="2"/>
      <c r="D2490" s="2"/>
      <c r="E2490" s="3"/>
      <c r="F2490" s="4"/>
      <c r="G2490" s="4"/>
      <c r="H2490" s="14"/>
      <c r="I2490" s="4"/>
      <c r="J2490" s="6"/>
      <c r="K2490" s="7"/>
      <c r="L2490" s="8"/>
      <c r="O2490" s="10"/>
    </row>
    <row r="2491" ht="14.25" customHeight="1">
      <c r="A2491" s="1"/>
      <c r="B2491" s="2"/>
      <c r="C2491" s="2"/>
      <c r="D2491" s="2"/>
      <c r="E2491" s="3"/>
      <c r="F2491" s="4"/>
      <c r="G2491" s="4"/>
      <c r="H2491" s="14"/>
      <c r="I2491" s="4"/>
      <c r="J2491" s="6"/>
      <c r="K2491" s="7"/>
      <c r="L2491" s="8"/>
      <c r="O2491" s="10"/>
    </row>
    <row r="2492" ht="14.25" customHeight="1">
      <c r="A2492" s="1"/>
      <c r="B2492" s="2"/>
      <c r="C2492" s="2"/>
      <c r="D2492" s="2"/>
      <c r="E2492" s="3"/>
      <c r="F2492" s="4"/>
      <c r="G2492" s="4"/>
      <c r="H2492" s="4"/>
      <c r="I2492" s="4"/>
      <c r="J2492" s="6"/>
      <c r="K2492" s="7"/>
      <c r="L2492" s="8"/>
      <c r="O2492" s="10"/>
    </row>
    <row r="2493" ht="14.25" customHeight="1">
      <c r="A2493" s="1"/>
      <c r="B2493" s="2"/>
      <c r="C2493" s="2"/>
      <c r="D2493" s="2"/>
      <c r="E2493" s="3"/>
      <c r="F2493" s="4"/>
      <c r="G2493" s="4"/>
      <c r="H2493" s="14"/>
      <c r="I2493" s="4"/>
      <c r="J2493" s="6"/>
      <c r="K2493" s="7"/>
      <c r="L2493" s="8"/>
      <c r="O2493" s="10"/>
    </row>
    <row r="2494" ht="14.25" customHeight="1">
      <c r="A2494" s="1"/>
      <c r="B2494" s="2"/>
      <c r="C2494" s="2"/>
      <c r="D2494" s="2"/>
      <c r="E2494" s="3"/>
      <c r="F2494" s="4"/>
      <c r="G2494" s="4"/>
      <c r="H2494" s="14"/>
      <c r="I2494" s="4"/>
      <c r="J2494" s="6"/>
      <c r="K2494" s="7"/>
      <c r="L2494" s="8"/>
      <c r="O2494" s="10"/>
    </row>
    <row r="2495" ht="14.25" customHeight="1">
      <c r="A2495" s="1"/>
      <c r="B2495" s="2"/>
      <c r="C2495" s="2"/>
      <c r="D2495" s="2"/>
      <c r="E2495" s="3"/>
      <c r="F2495" s="4"/>
      <c r="G2495" s="4"/>
      <c r="H2495" s="4"/>
      <c r="I2495" s="4"/>
      <c r="J2495" s="6"/>
      <c r="K2495" s="7"/>
      <c r="L2495" s="8"/>
      <c r="O2495" s="10"/>
    </row>
    <row r="2496" ht="14.25" customHeight="1">
      <c r="A2496" s="1"/>
      <c r="B2496" s="2"/>
      <c r="C2496" s="2"/>
      <c r="D2496" s="2"/>
      <c r="E2496" s="3"/>
      <c r="F2496" s="4"/>
      <c r="G2496" s="4"/>
      <c r="H2496" s="4"/>
      <c r="I2496" s="4"/>
      <c r="J2496" s="6"/>
      <c r="K2496" s="7"/>
      <c r="L2496" s="8"/>
      <c r="O2496" s="10"/>
    </row>
    <row r="2497" ht="14.25" customHeight="1">
      <c r="A2497" s="1"/>
      <c r="B2497" s="2"/>
      <c r="C2497" s="2"/>
      <c r="D2497" s="2"/>
      <c r="E2497" s="3"/>
      <c r="F2497" s="4"/>
      <c r="G2497" s="4"/>
      <c r="H2497" s="4"/>
      <c r="I2497" s="4"/>
      <c r="J2497" s="6"/>
      <c r="K2497" s="7"/>
      <c r="L2497" s="8"/>
      <c r="O2497" s="10"/>
    </row>
    <row r="2498" ht="14.25" customHeight="1">
      <c r="A2498" s="1"/>
      <c r="B2498" s="2"/>
      <c r="C2498" s="2"/>
      <c r="D2498" s="2"/>
      <c r="E2498" s="3"/>
      <c r="F2498" s="4"/>
      <c r="G2498" s="4"/>
      <c r="H2498" s="4"/>
      <c r="I2498" s="4"/>
      <c r="J2498" s="6"/>
      <c r="K2498" s="7"/>
      <c r="L2498" s="8"/>
      <c r="O2498" s="10"/>
    </row>
    <row r="2499" ht="14.25" customHeight="1">
      <c r="A2499" s="1"/>
      <c r="B2499" s="2"/>
      <c r="C2499" s="2"/>
      <c r="D2499" s="2"/>
      <c r="E2499" s="3"/>
      <c r="F2499" s="4"/>
      <c r="G2499" s="4"/>
      <c r="H2499" s="14"/>
      <c r="I2499" s="4"/>
      <c r="J2499" s="6"/>
      <c r="K2499" s="7"/>
      <c r="L2499" s="8"/>
      <c r="O2499" s="10"/>
    </row>
    <row r="2500" ht="14.25" customHeight="1">
      <c r="A2500" s="1"/>
      <c r="B2500" s="2"/>
      <c r="C2500" s="2"/>
      <c r="D2500" s="2"/>
      <c r="E2500" s="3"/>
      <c r="F2500" s="4"/>
      <c r="G2500" s="4"/>
      <c r="H2500" s="14"/>
      <c r="I2500" s="4"/>
      <c r="J2500" s="6"/>
      <c r="K2500" s="7"/>
      <c r="L2500" s="8"/>
      <c r="O2500" s="10"/>
    </row>
    <row r="2501" ht="14.25" customHeight="1">
      <c r="A2501" s="1"/>
      <c r="B2501" s="2"/>
      <c r="C2501" s="2"/>
      <c r="D2501" s="2"/>
      <c r="E2501" s="3"/>
      <c r="F2501" s="4"/>
      <c r="G2501" s="4"/>
      <c r="H2501" s="14"/>
      <c r="I2501" s="4"/>
      <c r="J2501" s="6"/>
      <c r="K2501" s="7"/>
      <c r="L2501" s="8"/>
      <c r="O2501" s="10"/>
    </row>
    <row r="2502" ht="14.25" customHeight="1">
      <c r="A2502" s="1"/>
      <c r="B2502" s="2"/>
      <c r="C2502" s="2"/>
      <c r="D2502" s="2"/>
      <c r="E2502" s="3"/>
      <c r="F2502" s="4"/>
      <c r="G2502" s="4"/>
      <c r="H2502" s="14"/>
      <c r="I2502" s="4"/>
      <c r="J2502" s="6"/>
      <c r="K2502" s="7"/>
      <c r="L2502" s="8"/>
      <c r="O2502" s="10"/>
    </row>
    <row r="2503" ht="14.25" customHeight="1">
      <c r="A2503" s="1"/>
      <c r="B2503" s="2"/>
      <c r="C2503" s="2"/>
      <c r="D2503" s="2"/>
      <c r="E2503" s="3"/>
      <c r="F2503" s="4"/>
      <c r="G2503" s="4"/>
      <c r="H2503" s="14"/>
      <c r="I2503" s="4"/>
      <c r="J2503" s="6"/>
      <c r="K2503" s="7"/>
      <c r="L2503" s="8"/>
      <c r="O2503" s="10"/>
    </row>
    <row r="2504" ht="14.25" customHeight="1">
      <c r="A2504" s="1"/>
      <c r="B2504" s="2"/>
      <c r="C2504" s="2"/>
      <c r="D2504" s="2"/>
      <c r="E2504" s="3"/>
      <c r="F2504" s="4"/>
      <c r="G2504" s="4"/>
      <c r="H2504" s="14"/>
      <c r="I2504" s="4"/>
      <c r="J2504" s="6"/>
      <c r="K2504" s="7"/>
      <c r="L2504" s="8"/>
      <c r="O2504" s="10"/>
    </row>
    <row r="2505" ht="14.25" customHeight="1">
      <c r="A2505" s="1"/>
      <c r="B2505" s="2"/>
      <c r="C2505" s="2"/>
      <c r="D2505" s="2"/>
      <c r="E2505" s="3"/>
      <c r="F2505" s="4"/>
      <c r="G2505" s="4"/>
      <c r="H2505" s="4"/>
      <c r="I2505" s="4"/>
      <c r="J2505" s="6"/>
      <c r="K2505" s="7"/>
      <c r="L2505" s="8"/>
      <c r="O2505" s="10"/>
    </row>
    <row r="2506" ht="14.25" customHeight="1">
      <c r="A2506" s="1"/>
      <c r="B2506" s="2"/>
      <c r="C2506" s="2"/>
      <c r="D2506" s="2"/>
      <c r="E2506" s="3"/>
      <c r="F2506" s="4"/>
      <c r="G2506" s="4"/>
      <c r="H2506" s="14"/>
      <c r="I2506" s="4"/>
      <c r="J2506" s="6"/>
      <c r="K2506" s="7"/>
      <c r="L2506" s="8"/>
      <c r="O2506" s="10"/>
    </row>
    <row r="2507" ht="14.25" customHeight="1">
      <c r="A2507" s="1"/>
      <c r="B2507" s="2"/>
      <c r="C2507" s="2"/>
      <c r="D2507" s="2"/>
      <c r="E2507" s="3"/>
      <c r="F2507" s="4"/>
      <c r="G2507" s="4"/>
      <c r="H2507" s="14"/>
      <c r="I2507" s="4"/>
      <c r="J2507" s="6"/>
      <c r="K2507" s="7"/>
      <c r="L2507" s="8"/>
      <c r="O2507" s="10"/>
    </row>
    <row r="2508" ht="14.25" customHeight="1">
      <c r="A2508" s="1"/>
      <c r="B2508" s="2"/>
      <c r="C2508" s="2"/>
      <c r="D2508" s="2"/>
      <c r="E2508" s="3"/>
      <c r="F2508" s="4"/>
      <c r="G2508" s="4"/>
      <c r="H2508" s="14"/>
      <c r="I2508" s="4"/>
      <c r="J2508" s="6"/>
      <c r="K2508" s="7"/>
      <c r="L2508" s="8"/>
      <c r="O2508" s="10"/>
    </row>
    <row r="2509" ht="14.25" customHeight="1">
      <c r="A2509" s="1"/>
      <c r="B2509" s="2"/>
      <c r="C2509" s="2"/>
      <c r="D2509" s="2"/>
      <c r="E2509" s="3"/>
      <c r="F2509" s="4"/>
      <c r="G2509" s="4"/>
      <c r="H2509" s="14"/>
      <c r="I2509" s="4"/>
      <c r="J2509" s="6"/>
      <c r="K2509" s="7"/>
      <c r="L2509" s="8"/>
      <c r="O2509" s="10"/>
    </row>
    <row r="2510" ht="14.25" customHeight="1">
      <c r="A2510" s="1"/>
      <c r="B2510" s="2"/>
      <c r="C2510" s="2"/>
      <c r="D2510" s="2"/>
      <c r="E2510" s="3"/>
      <c r="F2510" s="4"/>
      <c r="G2510" s="4"/>
      <c r="H2510" s="14"/>
      <c r="I2510" s="4"/>
      <c r="J2510" s="6"/>
      <c r="K2510" s="7"/>
      <c r="L2510" s="8"/>
      <c r="O2510" s="10"/>
    </row>
    <row r="2511" ht="14.25" customHeight="1">
      <c r="A2511" s="1"/>
      <c r="B2511" s="2"/>
      <c r="C2511" s="2"/>
      <c r="D2511" s="2"/>
      <c r="E2511" s="3"/>
      <c r="F2511" s="4"/>
      <c r="G2511" s="4"/>
      <c r="H2511" s="14"/>
      <c r="I2511" s="4"/>
      <c r="J2511" s="6"/>
      <c r="K2511" s="7"/>
      <c r="L2511" s="8"/>
      <c r="O2511" s="10"/>
    </row>
    <row r="2512" ht="14.25" customHeight="1">
      <c r="A2512" s="1"/>
      <c r="B2512" s="2"/>
      <c r="C2512" s="2"/>
      <c r="D2512" s="2"/>
      <c r="E2512" s="3"/>
      <c r="F2512" s="4"/>
      <c r="G2512" s="4"/>
      <c r="H2512" s="14"/>
      <c r="I2512" s="4"/>
      <c r="J2512" s="6"/>
      <c r="K2512" s="7"/>
      <c r="L2512" s="8"/>
      <c r="O2512" s="10"/>
    </row>
    <row r="2513" ht="14.25" customHeight="1">
      <c r="A2513" s="1"/>
      <c r="B2513" s="2"/>
      <c r="C2513" s="2"/>
      <c r="D2513" s="2"/>
      <c r="E2513" s="3"/>
      <c r="F2513" s="4"/>
      <c r="G2513" s="4"/>
      <c r="H2513" s="14"/>
      <c r="I2513" s="4"/>
      <c r="J2513" s="6"/>
      <c r="K2513" s="7"/>
      <c r="L2513" s="8"/>
      <c r="O2513" s="10"/>
    </row>
    <row r="2514" ht="14.25" customHeight="1">
      <c r="A2514" s="1"/>
      <c r="B2514" s="2"/>
      <c r="C2514" s="2"/>
      <c r="D2514" s="2"/>
      <c r="E2514" s="3"/>
      <c r="F2514" s="4"/>
      <c r="G2514" s="4"/>
      <c r="H2514" s="14"/>
      <c r="I2514" s="4"/>
      <c r="J2514" s="6"/>
      <c r="K2514" s="7"/>
      <c r="L2514" s="8"/>
      <c r="O2514" s="10"/>
    </row>
    <row r="2515" ht="14.25" customHeight="1">
      <c r="A2515" s="1"/>
      <c r="B2515" s="2"/>
      <c r="C2515" s="2"/>
      <c r="D2515" s="2"/>
      <c r="E2515" s="3"/>
      <c r="F2515" s="4"/>
      <c r="G2515" s="4"/>
      <c r="H2515" s="4"/>
      <c r="I2515" s="4"/>
      <c r="J2515" s="6"/>
      <c r="K2515" s="7"/>
      <c r="L2515" s="8"/>
      <c r="O2515" s="10"/>
    </row>
    <row r="2516" ht="14.25" customHeight="1">
      <c r="A2516" s="1"/>
      <c r="B2516" s="2"/>
      <c r="C2516" s="2"/>
      <c r="D2516" s="2"/>
      <c r="E2516" s="3"/>
      <c r="F2516" s="4"/>
      <c r="G2516" s="4"/>
      <c r="H2516" s="4"/>
      <c r="I2516" s="4"/>
      <c r="J2516" s="6"/>
      <c r="K2516" s="7"/>
      <c r="L2516" s="8"/>
      <c r="O2516" s="10"/>
    </row>
    <row r="2517" ht="14.25" customHeight="1">
      <c r="A2517" s="1"/>
      <c r="B2517" s="2"/>
      <c r="C2517" s="2"/>
      <c r="D2517" s="2"/>
      <c r="E2517" s="3"/>
      <c r="F2517" s="4"/>
      <c r="G2517" s="4"/>
      <c r="H2517" s="4"/>
      <c r="I2517" s="4"/>
      <c r="J2517" s="6"/>
      <c r="K2517" s="7"/>
      <c r="L2517" s="8"/>
      <c r="O2517" s="10"/>
    </row>
    <row r="2518" ht="14.25" customHeight="1">
      <c r="A2518" s="1"/>
      <c r="B2518" s="2"/>
      <c r="C2518" s="2"/>
      <c r="D2518" s="2"/>
      <c r="E2518" s="3"/>
      <c r="F2518" s="4"/>
      <c r="G2518" s="4"/>
      <c r="H2518" s="14"/>
      <c r="I2518" s="4"/>
      <c r="J2518" s="6"/>
      <c r="K2518" s="7"/>
      <c r="L2518" s="8"/>
      <c r="O2518" s="10"/>
    </row>
    <row r="2519" ht="14.25" customHeight="1">
      <c r="A2519" s="1"/>
      <c r="B2519" s="2"/>
      <c r="C2519" s="2"/>
      <c r="D2519" s="2"/>
      <c r="E2519" s="3"/>
      <c r="F2519" s="4"/>
      <c r="G2519" s="4"/>
      <c r="H2519" s="14"/>
      <c r="I2519" s="4"/>
      <c r="J2519" s="6"/>
      <c r="K2519" s="7"/>
      <c r="L2519" s="8"/>
      <c r="O2519" s="10"/>
    </row>
    <row r="2520" ht="14.25" customHeight="1">
      <c r="A2520" s="1"/>
      <c r="B2520" s="2"/>
      <c r="C2520" s="2"/>
      <c r="D2520" s="2"/>
      <c r="E2520" s="3"/>
      <c r="F2520" s="4"/>
      <c r="G2520" s="4"/>
      <c r="H2520" s="4"/>
      <c r="I2520" s="4"/>
      <c r="J2520" s="6"/>
      <c r="K2520" s="7"/>
      <c r="L2520" s="8"/>
      <c r="O2520" s="10"/>
    </row>
    <row r="2521" ht="14.25" customHeight="1">
      <c r="A2521" s="1"/>
      <c r="B2521" s="2"/>
      <c r="C2521" s="2"/>
      <c r="D2521" s="2"/>
      <c r="E2521" s="3"/>
      <c r="F2521" s="4"/>
      <c r="G2521" s="4"/>
      <c r="H2521" s="14"/>
      <c r="I2521" s="4"/>
      <c r="J2521" s="6"/>
      <c r="K2521" s="7"/>
      <c r="L2521" s="8"/>
      <c r="O2521" s="10"/>
    </row>
    <row r="2522" ht="14.25" customHeight="1">
      <c r="A2522" s="1"/>
      <c r="B2522" s="2"/>
      <c r="C2522" s="2"/>
      <c r="D2522" s="2"/>
      <c r="E2522" s="3"/>
      <c r="F2522" s="4"/>
      <c r="G2522" s="4"/>
      <c r="H2522" s="4"/>
      <c r="I2522" s="4"/>
      <c r="J2522" s="6"/>
      <c r="K2522" s="7"/>
      <c r="L2522" s="8"/>
      <c r="O2522" s="10"/>
    </row>
    <row r="2523" ht="14.25" customHeight="1">
      <c r="A2523" s="1"/>
      <c r="B2523" s="2"/>
      <c r="C2523" s="2"/>
      <c r="D2523" s="2"/>
      <c r="E2523" s="3"/>
      <c r="F2523" s="4"/>
      <c r="G2523" s="4"/>
      <c r="H2523" s="4"/>
      <c r="I2523" s="4"/>
      <c r="J2523" s="6"/>
      <c r="K2523" s="7"/>
      <c r="L2523" s="8"/>
      <c r="O2523" s="10"/>
    </row>
    <row r="2524" ht="14.25" customHeight="1">
      <c r="A2524" s="1"/>
      <c r="B2524" s="2"/>
      <c r="C2524" s="2"/>
      <c r="D2524" s="2"/>
      <c r="E2524" s="3"/>
      <c r="F2524" s="4"/>
      <c r="G2524" s="4"/>
      <c r="H2524" s="14"/>
      <c r="I2524" s="4"/>
      <c r="J2524" s="6"/>
      <c r="K2524" s="7"/>
      <c r="L2524" s="8"/>
      <c r="O2524" s="10"/>
    </row>
    <row r="2525" ht="14.25" customHeight="1">
      <c r="A2525" s="1"/>
      <c r="B2525" s="2"/>
      <c r="C2525" s="2"/>
      <c r="D2525" s="2"/>
      <c r="E2525" s="3"/>
      <c r="F2525" s="4"/>
      <c r="G2525" s="4"/>
      <c r="H2525" s="4"/>
      <c r="I2525" s="4"/>
      <c r="J2525" s="6"/>
      <c r="K2525" s="7"/>
      <c r="L2525" s="8"/>
      <c r="O2525" s="10"/>
    </row>
    <row r="2526" ht="14.25" customHeight="1">
      <c r="A2526" s="1"/>
      <c r="B2526" s="2"/>
      <c r="C2526" s="2"/>
      <c r="D2526" s="2"/>
      <c r="E2526" s="3"/>
      <c r="F2526" s="4"/>
      <c r="G2526" s="4"/>
      <c r="H2526" s="4"/>
      <c r="I2526" s="4"/>
      <c r="J2526" s="6"/>
      <c r="K2526" s="7"/>
      <c r="L2526" s="8"/>
      <c r="O2526" s="10"/>
    </row>
    <row r="2527" ht="14.25" customHeight="1">
      <c r="A2527" s="1"/>
      <c r="B2527" s="2"/>
      <c r="C2527" s="2"/>
      <c r="D2527" s="2"/>
      <c r="E2527" s="3"/>
      <c r="F2527" s="4"/>
      <c r="G2527" s="4"/>
      <c r="H2527" s="14"/>
      <c r="I2527" s="4"/>
      <c r="J2527" s="6"/>
      <c r="K2527" s="7"/>
      <c r="L2527" s="8"/>
      <c r="O2527" s="10"/>
    </row>
    <row r="2528" ht="14.25" customHeight="1">
      <c r="A2528" s="1"/>
      <c r="B2528" s="2"/>
      <c r="C2528" s="2"/>
      <c r="D2528" s="2"/>
      <c r="E2528" s="3"/>
      <c r="F2528" s="4"/>
      <c r="G2528" s="4"/>
      <c r="H2528" s="4"/>
      <c r="I2528" s="4"/>
      <c r="J2528" s="6"/>
      <c r="K2528" s="7"/>
      <c r="L2528" s="8"/>
      <c r="O2528" s="10"/>
    </row>
    <row r="2529" ht="14.25" customHeight="1">
      <c r="A2529" s="1"/>
      <c r="B2529" s="2"/>
      <c r="C2529" s="2"/>
      <c r="D2529" s="2"/>
      <c r="E2529" s="3"/>
      <c r="F2529" s="4"/>
      <c r="G2529" s="4"/>
      <c r="H2529" s="14"/>
      <c r="I2529" s="4"/>
      <c r="J2529" s="6"/>
      <c r="K2529" s="7"/>
      <c r="L2529" s="8"/>
      <c r="O2529" s="10"/>
    </row>
    <row r="2530" ht="14.25" customHeight="1">
      <c r="A2530" s="1"/>
      <c r="B2530" s="2"/>
      <c r="C2530" s="2"/>
      <c r="D2530" s="2"/>
      <c r="E2530" s="3"/>
      <c r="F2530" s="4"/>
      <c r="G2530" s="4"/>
      <c r="H2530" s="14"/>
      <c r="I2530" s="4"/>
      <c r="J2530" s="6"/>
      <c r="K2530" s="7"/>
      <c r="L2530" s="8"/>
      <c r="O2530" s="10"/>
    </row>
    <row r="2531" ht="14.25" customHeight="1">
      <c r="A2531" s="1"/>
      <c r="B2531" s="2"/>
      <c r="C2531" s="2"/>
      <c r="D2531" s="2"/>
      <c r="E2531" s="3"/>
      <c r="F2531" s="4"/>
      <c r="G2531" s="4"/>
      <c r="H2531" s="4"/>
      <c r="I2531" s="4"/>
      <c r="J2531" s="6"/>
      <c r="K2531" s="7"/>
      <c r="L2531" s="8"/>
      <c r="O2531" s="10"/>
    </row>
    <row r="2532" ht="14.25" customHeight="1">
      <c r="A2532" s="1"/>
      <c r="B2532" s="2"/>
      <c r="C2532" s="2"/>
      <c r="D2532" s="2"/>
      <c r="E2532" s="3"/>
      <c r="F2532" s="4"/>
      <c r="G2532" s="4"/>
      <c r="H2532" s="4"/>
      <c r="I2532" s="4"/>
      <c r="J2532" s="6"/>
      <c r="K2532" s="7"/>
      <c r="L2532" s="8"/>
      <c r="O2532" s="10"/>
    </row>
    <row r="2533" ht="14.25" customHeight="1">
      <c r="A2533" s="1"/>
      <c r="B2533" s="2"/>
      <c r="C2533" s="2"/>
      <c r="D2533" s="2"/>
      <c r="E2533" s="3"/>
      <c r="F2533" s="4"/>
      <c r="G2533" s="4"/>
      <c r="H2533" s="14"/>
      <c r="I2533" s="4"/>
      <c r="J2533" s="6"/>
      <c r="K2533" s="7"/>
      <c r="L2533" s="8"/>
      <c r="O2533" s="10"/>
    </row>
    <row r="2534" ht="14.25" customHeight="1">
      <c r="A2534" s="1"/>
      <c r="B2534" s="2"/>
      <c r="C2534" s="2"/>
      <c r="D2534" s="2"/>
      <c r="E2534" s="3"/>
      <c r="F2534" s="4"/>
      <c r="G2534" s="4"/>
      <c r="H2534" s="14"/>
      <c r="I2534" s="4"/>
      <c r="J2534" s="6"/>
      <c r="K2534" s="7"/>
      <c r="L2534" s="8"/>
      <c r="O2534" s="10"/>
    </row>
    <row r="2535" ht="14.25" customHeight="1">
      <c r="A2535" s="1"/>
      <c r="B2535" s="2"/>
      <c r="C2535" s="2"/>
      <c r="D2535" s="2"/>
      <c r="E2535" s="3"/>
      <c r="F2535" s="4"/>
      <c r="G2535" s="4"/>
      <c r="H2535" s="14"/>
      <c r="I2535" s="4"/>
      <c r="J2535" s="6"/>
      <c r="K2535" s="7"/>
      <c r="L2535" s="8"/>
      <c r="O2535" s="10"/>
    </row>
    <row r="2536" ht="14.25" customHeight="1">
      <c r="A2536" s="1"/>
      <c r="B2536" s="2"/>
      <c r="C2536" s="2"/>
      <c r="D2536" s="2"/>
      <c r="E2536" s="3"/>
      <c r="F2536" s="4"/>
      <c r="G2536" s="4"/>
      <c r="H2536" s="14"/>
      <c r="I2536" s="4"/>
      <c r="J2536" s="6"/>
      <c r="K2536" s="7"/>
      <c r="L2536" s="8"/>
      <c r="O2536" s="10"/>
    </row>
    <row r="2537" ht="14.25" customHeight="1">
      <c r="A2537" s="1"/>
      <c r="B2537" s="2"/>
      <c r="C2537" s="2"/>
      <c r="D2537" s="2"/>
      <c r="E2537" s="3"/>
      <c r="F2537" s="4"/>
      <c r="G2537" s="4"/>
      <c r="H2537" s="14"/>
      <c r="I2537" s="4"/>
      <c r="J2537" s="6"/>
      <c r="K2537" s="7"/>
      <c r="L2537" s="8"/>
      <c r="O2537" s="10"/>
    </row>
    <row r="2538" ht="14.25" customHeight="1">
      <c r="A2538" s="1"/>
      <c r="B2538" s="2"/>
      <c r="C2538" s="2"/>
      <c r="D2538" s="2"/>
      <c r="E2538" s="3"/>
      <c r="F2538" s="4"/>
      <c r="G2538" s="4"/>
      <c r="H2538" s="14"/>
      <c r="I2538" s="4"/>
      <c r="J2538" s="6"/>
      <c r="K2538" s="7"/>
      <c r="L2538" s="8"/>
      <c r="O2538" s="10"/>
    </row>
    <row r="2539" ht="14.25" customHeight="1">
      <c r="A2539" s="1"/>
      <c r="B2539" s="2"/>
      <c r="C2539" s="2"/>
      <c r="D2539" s="2"/>
      <c r="E2539" s="3"/>
      <c r="F2539" s="4"/>
      <c r="G2539" s="4"/>
      <c r="H2539" s="14"/>
      <c r="I2539" s="4"/>
      <c r="J2539" s="6"/>
      <c r="K2539" s="7"/>
      <c r="L2539" s="8"/>
      <c r="O2539" s="10"/>
    </row>
    <row r="2540" ht="14.25" customHeight="1">
      <c r="A2540" s="1"/>
      <c r="B2540" s="2"/>
      <c r="C2540" s="2"/>
      <c r="D2540" s="2"/>
      <c r="E2540" s="3"/>
      <c r="F2540" s="4"/>
      <c r="G2540" s="4"/>
      <c r="H2540" s="4"/>
      <c r="I2540" s="4"/>
      <c r="J2540" s="6"/>
      <c r="K2540" s="7"/>
      <c r="L2540" s="8"/>
      <c r="O2540" s="10"/>
    </row>
    <row r="2541" ht="14.25" customHeight="1">
      <c r="A2541" s="1"/>
      <c r="B2541" s="2"/>
      <c r="C2541" s="2"/>
      <c r="D2541" s="2"/>
      <c r="E2541" s="3"/>
      <c r="F2541" s="4"/>
      <c r="G2541" s="4"/>
      <c r="H2541" s="14"/>
      <c r="I2541" s="4"/>
      <c r="J2541" s="6"/>
      <c r="K2541" s="7"/>
      <c r="L2541" s="8"/>
      <c r="O2541" s="10"/>
    </row>
    <row r="2542" ht="14.25" customHeight="1">
      <c r="A2542" s="1"/>
      <c r="B2542" s="2"/>
      <c r="C2542" s="2"/>
      <c r="D2542" s="2"/>
      <c r="E2542" s="3"/>
      <c r="F2542" s="4"/>
      <c r="G2542" s="4"/>
      <c r="H2542" s="14"/>
      <c r="I2542" s="4"/>
      <c r="J2542" s="6"/>
      <c r="K2542" s="7"/>
      <c r="L2542" s="8"/>
      <c r="O2542" s="10"/>
    </row>
    <row r="2543" ht="14.25" customHeight="1">
      <c r="A2543" s="1"/>
      <c r="B2543" s="2"/>
      <c r="C2543" s="2"/>
      <c r="D2543" s="2"/>
      <c r="E2543" s="3"/>
      <c r="F2543" s="4"/>
      <c r="G2543" s="4"/>
      <c r="H2543" s="14"/>
      <c r="I2543" s="4"/>
      <c r="J2543" s="6"/>
      <c r="K2543" s="7"/>
      <c r="L2543" s="8"/>
      <c r="O2543" s="10"/>
    </row>
    <row r="2544" ht="14.25" customHeight="1">
      <c r="A2544" s="1"/>
      <c r="B2544" s="2"/>
      <c r="C2544" s="2"/>
      <c r="D2544" s="2"/>
      <c r="E2544" s="3"/>
      <c r="F2544" s="4"/>
      <c r="G2544" s="4"/>
      <c r="H2544" s="14"/>
      <c r="I2544" s="4"/>
      <c r="J2544" s="6"/>
      <c r="K2544" s="7"/>
      <c r="L2544" s="8"/>
      <c r="O2544" s="10"/>
    </row>
    <row r="2545" ht="14.25" customHeight="1">
      <c r="A2545" s="1"/>
      <c r="B2545" s="2"/>
      <c r="C2545" s="2"/>
      <c r="D2545" s="2"/>
      <c r="E2545" s="3"/>
      <c r="F2545" s="4"/>
      <c r="G2545" s="4"/>
      <c r="H2545" s="14"/>
      <c r="I2545" s="4"/>
      <c r="J2545" s="6"/>
      <c r="K2545" s="7"/>
      <c r="L2545" s="8"/>
      <c r="O2545" s="10"/>
    </row>
    <row r="2546" ht="14.25" customHeight="1">
      <c r="A2546" s="1"/>
      <c r="B2546" s="2"/>
      <c r="C2546" s="2"/>
      <c r="D2546" s="2"/>
      <c r="E2546" s="3"/>
      <c r="F2546" s="4"/>
      <c r="G2546" s="4"/>
      <c r="H2546" s="4"/>
      <c r="I2546" s="4"/>
      <c r="J2546" s="6"/>
      <c r="K2546" s="7"/>
      <c r="L2546" s="8"/>
      <c r="O2546" s="10"/>
    </row>
    <row r="2547" ht="14.25" customHeight="1">
      <c r="A2547" s="1"/>
      <c r="B2547" s="2"/>
      <c r="C2547" s="2"/>
      <c r="D2547" s="2"/>
      <c r="E2547" s="3"/>
      <c r="F2547" s="4"/>
      <c r="G2547" s="4"/>
      <c r="H2547" s="14"/>
      <c r="I2547" s="4"/>
      <c r="J2547" s="6"/>
      <c r="K2547" s="7"/>
      <c r="L2547" s="8"/>
      <c r="O2547" s="10"/>
    </row>
    <row r="2548" ht="14.25" customHeight="1">
      <c r="A2548" s="1"/>
      <c r="B2548" s="2"/>
      <c r="C2548" s="2"/>
      <c r="D2548" s="2"/>
      <c r="E2548" s="3"/>
      <c r="F2548" s="4"/>
      <c r="G2548" s="4"/>
      <c r="H2548" s="14"/>
      <c r="I2548" s="4"/>
      <c r="J2548" s="6"/>
      <c r="K2548" s="7"/>
      <c r="L2548" s="8"/>
      <c r="O2548" s="10"/>
    </row>
    <row r="2549" ht="14.25" customHeight="1">
      <c r="A2549" s="1"/>
      <c r="B2549" s="2"/>
      <c r="C2549" s="2"/>
      <c r="D2549" s="2"/>
      <c r="E2549" s="3"/>
      <c r="F2549" s="4"/>
      <c r="G2549" s="4"/>
      <c r="H2549" s="14"/>
      <c r="I2549" s="4"/>
      <c r="J2549" s="6"/>
      <c r="K2549" s="7"/>
      <c r="L2549" s="8"/>
      <c r="O2549" s="10"/>
    </row>
    <row r="2550" ht="14.25" customHeight="1">
      <c r="A2550" s="1"/>
      <c r="B2550" s="2"/>
      <c r="C2550" s="2"/>
      <c r="D2550" s="2"/>
      <c r="E2550" s="3"/>
      <c r="F2550" s="4"/>
      <c r="G2550" s="4"/>
      <c r="H2550" s="14"/>
      <c r="I2550" s="4"/>
      <c r="J2550" s="6"/>
      <c r="K2550" s="7"/>
      <c r="L2550" s="8"/>
      <c r="O2550" s="10"/>
    </row>
    <row r="2551" ht="14.25" customHeight="1">
      <c r="A2551" s="1"/>
      <c r="B2551" s="2"/>
      <c r="C2551" s="2"/>
      <c r="D2551" s="2"/>
      <c r="E2551" s="3"/>
      <c r="F2551" s="4"/>
      <c r="G2551" s="4"/>
      <c r="H2551" s="14"/>
      <c r="I2551" s="4"/>
      <c r="J2551" s="6"/>
      <c r="K2551" s="7"/>
      <c r="L2551" s="8"/>
      <c r="O2551" s="10"/>
    </row>
    <row r="2552" ht="14.25" customHeight="1">
      <c r="A2552" s="1"/>
      <c r="B2552" s="2"/>
      <c r="C2552" s="2"/>
      <c r="D2552" s="2"/>
      <c r="E2552" s="3"/>
      <c r="F2552" s="4"/>
      <c r="G2552" s="4"/>
      <c r="H2552" s="14"/>
      <c r="I2552" s="4"/>
      <c r="J2552" s="6"/>
      <c r="K2552" s="7"/>
      <c r="L2552" s="8"/>
      <c r="O2552" s="10"/>
    </row>
    <row r="2553" ht="14.25" customHeight="1">
      <c r="A2553" s="1"/>
      <c r="B2553" s="2"/>
      <c r="C2553" s="2"/>
      <c r="D2553" s="2"/>
      <c r="E2553" s="3"/>
      <c r="F2553" s="4"/>
      <c r="G2553" s="4"/>
      <c r="H2553" s="14"/>
      <c r="I2553" s="4"/>
      <c r="J2553" s="6"/>
      <c r="K2553" s="7"/>
      <c r="L2553" s="8"/>
      <c r="O2553" s="10"/>
    </row>
    <row r="2554" ht="14.25" customHeight="1">
      <c r="A2554" s="1"/>
      <c r="B2554" s="2"/>
      <c r="C2554" s="2"/>
      <c r="D2554" s="2"/>
      <c r="E2554" s="3"/>
      <c r="F2554" s="4"/>
      <c r="G2554" s="4"/>
      <c r="H2554" s="14"/>
      <c r="I2554" s="4"/>
      <c r="J2554" s="6"/>
      <c r="K2554" s="7"/>
      <c r="L2554" s="8"/>
      <c r="O2554" s="10"/>
    </row>
    <row r="2555" ht="14.25" customHeight="1">
      <c r="A2555" s="1"/>
      <c r="B2555" s="2"/>
      <c r="C2555" s="2"/>
      <c r="D2555" s="2"/>
      <c r="E2555" s="3"/>
      <c r="F2555" s="4"/>
      <c r="G2555" s="4"/>
      <c r="H2555" s="14"/>
      <c r="I2555" s="4"/>
      <c r="J2555" s="6"/>
      <c r="K2555" s="7"/>
      <c r="L2555" s="8"/>
      <c r="O2555" s="10"/>
    </row>
    <row r="2556" ht="14.25" customHeight="1">
      <c r="A2556" s="1"/>
      <c r="B2556" s="2"/>
      <c r="C2556" s="2"/>
      <c r="D2556" s="2"/>
      <c r="E2556" s="3"/>
      <c r="F2556" s="4"/>
      <c r="G2556" s="4"/>
      <c r="H2556" s="14"/>
      <c r="I2556" s="4"/>
      <c r="J2556" s="6"/>
      <c r="K2556" s="7"/>
      <c r="L2556" s="8"/>
      <c r="O2556" s="10"/>
    </row>
    <row r="2557" ht="14.25" customHeight="1">
      <c r="A2557" s="1"/>
      <c r="B2557" s="2"/>
      <c r="C2557" s="2"/>
      <c r="D2557" s="2"/>
      <c r="E2557" s="3"/>
      <c r="F2557" s="4"/>
      <c r="G2557" s="4"/>
      <c r="H2557" s="14"/>
      <c r="I2557" s="4"/>
      <c r="J2557" s="6"/>
      <c r="K2557" s="7"/>
      <c r="L2557" s="8"/>
      <c r="O2557" s="10"/>
    </row>
    <row r="2558" ht="14.25" customHeight="1">
      <c r="A2558" s="1"/>
      <c r="B2558" s="2"/>
      <c r="C2558" s="2"/>
      <c r="D2558" s="2"/>
      <c r="E2558" s="3"/>
      <c r="F2558" s="4"/>
      <c r="G2558" s="4"/>
      <c r="H2558" s="4"/>
      <c r="I2558" s="4"/>
      <c r="J2558" s="6"/>
      <c r="K2558" s="7"/>
      <c r="L2558" s="8"/>
      <c r="O2558" s="10"/>
    </row>
    <row r="2559" ht="14.25" customHeight="1">
      <c r="A2559" s="1"/>
      <c r="B2559" s="2"/>
      <c r="C2559" s="2"/>
      <c r="D2559" s="2"/>
      <c r="E2559" s="3"/>
      <c r="F2559" s="4"/>
      <c r="G2559" s="4"/>
      <c r="H2559" s="4"/>
      <c r="I2559" s="4"/>
      <c r="J2559" s="6"/>
      <c r="K2559" s="7"/>
      <c r="L2559" s="8"/>
      <c r="O2559" s="10"/>
    </row>
    <row r="2560" ht="14.25" customHeight="1">
      <c r="A2560" s="1"/>
      <c r="B2560" s="2"/>
      <c r="C2560" s="2"/>
      <c r="D2560" s="2"/>
      <c r="E2560" s="3"/>
      <c r="F2560" s="4"/>
      <c r="G2560" s="4"/>
      <c r="H2560" s="14"/>
      <c r="I2560" s="4"/>
      <c r="J2560" s="6"/>
      <c r="K2560" s="7"/>
      <c r="L2560" s="8"/>
      <c r="O2560" s="10"/>
    </row>
    <row r="2561" ht="14.25" customHeight="1">
      <c r="A2561" s="1"/>
      <c r="B2561" s="2"/>
      <c r="C2561" s="2"/>
      <c r="D2561" s="2"/>
      <c r="E2561" s="3"/>
      <c r="F2561" s="4"/>
      <c r="G2561" s="4"/>
      <c r="H2561" s="14"/>
      <c r="I2561" s="4"/>
      <c r="J2561" s="6"/>
      <c r="K2561" s="7"/>
      <c r="L2561" s="8"/>
      <c r="O2561" s="10"/>
    </row>
    <row r="2562" ht="14.25" customHeight="1">
      <c r="A2562" s="1"/>
      <c r="B2562" s="2"/>
      <c r="C2562" s="2"/>
      <c r="D2562" s="2"/>
      <c r="E2562" s="3"/>
      <c r="F2562" s="4"/>
      <c r="G2562" s="4"/>
      <c r="H2562" s="14"/>
      <c r="I2562" s="4"/>
      <c r="J2562" s="6"/>
      <c r="K2562" s="7"/>
      <c r="L2562" s="8"/>
      <c r="O2562" s="10"/>
    </row>
    <row r="2563" ht="14.25" customHeight="1">
      <c r="A2563" s="1"/>
      <c r="B2563" s="2"/>
      <c r="C2563" s="2"/>
      <c r="D2563" s="2"/>
      <c r="E2563" s="3"/>
      <c r="F2563" s="4"/>
      <c r="G2563" s="4"/>
      <c r="H2563" s="14"/>
      <c r="I2563" s="4"/>
      <c r="J2563" s="6"/>
      <c r="K2563" s="7"/>
      <c r="L2563" s="8"/>
      <c r="O2563" s="10"/>
    </row>
    <row r="2564" ht="14.25" customHeight="1">
      <c r="A2564" s="1"/>
      <c r="B2564" s="2"/>
      <c r="C2564" s="2"/>
      <c r="D2564" s="2"/>
      <c r="E2564" s="3"/>
      <c r="F2564" s="4"/>
      <c r="G2564" s="4"/>
      <c r="H2564" s="14"/>
      <c r="I2564" s="4"/>
      <c r="J2564" s="6"/>
      <c r="K2564" s="7"/>
      <c r="L2564" s="8"/>
      <c r="O2564" s="10"/>
    </row>
    <row r="2565" ht="14.25" customHeight="1">
      <c r="A2565" s="1"/>
      <c r="B2565" s="2"/>
      <c r="C2565" s="2"/>
      <c r="D2565" s="2"/>
      <c r="E2565" s="3"/>
      <c r="F2565" s="4"/>
      <c r="G2565" s="4"/>
      <c r="H2565" s="4"/>
      <c r="I2565" s="4"/>
      <c r="J2565" s="6"/>
      <c r="K2565" s="7"/>
      <c r="L2565" s="8"/>
      <c r="O2565" s="10"/>
    </row>
    <row r="2566" ht="14.25" customHeight="1">
      <c r="A2566" s="1"/>
      <c r="B2566" s="2"/>
      <c r="C2566" s="2"/>
      <c r="D2566" s="2"/>
      <c r="E2566" s="3"/>
      <c r="F2566" s="4"/>
      <c r="G2566" s="4"/>
      <c r="H2566" s="4"/>
      <c r="I2566" s="4"/>
      <c r="J2566" s="6"/>
      <c r="K2566" s="7"/>
      <c r="L2566" s="8"/>
      <c r="O2566" s="10"/>
    </row>
    <row r="2567" ht="14.25" customHeight="1">
      <c r="A2567" s="1"/>
      <c r="B2567" s="2"/>
      <c r="C2567" s="2"/>
      <c r="D2567" s="2"/>
      <c r="E2567" s="3"/>
      <c r="F2567" s="4"/>
      <c r="G2567" s="4"/>
      <c r="H2567" s="14"/>
      <c r="I2567" s="4"/>
      <c r="J2567" s="6"/>
      <c r="K2567" s="7"/>
      <c r="L2567" s="8"/>
      <c r="O2567" s="10"/>
    </row>
    <row r="2568" ht="14.25" customHeight="1">
      <c r="A2568" s="1"/>
      <c r="B2568" s="2"/>
      <c r="C2568" s="2"/>
      <c r="D2568" s="2"/>
      <c r="E2568" s="3"/>
      <c r="F2568" s="4"/>
      <c r="G2568" s="4"/>
      <c r="H2568" s="14"/>
      <c r="I2568" s="4"/>
      <c r="J2568" s="6"/>
      <c r="K2568" s="7"/>
      <c r="L2568" s="8"/>
      <c r="O2568" s="10"/>
    </row>
    <row r="2569" ht="14.25" customHeight="1">
      <c r="A2569" s="1"/>
      <c r="B2569" s="2"/>
      <c r="C2569" s="2"/>
      <c r="D2569" s="2"/>
      <c r="E2569" s="3"/>
      <c r="F2569" s="4"/>
      <c r="G2569" s="4"/>
      <c r="H2569" s="14"/>
      <c r="I2569" s="4"/>
      <c r="J2569" s="6"/>
      <c r="K2569" s="7"/>
      <c r="L2569" s="8"/>
      <c r="O2569" s="10"/>
    </row>
    <row r="2570" ht="14.25" customHeight="1">
      <c r="A2570" s="1"/>
      <c r="B2570" s="2"/>
      <c r="C2570" s="2"/>
      <c r="D2570" s="2"/>
      <c r="E2570" s="3"/>
      <c r="F2570" s="4"/>
      <c r="G2570" s="4"/>
      <c r="H2570" s="14"/>
      <c r="I2570" s="4"/>
      <c r="J2570" s="6"/>
      <c r="K2570" s="7"/>
      <c r="L2570" s="8"/>
      <c r="O2570" s="10"/>
    </row>
    <row r="2571" ht="14.25" customHeight="1">
      <c r="A2571" s="1"/>
      <c r="B2571" s="2"/>
      <c r="C2571" s="2"/>
      <c r="D2571" s="2"/>
      <c r="E2571" s="3"/>
      <c r="F2571" s="4"/>
      <c r="G2571" s="4"/>
      <c r="H2571" s="14"/>
      <c r="I2571" s="4"/>
      <c r="J2571" s="6"/>
      <c r="K2571" s="7"/>
      <c r="L2571" s="8"/>
      <c r="O2571" s="10"/>
    </row>
    <row r="2572" ht="14.25" customHeight="1">
      <c r="A2572" s="1"/>
      <c r="B2572" s="2"/>
      <c r="C2572" s="2"/>
      <c r="D2572" s="2"/>
      <c r="E2572" s="3"/>
      <c r="F2572" s="4"/>
      <c r="G2572" s="4"/>
      <c r="H2572" s="4"/>
      <c r="I2572" s="4"/>
      <c r="J2572" s="6"/>
      <c r="K2572" s="7"/>
      <c r="L2572" s="8"/>
      <c r="O2572" s="10"/>
    </row>
    <row r="2573" ht="14.25" customHeight="1">
      <c r="A2573" s="1"/>
      <c r="B2573" s="2"/>
      <c r="C2573" s="2"/>
      <c r="D2573" s="2"/>
      <c r="E2573" s="3"/>
      <c r="F2573" s="4"/>
      <c r="G2573" s="4"/>
      <c r="H2573" s="14"/>
      <c r="I2573" s="4"/>
      <c r="J2573" s="6"/>
      <c r="K2573" s="7"/>
      <c r="L2573" s="8"/>
      <c r="O2573" s="10"/>
    </row>
    <row r="2574" ht="14.25" customHeight="1">
      <c r="A2574" s="1"/>
      <c r="B2574" s="2"/>
      <c r="C2574" s="2"/>
      <c r="D2574" s="2"/>
      <c r="E2574" s="3"/>
      <c r="F2574" s="4"/>
      <c r="G2574" s="4"/>
      <c r="H2574" s="4"/>
      <c r="I2574" s="4"/>
      <c r="J2574" s="6"/>
      <c r="K2574" s="7"/>
      <c r="L2574" s="8"/>
      <c r="O2574" s="10"/>
    </row>
    <row r="2575" ht="14.25" customHeight="1">
      <c r="A2575" s="1"/>
      <c r="B2575" s="2"/>
      <c r="C2575" s="2"/>
      <c r="D2575" s="2"/>
      <c r="E2575" s="3"/>
      <c r="F2575" s="4"/>
      <c r="G2575" s="4"/>
      <c r="H2575" s="14"/>
      <c r="I2575" s="4"/>
      <c r="J2575" s="6"/>
      <c r="K2575" s="7"/>
      <c r="L2575" s="8"/>
      <c r="O2575" s="10"/>
    </row>
    <row r="2576" ht="14.25" customHeight="1">
      <c r="A2576" s="1"/>
      <c r="B2576" s="2"/>
      <c r="C2576" s="2"/>
      <c r="D2576" s="2"/>
      <c r="E2576" s="3"/>
      <c r="F2576" s="4"/>
      <c r="G2576" s="4"/>
      <c r="H2576" s="14"/>
      <c r="I2576" s="4"/>
      <c r="J2576" s="6"/>
      <c r="K2576" s="7"/>
      <c r="L2576" s="8"/>
      <c r="O2576" s="10"/>
    </row>
    <row r="2577" ht="14.25" customHeight="1">
      <c r="A2577" s="1"/>
      <c r="B2577" s="2"/>
      <c r="C2577" s="2"/>
      <c r="D2577" s="2"/>
      <c r="E2577" s="3"/>
      <c r="F2577" s="4"/>
      <c r="G2577" s="4"/>
      <c r="H2577" s="14"/>
      <c r="I2577" s="4"/>
      <c r="J2577" s="6"/>
      <c r="K2577" s="7"/>
      <c r="L2577" s="8"/>
      <c r="O2577" s="10"/>
    </row>
    <row r="2578" ht="14.25" customHeight="1">
      <c r="A2578" s="1"/>
      <c r="B2578" s="2"/>
      <c r="C2578" s="2"/>
      <c r="D2578" s="2"/>
      <c r="E2578" s="3"/>
      <c r="F2578" s="4"/>
      <c r="G2578" s="4"/>
      <c r="H2578" s="14"/>
      <c r="I2578" s="4"/>
      <c r="J2578" s="6"/>
      <c r="K2578" s="7"/>
      <c r="L2578" s="8"/>
      <c r="O2578" s="10"/>
    </row>
    <row r="2579" ht="14.25" customHeight="1">
      <c r="A2579" s="1"/>
      <c r="B2579" s="2"/>
      <c r="C2579" s="2"/>
      <c r="D2579" s="2"/>
      <c r="E2579" s="3"/>
      <c r="F2579" s="4"/>
      <c r="G2579" s="4"/>
      <c r="H2579" s="14"/>
      <c r="I2579" s="4"/>
      <c r="J2579" s="6"/>
      <c r="K2579" s="7"/>
      <c r="L2579" s="8"/>
      <c r="O2579" s="10"/>
    </row>
    <row r="2580" ht="14.25" customHeight="1">
      <c r="A2580" s="1"/>
      <c r="B2580" s="2"/>
      <c r="C2580" s="2"/>
      <c r="D2580" s="2"/>
      <c r="E2580" s="3"/>
      <c r="F2580" s="4"/>
      <c r="G2580" s="4"/>
      <c r="H2580" s="4"/>
      <c r="I2580" s="4"/>
      <c r="J2580" s="6"/>
      <c r="K2580" s="7"/>
      <c r="L2580" s="8"/>
      <c r="O2580" s="10"/>
    </row>
    <row r="2581" ht="14.25" customHeight="1">
      <c r="A2581" s="1"/>
      <c r="B2581" s="2"/>
      <c r="C2581" s="2"/>
      <c r="D2581" s="2"/>
      <c r="E2581" s="3"/>
      <c r="F2581" s="4"/>
      <c r="G2581" s="4"/>
      <c r="H2581" s="14"/>
      <c r="I2581" s="4"/>
      <c r="J2581" s="6"/>
      <c r="K2581" s="7"/>
      <c r="L2581" s="8"/>
      <c r="O2581" s="10"/>
    </row>
    <row r="2582" ht="14.25" customHeight="1">
      <c r="A2582" s="1"/>
      <c r="B2582" s="2"/>
      <c r="C2582" s="2"/>
      <c r="D2582" s="2"/>
      <c r="E2582" s="3"/>
      <c r="F2582" s="4"/>
      <c r="G2582" s="4"/>
      <c r="H2582" s="14"/>
      <c r="I2582" s="4"/>
      <c r="J2582" s="6"/>
      <c r="K2582" s="7"/>
      <c r="L2582" s="8"/>
      <c r="O2582" s="10"/>
    </row>
    <row r="2583" ht="14.25" customHeight="1">
      <c r="A2583" s="1"/>
      <c r="B2583" s="2"/>
      <c r="C2583" s="2"/>
      <c r="D2583" s="2"/>
      <c r="E2583" s="3"/>
      <c r="F2583" s="4"/>
      <c r="G2583" s="4"/>
      <c r="H2583" s="14"/>
      <c r="I2583" s="4"/>
      <c r="J2583" s="6"/>
      <c r="K2583" s="7"/>
      <c r="L2583" s="8"/>
      <c r="O2583" s="10"/>
    </row>
    <row r="2584" ht="14.25" customHeight="1">
      <c r="A2584" s="1"/>
      <c r="B2584" s="2"/>
      <c r="C2584" s="2"/>
      <c r="D2584" s="2"/>
      <c r="E2584" s="3"/>
      <c r="F2584" s="4"/>
      <c r="G2584" s="4"/>
      <c r="H2584" s="14"/>
      <c r="I2584" s="4"/>
      <c r="J2584" s="6"/>
      <c r="K2584" s="7"/>
      <c r="L2584" s="8"/>
      <c r="O2584" s="10"/>
    </row>
    <row r="2585" ht="14.25" customHeight="1">
      <c r="A2585" s="1"/>
      <c r="B2585" s="2"/>
      <c r="C2585" s="2"/>
      <c r="D2585" s="2"/>
      <c r="E2585" s="3"/>
      <c r="F2585" s="4"/>
      <c r="G2585" s="4"/>
      <c r="H2585" s="14"/>
      <c r="I2585" s="4"/>
      <c r="J2585" s="6"/>
      <c r="K2585" s="7"/>
      <c r="L2585" s="8"/>
      <c r="O2585" s="10"/>
    </row>
    <row r="2586" ht="14.25" customHeight="1">
      <c r="A2586" s="1"/>
      <c r="B2586" s="2"/>
      <c r="C2586" s="2"/>
      <c r="D2586" s="2"/>
      <c r="E2586" s="3"/>
      <c r="F2586" s="4"/>
      <c r="G2586" s="4"/>
      <c r="H2586" s="14"/>
      <c r="I2586" s="4"/>
      <c r="J2586" s="6"/>
      <c r="K2586" s="7"/>
      <c r="L2586" s="8"/>
      <c r="O2586" s="10"/>
    </row>
    <row r="2587" ht="14.25" customHeight="1">
      <c r="A2587" s="1"/>
      <c r="B2587" s="2"/>
      <c r="C2587" s="2"/>
      <c r="D2587" s="2"/>
      <c r="E2587" s="3"/>
      <c r="F2587" s="4"/>
      <c r="G2587" s="4"/>
      <c r="H2587" s="4"/>
      <c r="I2587" s="4"/>
      <c r="J2587" s="6"/>
      <c r="K2587" s="7"/>
      <c r="L2587" s="8"/>
      <c r="O2587" s="10"/>
    </row>
    <row r="2588" ht="14.25" customHeight="1">
      <c r="A2588" s="1"/>
      <c r="B2588" s="2"/>
      <c r="C2588" s="2"/>
      <c r="D2588" s="2"/>
      <c r="E2588" s="3"/>
      <c r="F2588" s="4"/>
      <c r="G2588" s="4"/>
      <c r="H2588" s="14"/>
      <c r="I2588" s="4"/>
      <c r="J2588" s="6"/>
      <c r="K2588" s="7"/>
      <c r="L2588" s="8"/>
      <c r="O2588" s="10"/>
    </row>
    <row r="2589" ht="14.25" customHeight="1">
      <c r="A2589" s="1"/>
      <c r="B2589" s="2"/>
      <c r="C2589" s="2"/>
      <c r="D2589" s="2"/>
      <c r="E2589" s="3"/>
      <c r="F2589" s="4"/>
      <c r="G2589" s="4"/>
      <c r="H2589" s="14"/>
      <c r="I2589" s="4"/>
      <c r="J2589" s="6"/>
      <c r="K2589" s="7"/>
      <c r="L2589" s="8"/>
      <c r="O2589" s="10"/>
    </row>
    <row r="2590" ht="14.25" customHeight="1">
      <c r="A2590" s="1"/>
      <c r="B2590" s="2"/>
      <c r="C2590" s="2"/>
      <c r="D2590" s="2"/>
      <c r="E2590" s="3"/>
      <c r="F2590" s="4"/>
      <c r="G2590" s="4"/>
      <c r="H2590" s="4"/>
      <c r="I2590" s="4"/>
      <c r="J2590" s="6"/>
      <c r="K2590" s="7"/>
      <c r="L2590" s="8"/>
      <c r="O2590" s="10"/>
    </row>
    <row r="2591" ht="14.25" customHeight="1">
      <c r="A2591" s="1"/>
      <c r="B2591" s="2"/>
      <c r="C2591" s="2"/>
      <c r="D2591" s="2"/>
      <c r="E2591" s="3"/>
      <c r="F2591" s="4"/>
      <c r="G2591" s="4"/>
      <c r="H2591" s="14"/>
      <c r="I2591" s="4"/>
      <c r="J2591" s="6"/>
      <c r="K2591" s="7"/>
      <c r="L2591" s="8"/>
      <c r="O2591" s="10"/>
    </row>
    <row r="2592" ht="14.25" customHeight="1">
      <c r="A2592" s="1"/>
      <c r="B2592" s="2"/>
      <c r="C2592" s="2"/>
      <c r="D2592" s="2"/>
      <c r="E2592" s="3"/>
      <c r="F2592" s="4"/>
      <c r="G2592" s="4"/>
      <c r="H2592" s="4"/>
      <c r="I2592" s="4"/>
      <c r="J2592" s="6"/>
      <c r="K2592" s="7"/>
      <c r="L2592" s="8"/>
      <c r="O2592" s="10"/>
    </row>
    <row r="2593" ht="14.25" customHeight="1">
      <c r="A2593" s="1"/>
      <c r="B2593" s="2"/>
      <c r="C2593" s="2"/>
      <c r="D2593" s="2"/>
      <c r="E2593" s="3"/>
      <c r="F2593" s="4"/>
      <c r="G2593" s="4"/>
      <c r="H2593" s="14"/>
      <c r="I2593" s="4"/>
      <c r="J2593" s="6"/>
      <c r="K2593" s="7"/>
      <c r="L2593" s="8"/>
      <c r="O2593" s="10"/>
    </row>
    <row r="2594" ht="14.25" customHeight="1">
      <c r="A2594" s="1"/>
      <c r="B2594" s="2"/>
      <c r="C2594" s="2"/>
      <c r="D2594" s="2"/>
      <c r="E2594" s="3"/>
      <c r="F2594" s="4"/>
      <c r="G2594" s="4"/>
      <c r="H2594" s="14"/>
      <c r="I2594" s="4"/>
      <c r="J2594" s="6"/>
      <c r="K2594" s="7"/>
      <c r="L2594" s="8"/>
      <c r="O2594" s="10"/>
    </row>
    <row r="2595" ht="14.25" customHeight="1">
      <c r="A2595" s="1"/>
      <c r="B2595" s="2"/>
      <c r="C2595" s="2"/>
      <c r="D2595" s="2"/>
      <c r="E2595" s="3"/>
      <c r="F2595" s="4"/>
      <c r="G2595" s="4"/>
      <c r="H2595" s="14"/>
      <c r="I2595" s="4"/>
      <c r="J2595" s="6"/>
      <c r="K2595" s="7"/>
      <c r="L2595" s="8"/>
      <c r="O2595" s="10"/>
    </row>
    <row r="2596" ht="14.25" customHeight="1">
      <c r="A2596" s="1"/>
      <c r="B2596" s="2"/>
      <c r="C2596" s="2"/>
      <c r="D2596" s="2"/>
      <c r="E2596" s="3"/>
      <c r="F2596" s="4"/>
      <c r="G2596" s="4"/>
      <c r="H2596" s="14"/>
      <c r="I2596" s="4"/>
      <c r="J2596" s="6"/>
      <c r="K2596" s="7"/>
      <c r="L2596" s="8"/>
      <c r="O2596" s="10"/>
    </row>
    <row r="2597" ht="14.25" customHeight="1">
      <c r="A2597" s="1"/>
      <c r="B2597" s="2"/>
      <c r="C2597" s="2"/>
      <c r="D2597" s="2"/>
      <c r="E2597" s="3"/>
      <c r="F2597" s="4"/>
      <c r="G2597" s="4"/>
      <c r="H2597" s="4"/>
      <c r="I2597" s="4"/>
      <c r="J2597" s="6"/>
      <c r="K2597" s="7"/>
      <c r="L2597" s="8"/>
      <c r="O2597" s="10"/>
    </row>
    <row r="2598" ht="14.25" customHeight="1">
      <c r="A2598" s="1"/>
      <c r="B2598" s="2"/>
      <c r="C2598" s="2"/>
      <c r="D2598" s="2"/>
      <c r="E2598" s="3"/>
      <c r="F2598" s="4"/>
      <c r="G2598" s="4"/>
      <c r="H2598" s="4"/>
      <c r="I2598" s="4"/>
      <c r="J2598" s="6"/>
      <c r="K2598" s="7"/>
      <c r="L2598" s="8"/>
      <c r="O2598" s="10"/>
    </row>
    <row r="2599" ht="14.25" customHeight="1">
      <c r="A2599" s="1"/>
      <c r="B2599" s="2"/>
      <c r="C2599" s="2"/>
      <c r="D2599" s="2"/>
      <c r="E2599" s="3"/>
      <c r="F2599" s="4"/>
      <c r="G2599" s="4"/>
      <c r="H2599" s="14"/>
      <c r="I2599" s="4"/>
      <c r="J2599" s="6"/>
      <c r="K2599" s="7"/>
      <c r="L2599" s="8"/>
      <c r="O2599" s="10"/>
    </row>
    <row r="2600" ht="14.25" customHeight="1">
      <c r="A2600" s="1"/>
      <c r="B2600" s="2"/>
      <c r="C2600" s="2"/>
      <c r="D2600" s="2"/>
      <c r="E2600" s="3"/>
      <c r="F2600" s="4"/>
      <c r="G2600" s="4"/>
      <c r="H2600" s="14"/>
      <c r="I2600" s="4"/>
      <c r="J2600" s="6"/>
      <c r="K2600" s="7"/>
      <c r="L2600" s="8"/>
      <c r="O2600" s="10"/>
    </row>
    <row r="2601" ht="14.25" customHeight="1">
      <c r="A2601" s="1"/>
      <c r="B2601" s="2"/>
      <c r="C2601" s="2"/>
      <c r="D2601" s="2"/>
      <c r="E2601" s="3"/>
      <c r="F2601" s="4"/>
      <c r="G2601" s="4"/>
      <c r="H2601" s="14"/>
      <c r="I2601" s="4"/>
      <c r="J2601" s="6"/>
      <c r="K2601" s="7"/>
      <c r="L2601" s="8"/>
      <c r="O2601" s="10"/>
    </row>
    <row r="2602" ht="14.25" customHeight="1">
      <c r="A2602" s="1"/>
      <c r="B2602" s="2"/>
      <c r="C2602" s="2"/>
      <c r="D2602" s="2"/>
      <c r="E2602" s="3"/>
      <c r="F2602" s="4"/>
      <c r="G2602" s="4"/>
      <c r="H2602" s="14"/>
      <c r="I2602" s="4"/>
      <c r="J2602" s="6"/>
      <c r="K2602" s="7"/>
      <c r="L2602" s="8"/>
      <c r="O2602" s="10"/>
    </row>
    <row r="2603" ht="14.25" customHeight="1">
      <c r="A2603" s="1"/>
      <c r="B2603" s="2"/>
      <c r="C2603" s="2"/>
      <c r="D2603" s="2"/>
      <c r="E2603" s="3"/>
      <c r="F2603" s="4"/>
      <c r="G2603" s="4"/>
      <c r="H2603" s="14"/>
      <c r="I2603" s="4"/>
      <c r="J2603" s="6"/>
      <c r="K2603" s="7"/>
      <c r="L2603" s="8"/>
      <c r="O2603" s="10"/>
    </row>
    <row r="2604" ht="14.25" customHeight="1">
      <c r="A2604" s="1"/>
      <c r="B2604" s="2"/>
      <c r="C2604" s="2"/>
      <c r="D2604" s="2"/>
      <c r="E2604" s="3"/>
      <c r="F2604" s="4"/>
      <c r="G2604" s="4"/>
      <c r="H2604" s="14"/>
      <c r="I2604" s="4"/>
      <c r="J2604" s="6"/>
      <c r="K2604" s="7"/>
      <c r="L2604" s="8"/>
      <c r="O2604" s="10"/>
    </row>
    <row r="2605" ht="14.25" customHeight="1">
      <c r="A2605" s="1"/>
      <c r="B2605" s="2"/>
      <c r="C2605" s="2"/>
      <c r="D2605" s="2"/>
      <c r="E2605" s="3"/>
      <c r="F2605" s="4"/>
      <c r="G2605" s="4"/>
      <c r="H2605" s="14"/>
      <c r="I2605" s="4"/>
      <c r="J2605" s="6"/>
      <c r="K2605" s="7"/>
      <c r="L2605" s="8"/>
      <c r="O2605" s="10"/>
    </row>
    <row r="2606" ht="14.25" customHeight="1">
      <c r="A2606" s="1"/>
      <c r="B2606" s="2"/>
      <c r="C2606" s="2"/>
      <c r="D2606" s="2"/>
      <c r="E2606" s="3"/>
      <c r="F2606" s="4"/>
      <c r="G2606" s="4"/>
      <c r="H2606" s="14"/>
      <c r="I2606" s="4"/>
      <c r="J2606" s="6"/>
      <c r="K2606" s="7"/>
      <c r="L2606" s="8"/>
      <c r="O2606" s="10"/>
    </row>
    <row r="2607" ht="14.25" customHeight="1">
      <c r="A2607" s="1"/>
      <c r="B2607" s="2"/>
      <c r="C2607" s="2"/>
      <c r="D2607" s="2"/>
      <c r="E2607" s="3"/>
      <c r="F2607" s="4"/>
      <c r="G2607" s="4"/>
      <c r="H2607" s="4"/>
      <c r="I2607" s="4"/>
      <c r="J2607" s="6"/>
      <c r="K2607" s="7"/>
      <c r="L2607" s="8"/>
      <c r="O2607" s="10"/>
    </row>
    <row r="2608" ht="14.25" customHeight="1">
      <c r="A2608" s="1"/>
      <c r="B2608" s="2"/>
      <c r="C2608" s="2"/>
      <c r="D2608" s="2"/>
      <c r="E2608" s="3"/>
      <c r="F2608" s="4"/>
      <c r="G2608" s="4"/>
      <c r="H2608" s="4"/>
      <c r="I2608" s="4"/>
      <c r="J2608" s="6"/>
      <c r="K2608" s="7"/>
      <c r="L2608" s="8"/>
      <c r="O2608" s="10"/>
    </row>
    <row r="2609" ht="14.25" customHeight="1">
      <c r="A2609" s="1"/>
      <c r="B2609" s="2"/>
      <c r="C2609" s="2"/>
      <c r="D2609" s="2"/>
      <c r="E2609" s="3"/>
      <c r="F2609" s="4"/>
      <c r="G2609" s="4"/>
      <c r="H2609" s="14"/>
      <c r="I2609" s="4"/>
      <c r="J2609" s="6"/>
      <c r="K2609" s="7"/>
      <c r="L2609" s="8"/>
      <c r="O2609" s="10"/>
    </row>
    <row r="2610" ht="14.25" customHeight="1">
      <c r="A2610" s="1"/>
      <c r="B2610" s="2"/>
      <c r="C2610" s="2"/>
      <c r="D2610" s="2"/>
      <c r="E2610" s="3"/>
      <c r="F2610" s="4"/>
      <c r="G2610" s="4"/>
      <c r="H2610" s="14"/>
      <c r="I2610" s="4"/>
      <c r="J2610" s="6"/>
      <c r="K2610" s="7"/>
      <c r="L2610" s="8"/>
      <c r="O2610" s="10"/>
    </row>
    <row r="2611" ht="14.25" customHeight="1">
      <c r="A2611" s="1"/>
      <c r="B2611" s="2"/>
      <c r="C2611" s="2"/>
      <c r="D2611" s="2"/>
      <c r="E2611" s="3"/>
      <c r="F2611" s="4"/>
      <c r="G2611" s="4"/>
      <c r="H2611" s="14"/>
      <c r="I2611" s="4"/>
      <c r="J2611" s="6"/>
      <c r="K2611" s="7"/>
      <c r="L2611" s="8"/>
      <c r="O2611" s="10"/>
    </row>
    <row r="2612" ht="14.25" customHeight="1">
      <c r="A2612" s="1"/>
      <c r="B2612" s="2"/>
      <c r="C2612" s="2"/>
      <c r="D2612" s="2"/>
      <c r="E2612" s="3"/>
      <c r="F2612" s="4"/>
      <c r="G2612" s="4"/>
      <c r="H2612" s="4"/>
      <c r="I2612" s="4"/>
      <c r="J2612" s="6"/>
      <c r="K2612" s="7"/>
      <c r="L2612" s="8"/>
      <c r="O2612" s="10"/>
    </row>
    <row r="2613" ht="14.25" customHeight="1">
      <c r="A2613" s="1"/>
      <c r="B2613" s="2"/>
      <c r="C2613" s="2"/>
      <c r="D2613" s="2"/>
      <c r="E2613" s="3"/>
      <c r="F2613" s="4"/>
      <c r="G2613" s="4"/>
      <c r="H2613" s="4"/>
      <c r="I2613" s="4"/>
      <c r="J2613" s="6"/>
      <c r="K2613" s="7"/>
      <c r="L2613" s="8"/>
      <c r="O2613" s="10"/>
    </row>
    <row r="2614" ht="14.25" customHeight="1">
      <c r="A2614" s="1"/>
      <c r="B2614" s="2"/>
      <c r="C2614" s="2"/>
      <c r="D2614" s="2"/>
      <c r="E2614" s="3"/>
      <c r="F2614" s="4"/>
      <c r="G2614" s="4"/>
      <c r="H2614" s="14"/>
      <c r="I2614" s="4"/>
      <c r="J2614" s="6"/>
      <c r="K2614" s="7"/>
      <c r="L2614" s="8"/>
      <c r="O2614" s="10"/>
    </row>
    <row r="2615" ht="14.25" customHeight="1">
      <c r="A2615" s="1"/>
      <c r="B2615" s="2"/>
      <c r="C2615" s="2"/>
      <c r="D2615" s="2"/>
      <c r="E2615" s="3"/>
      <c r="F2615" s="4"/>
      <c r="G2615" s="4"/>
      <c r="H2615" s="14"/>
      <c r="I2615" s="4"/>
      <c r="J2615" s="6"/>
      <c r="K2615" s="7"/>
      <c r="L2615" s="8"/>
      <c r="O2615" s="10"/>
    </row>
    <row r="2616" ht="14.25" customHeight="1">
      <c r="A2616" s="1"/>
      <c r="B2616" s="2"/>
      <c r="C2616" s="2"/>
      <c r="D2616" s="2"/>
      <c r="E2616" s="3"/>
      <c r="F2616" s="4"/>
      <c r="G2616" s="4"/>
      <c r="H2616" s="4"/>
      <c r="I2616" s="4"/>
      <c r="J2616" s="6"/>
      <c r="K2616" s="7"/>
      <c r="L2616" s="8"/>
      <c r="O2616" s="10"/>
    </row>
    <row r="2617" ht="14.25" customHeight="1">
      <c r="A2617" s="1"/>
      <c r="B2617" s="2"/>
      <c r="C2617" s="2"/>
      <c r="D2617" s="2"/>
      <c r="E2617" s="3"/>
      <c r="F2617" s="4"/>
      <c r="G2617" s="4"/>
      <c r="H2617" s="14"/>
      <c r="I2617" s="4"/>
      <c r="J2617" s="6"/>
      <c r="K2617" s="7"/>
      <c r="L2617" s="8"/>
      <c r="O2617" s="10"/>
    </row>
    <row r="2618" ht="14.25" customHeight="1">
      <c r="A2618" s="1"/>
      <c r="B2618" s="2"/>
      <c r="C2618" s="2"/>
      <c r="D2618" s="2"/>
      <c r="E2618" s="3"/>
      <c r="F2618" s="4"/>
      <c r="G2618" s="4"/>
      <c r="H2618" s="14"/>
      <c r="I2618" s="4"/>
      <c r="J2618" s="6"/>
      <c r="K2618" s="7"/>
      <c r="L2618" s="8"/>
      <c r="O2618" s="10"/>
    </row>
    <row r="2619" ht="14.25" customHeight="1">
      <c r="A2619" s="1"/>
      <c r="B2619" s="2"/>
      <c r="C2619" s="2"/>
      <c r="D2619" s="2"/>
      <c r="E2619" s="3"/>
      <c r="F2619" s="4"/>
      <c r="G2619" s="4"/>
      <c r="H2619" s="14"/>
      <c r="I2619" s="4"/>
      <c r="J2619" s="6"/>
      <c r="K2619" s="7"/>
      <c r="L2619" s="8"/>
      <c r="O2619" s="10"/>
    </row>
    <row r="2620" ht="14.25" customHeight="1">
      <c r="A2620" s="1"/>
      <c r="B2620" s="2"/>
      <c r="C2620" s="2"/>
      <c r="D2620" s="2"/>
      <c r="E2620" s="3"/>
      <c r="F2620" s="4"/>
      <c r="G2620" s="4"/>
      <c r="H2620" s="14"/>
      <c r="I2620" s="4"/>
      <c r="J2620" s="6"/>
      <c r="K2620" s="7"/>
      <c r="L2620" s="8"/>
      <c r="O2620" s="10"/>
    </row>
    <row r="2621" ht="14.25" customHeight="1">
      <c r="A2621" s="1"/>
      <c r="B2621" s="2"/>
      <c r="C2621" s="2"/>
      <c r="D2621" s="2"/>
      <c r="E2621" s="3"/>
      <c r="F2621" s="4"/>
      <c r="G2621" s="4"/>
      <c r="H2621" s="4"/>
      <c r="I2621" s="4"/>
      <c r="J2621" s="6"/>
      <c r="K2621" s="7"/>
      <c r="L2621" s="8"/>
      <c r="O2621" s="10"/>
    </row>
    <row r="2622" ht="14.25" customHeight="1">
      <c r="A2622" s="1"/>
      <c r="B2622" s="2"/>
      <c r="C2622" s="2"/>
      <c r="D2622" s="2"/>
      <c r="E2622" s="3"/>
      <c r="F2622" s="4"/>
      <c r="G2622" s="4"/>
      <c r="H2622" s="14"/>
      <c r="I2622" s="4"/>
      <c r="J2622" s="6"/>
      <c r="K2622" s="7"/>
      <c r="L2622" s="8"/>
      <c r="O2622" s="10"/>
    </row>
    <row r="2623" ht="14.25" customHeight="1">
      <c r="A2623" s="1"/>
      <c r="B2623" s="2"/>
      <c r="C2623" s="2"/>
      <c r="D2623" s="2"/>
      <c r="E2623" s="3"/>
      <c r="F2623" s="4"/>
      <c r="G2623" s="4"/>
      <c r="H2623" s="14"/>
      <c r="I2623" s="4"/>
      <c r="J2623" s="6"/>
      <c r="K2623" s="7"/>
      <c r="L2623" s="8"/>
      <c r="O2623" s="10"/>
    </row>
    <row r="2624" ht="14.25" customHeight="1">
      <c r="A2624" s="1"/>
      <c r="B2624" s="2"/>
      <c r="C2624" s="2"/>
      <c r="D2624" s="2"/>
      <c r="E2624" s="3"/>
      <c r="F2624" s="4"/>
      <c r="G2624" s="4"/>
      <c r="H2624" s="14"/>
      <c r="I2624" s="4"/>
      <c r="J2624" s="6"/>
      <c r="K2624" s="7"/>
      <c r="L2624" s="8"/>
      <c r="O2624" s="10"/>
    </row>
    <row r="2625" ht="14.25" customHeight="1">
      <c r="A2625" s="1"/>
      <c r="B2625" s="2"/>
      <c r="C2625" s="2"/>
      <c r="D2625" s="2"/>
      <c r="E2625" s="3"/>
      <c r="F2625" s="4"/>
      <c r="G2625" s="4"/>
      <c r="H2625" s="14"/>
      <c r="I2625" s="4"/>
      <c r="J2625" s="6"/>
      <c r="K2625" s="7"/>
      <c r="L2625" s="8"/>
      <c r="O2625" s="10"/>
    </row>
    <row r="2626" ht="14.25" customHeight="1">
      <c r="A2626" s="1"/>
      <c r="B2626" s="2"/>
      <c r="C2626" s="2"/>
      <c r="D2626" s="2"/>
      <c r="E2626" s="3"/>
      <c r="F2626" s="4"/>
      <c r="G2626" s="4"/>
      <c r="H2626" s="4"/>
      <c r="I2626" s="4"/>
      <c r="J2626" s="6"/>
      <c r="K2626" s="7"/>
      <c r="L2626" s="8"/>
      <c r="O2626" s="10"/>
    </row>
    <row r="2627" ht="14.25" customHeight="1">
      <c r="A2627" s="1"/>
      <c r="B2627" s="2"/>
      <c r="C2627" s="2"/>
      <c r="D2627" s="2"/>
      <c r="E2627" s="3"/>
      <c r="F2627" s="4"/>
      <c r="G2627" s="4"/>
      <c r="H2627" s="14"/>
      <c r="I2627" s="4"/>
      <c r="J2627" s="6"/>
      <c r="K2627" s="7"/>
      <c r="L2627" s="8"/>
      <c r="O2627" s="10"/>
    </row>
    <row r="2628" ht="14.25" customHeight="1">
      <c r="A2628" s="1"/>
      <c r="B2628" s="2"/>
      <c r="C2628" s="2"/>
      <c r="D2628" s="2"/>
      <c r="E2628" s="3"/>
      <c r="F2628" s="4"/>
      <c r="G2628" s="4"/>
      <c r="H2628" s="14"/>
      <c r="I2628" s="4"/>
      <c r="J2628" s="6"/>
      <c r="K2628" s="7"/>
      <c r="L2628" s="8"/>
      <c r="O2628" s="10"/>
    </row>
    <row r="2629" ht="14.25" customHeight="1">
      <c r="A2629" s="1"/>
      <c r="B2629" s="2"/>
      <c r="C2629" s="2"/>
      <c r="D2629" s="2"/>
      <c r="E2629" s="3"/>
      <c r="F2629" s="4"/>
      <c r="G2629" s="4"/>
      <c r="H2629" s="14"/>
      <c r="I2629" s="4"/>
      <c r="J2629" s="6"/>
      <c r="K2629" s="7"/>
      <c r="L2629" s="8"/>
      <c r="O2629" s="10"/>
    </row>
    <row r="2630" ht="14.25" customHeight="1">
      <c r="A2630" s="1"/>
      <c r="B2630" s="2"/>
      <c r="C2630" s="2"/>
      <c r="D2630" s="2"/>
      <c r="E2630" s="3"/>
      <c r="F2630" s="4"/>
      <c r="G2630" s="4"/>
      <c r="H2630" s="4"/>
      <c r="I2630" s="4"/>
      <c r="J2630" s="6"/>
      <c r="K2630" s="7"/>
      <c r="L2630" s="8"/>
      <c r="O2630" s="10"/>
    </row>
    <row r="2631" ht="14.25" customHeight="1">
      <c r="A2631" s="1"/>
      <c r="B2631" s="2"/>
      <c r="C2631" s="2"/>
      <c r="D2631" s="2"/>
      <c r="E2631" s="3"/>
      <c r="F2631" s="4"/>
      <c r="G2631" s="4"/>
      <c r="H2631" s="14"/>
      <c r="I2631" s="4"/>
      <c r="J2631" s="6"/>
      <c r="K2631" s="7"/>
      <c r="L2631" s="8"/>
      <c r="O2631" s="10"/>
    </row>
    <row r="2632" ht="14.25" customHeight="1">
      <c r="A2632" s="1"/>
      <c r="B2632" s="2"/>
      <c r="C2632" s="2"/>
      <c r="D2632" s="2"/>
      <c r="E2632" s="3"/>
      <c r="F2632" s="4"/>
      <c r="G2632" s="4"/>
      <c r="H2632" s="14"/>
      <c r="I2632" s="4"/>
      <c r="J2632" s="6"/>
      <c r="K2632" s="7"/>
      <c r="L2632" s="8"/>
      <c r="O2632" s="10"/>
    </row>
    <row r="2633" ht="14.25" customHeight="1">
      <c r="A2633" s="1"/>
      <c r="B2633" s="2"/>
      <c r="C2633" s="2"/>
      <c r="D2633" s="2"/>
      <c r="E2633" s="3"/>
      <c r="F2633" s="4"/>
      <c r="G2633" s="4"/>
      <c r="H2633" s="14"/>
      <c r="I2633" s="4"/>
      <c r="J2633" s="6"/>
      <c r="K2633" s="7"/>
      <c r="L2633" s="8"/>
      <c r="O2633" s="10"/>
    </row>
    <row r="2634" ht="14.25" customHeight="1">
      <c r="A2634" s="1"/>
      <c r="B2634" s="2"/>
      <c r="C2634" s="2"/>
      <c r="D2634" s="2"/>
      <c r="E2634" s="3"/>
      <c r="F2634" s="4"/>
      <c r="G2634" s="4"/>
      <c r="H2634" s="14"/>
      <c r="I2634" s="4"/>
      <c r="J2634" s="6"/>
      <c r="K2634" s="7"/>
      <c r="L2634" s="8"/>
      <c r="O2634" s="10"/>
    </row>
    <row r="2635" ht="14.25" customHeight="1">
      <c r="A2635" s="1"/>
      <c r="B2635" s="2"/>
      <c r="C2635" s="2"/>
      <c r="D2635" s="2"/>
      <c r="E2635" s="3"/>
      <c r="F2635" s="4"/>
      <c r="G2635" s="4"/>
      <c r="H2635" s="14"/>
      <c r="I2635" s="4"/>
      <c r="J2635" s="6"/>
      <c r="K2635" s="7"/>
      <c r="L2635" s="8"/>
      <c r="O2635" s="10"/>
    </row>
    <row r="2636" ht="14.25" customHeight="1">
      <c r="A2636" s="1"/>
      <c r="B2636" s="2"/>
      <c r="C2636" s="2"/>
      <c r="D2636" s="2"/>
      <c r="E2636" s="3"/>
      <c r="F2636" s="4"/>
      <c r="G2636" s="4"/>
      <c r="H2636" s="14"/>
      <c r="I2636" s="4"/>
      <c r="J2636" s="6"/>
      <c r="K2636" s="7"/>
      <c r="L2636" s="8"/>
      <c r="O2636" s="10"/>
    </row>
    <row r="2637" ht="14.25" customHeight="1">
      <c r="A2637" s="1"/>
      <c r="B2637" s="2"/>
      <c r="C2637" s="2"/>
      <c r="D2637" s="2"/>
      <c r="E2637" s="3"/>
      <c r="F2637" s="4"/>
      <c r="G2637" s="4"/>
      <c r="H2637" s="14"/>
      <c r="I2637" s="4"/>
      <c r="J2637" s="6"/>
      <c r="K2637" s="7"/>
      <c r="L2637" s="8"/>
      <c r="O2637" s="10"/>
    </row>
    <row r="2638" ht="14.25" customHeight="1">
      <c r="A2638" s="1"/>
      <c r="B2638" s="2"/>
      <c r="C2638" s="2"/>
      <c r="D2638" s="2"/>
      <c r="E2638" s="3"/>
      <c r="F2638" s="4"/>
      <c r="G2638" s="4"/>
      <c r="H2638" s="14"/>
      <c r="I2638" s="4"/>
      <c r="J2638" s="6"/>
      <c r="K2638" s="7"/>
      <c r="L2638" s="8"/>
      <c r="O2638" s="10"/>
    </row>
    <row r="2639" ht="14.25" customHeight="1">
      <c r="A2639" s="1"/>
      <c r="B2639" s="2"/>
      <c r="C2639" s="2"/>
      <c r="D2639" s="2"/>
      <c r="E2639" s="3"/>
      <c r="F2639" s="4"/>
      <c r="G2639" s="4"/>
      <c r="H2639" s="14"/>
      <c r="I2639" s="4"/>
      <c r="J2639" s="6"/>
      <c r="K2639" s="7"/>
      <c r="L2639" s="8"/>
      <c r="O2639" s="10"/>
    </row>
    <row r="2640" ht="14.25" customHeight="1">
      <c r="A2640" s="1"/>
      <c r="B2640" s="2"/>
      <c r="C2640" s="2"/>
      <c r="D2640" s="2"/>
      <c r="E2640" s="3"/>
      <c r="F2640" s="4"/>
      <c r="G2640" s="4"/>
      <c r="H2640" s="14"/>
      <c r="I2640" s="4"/>
      <c r="J2640" s="6"/>
      <c r="K2640" s="7"/>
      <c r="L2640" s="8"/>
      <c r="O2640" s="10"/>
    </row>
    <row r="2641" ht="14.25" customHeight="1">
      <c r="A2641" s="1"/>
      <c r="B2641" s="2"/>
      <c r="C2641" s="2"/>
      <c r="D2641" s="2"/>
      <c r="E2641" s="3"/>
      <c r="F2641" s="4"/>
      <c r="G2641" s="4"/>
      <c r="H2641" s="14"/>
      <c r="I2641" s="4"/>
      <c r="J2641" s="6"/>
      <c r="K2641" s="7"/>
      <c r="L2641" s="8"/>
      <c r="O2641" s="10"/>
    </row>
    <row r="2642" ht="14.25" customHeight="1">
      <c r="A2642" s="1"/>
      <c r="B2642" s="2"/>
      <c r="C2642" s="2"/>
      <c r="D2642" s="2"/>
      <c r="E2642" s="3"/>
      <c r="F2642" s="4"/>
      <c r="G2642" s="4"/>
      <c r="H2642" s="4"/>
      <c r="I2642" s="4"/>
      <c r="J2642" s="6"/>
      <c r="K2642" s="7"/>
      <c r="L2642" s="8"/>
      <c r="O2642" s="10"/>
    </row>
    <row r="2643" ht="14.25" customHeight="1">
      <c r="A2643" s="1"/>
      <c r="B2643" s="2"/>
      <c r="C2643" s="2"/>
      <c r="D2643" s="2"/>
      <c r="E2643" s="3"/>
      <c r="F2643" s="4"/>
      <c r="G2643" s="4"/>
      <c r="H2643" s="4"/>
      <c r="I2643" s="4"/>
      <c r="J2643" s="6"/>
      <c r="K2643" s="7"/>
      <c r="L2643" s="8"/>
      <c r="O2643" s="10"/>
    </row>
    <row r="2644" ht="14.25" customHeight="1">
      <c r="A2644" s="1"/>
      <c r="B2644" s="2"/>
      <c r="C2644" s="2"/>
      <c r="D2644" s="2"/>
      <c r="E2644" s="3"/>
      <c r="F2644" s="4"/>
      <c r="G2644" s="4"/>
      <c r="H2644" s="4"/>
      <c r="I2644" s="4"/>
      <c r="J2644" s="6"/>
      <c r="K2644" s="7"/>
      <c r="L2644" s="8"/>
      <c r="O2644" s="10"/>
    </row>
    <row r="2645" ht="14.25" customHeight="1">
      <c r="A2645" s="1"/>
      <c r="B2645" s="2"/>
      <c r="C2645" s="2"/>
      <c r="D2645" s="2"/>
      <c r="E2645" s="3"/>
      <c r="F2645" s="4"/>
      <c r="G2645" s="4"/>
      <c r="H2645" s="4"/>
      <c r="I2645" s="4"/>
      <c r="J2645" s="6"/>
      <c r="K2645" s="7"/>
      <c r="L2645" s="8"/>
      <c r="O2645" s="10"/>
    </row>
    <row r="2646" ht="14.25" customHeight="1">
      <c r="A2646" s="1"/>
      <c r="B2646" s="2"/>
      <c r="C2646" s="2"/>
      <c r="D2646" s="2"/>
      <c r="E2646" s="3"/>
      <c r="F2646" s="4"/>
      <c r="G2646" s="4"/>
      <c r="H2646" s="14"/>
      <c r="I2646" s="4"/>
      <c r="J2646" s="6"/>
      <c r="K2646" s="7"/>
      <c r="L2646" s="8"/>
      <c r="O2646" s="10"/>
    </row>
    <row r="2647" ht="14.25" customHeight="1">
      <c r="A2647" s="1"/>
      <c r="B2647" s="2"/>
      <c r="C2647" s="2"/>
      <c r="D2647" s="2"/>
      <c r="E2647" s="3"/>
      <c r="F2647" s="4"/>
      <c r="G2647" s="4"/>
      <c r="H2647" s="4"/>
      <c r="I2647" s="4"/>
      <c r="J2647" s="6"/>
      <c r="K2647" s="7"/>
      <c r="L2647" s="8"/>
      <c r="O2647" s="10"/>
    </row>
    <row r="2648" ht="14.25" customHeight="1">
      <c r="A2648" s="1"/>
      <c r="B2648" s="2"/>
      <c r="C2648" s="2"/>
      <c r="D2648" s="2"/>
      <c r="E2648" s="3"/>
      <c r="F2648" s="4"/>
      <c r="G2648" s="4"/>
      <c r="H2648" s="14"/>
      <c r="I2648" s="4"/>
      <c r="J2648" s="6"/>
      <c r="K2648" s="7"/>
      <c r="L2648" s="8"/>
      <c r="O2648" s="10"/>
    </row>
    <row r="2649" ht="14.25" customHeight="1">
      <c r="A2649" s="1"/>
      <c r="B2649" s="2"/>
      <c r="C2649" s="2"/>
      <c r="D2649" s="2"/>
      <c r="E2649" s="3"/>
      <c r="F2649" s="4"/>
      <c r="G2649" s="4"/>
      <c r="H2649" s="14"/>
      <c r="I2649" s="4"/>
      <c r="J2649" s="6"/>
      <c r="K2649" s="7"/>
      <c r="L2649" s="8"/>
      <c r="O2649" s="10"/>
    </row>
    <row r="2650" ht="14.25" customHeight="1">
      <c r="A2650" s="1"/>
      <c r="B2650" s="2"/>
      <c r="C2650" s="2"/>
      <c r="D2650" s="2"/>
      <c r="E2650" s="3"/>
      <c r="F2650" s="4"/>
      <c r="G2650" s="4"/>
      <c r="H2650" s="14"/>
      <c r="I2650" s="4"/>
      <c r="J2650" s="6"/>
      <c r="K2650" s="7"/>
      <c r="L2650" s="8"/>
      <c r="O2650" s="10"/>
    </row>
    <row r="2651" ht="14.25" customHeight="1">
      <c r="A2651" s="1"/>
      <c r="B2651" s="2"/>
      <c r="C2651" s="2"/>
      <c r="D2651" s="2"/>
      <c r="E2651" s="3"/>
      <c r="F2651" s="4"/>
      <c r="G2651" s="4"/>
      <c r="H2651" s="4"/>
      <c r="I2651" s="4"/>
      <c r="J2651" s="6"/>
      <c r="K2651" s="7"/>
      <c r="L2651" s="8"/>
      <c r="O2651" s="10"/>
    </row>
    <row r="2652" ht="14.25" customHeight="1">
      <c r="A2652" s="1"/>
      <c r="B2652" s="2"/>
      <c r="C2652" s="2"/>
      <c r="D2652" s="2"/>
      <c r="E2652" s="3"/>
      <c r="F2652" s="4"/>
      <c r="G2652" s="4"/>
      <c r="H2652" s="14"/>
      <c r="I2652" s="4"/>
      <c r="J2652" s="6"/>
      <c r="K2652" s="7"/>
      <c r="L2652" s="8"/>
      <c r="O2652" s="10"/>
    </row>
    <row r="2653" ht="14.25" customHeight="1">
      <c r="A2653" s="1"/>
      <c r="B2653" s="2"/>
      <c r="C2653" s="2"/>
      <c r="D2653" s="2"/>
      <c r="E2653" s="3"/>
      <c r="F2653" s="4"/>
      <c r="G2653" s="4"/>
      <c r="H2653" s="14"/>
      <c r="I2653" s="4"/>
      <c r="J2653" s="6"/>
      <c r="K2653" s="7"/>
      <c r="L2653" s="8"/>
      <c r="O2653" s="10"/>
    </row>
    <row r="2654" ht="14.25" customHeight="1">
      <c r="A2654" s="1"/>
      <c r="B2654" s="2"/>
      <c r="C2654" s="2"/>
      <c r="D2654" s="2"/>
      <c r="E2654" s="3"/>
      <c r="F2654" s="4"/>
      <c r="G2654" s="4"/>
      <c r="H2654" s="14"/>
      <c r="I2654" s="4"/>
      <c r="J2654" s="6"/>
      <c r="K2654" s="7"/>
      <c r="L2654" s="8"/>
      <c r="O2654" s="10"/>
    </row>
    <row r="2655" ht="14.25" customHeight="1">
      <c r="A2655" s="1"/>
      <c r="B2655" s="2"/>
      <c r="C2655" s="2"/>
      <c r="D2655" s="2"/>
      <c r="E2655" s="3"/>
      <c r="F2655" s="4"/>
      <c r="G2655" s="4"/>
      <c r="H2655" s="14"/>
      <c r="I2655" s="4"/>
      <c r="J2655" s="6"/>
      <c r="K2655" s="7"/>
      <c r="L2655" s="8"/>
      <c r="O2655" s="10"/>
    </row>
    <row r="2656" ht="14.25" customHeight="1">
      <c r="A2656" s="1"/>
      <c r="B2656" s="2"/>
      <c r="C2656" s="2"/>
      <c r="D2656" s="2"/>
      <c r="E2656" s="3"/>
      <c r="F2656" s="4"/>
      <c r="G2656" s="4"/>
      <c r="H2656" s="4"/>
      <c r="I2656" s="4"/>
      <c r="J2656" s="6"/>
      <c r="K2656" s="7"/>
      <c r="L2656" s="8"/>
      <c r="O2656" s="10"/>
    </row>
    <row r="2657" ht="14.25" customHeight="1">
      <c r="A2657" s="1"/>
      <c r="B2657" s="2"/>
      <c r="C2657" s="2"/>
      <c r="D2657" s="2"/>
      <c r="E2657" s="3"/>
      <c r="F2657" s="4"/>
      <c r="G2657" s="4"/>
      <c r="H2657" s="4"/>
      <c r="I2657" s="4"/>
      <c r="J2657" s="6"/>
      <c r="K2657" s="7"/>
      <c r="L2657" s="8"/>
      <c r="O2657" s="10"/>
    </row>
    <row r="2658" ht="14.25" customHeight="1">
      <c r="A2658" s="1"/>
      <c r="B2658" s="2"/>
      <c r="C2658" s="2"/>
      <c r="D2658" s="2"/>
      <c r="E2658" s="3"/>
      <c r="F2658" s="4"/>
      <c r="G2658" s="4"/>
      <c r="H2658" s="4"/>
      <c r="I2658" s="4"/>
      <c r="J2658" s="6"/>
      <c r="K2658" s="7"/>
      <c r="L2658" s="8"/>
      <c r="O2658" s="10"/>
    </row>
    <row r="2659" ht="14.25" customHeight="1">
      <c r="A2659" s="1"/>
      <c r="B2659" s="2"/>
      <c r="C2659" s="2"/>
      <c r="D2659" s="2"/>
      <c r="E2659" s="3"/>
      <c r="F2659" s="4"/>
      <c r="G2659" s="4"/>
      <c r="H2659" s="14"/>
      <c r="I2659" s="4"/>
      <c r="J2659" s="6"/>
      <c r="K2659" s="7"/>
      <c r="L2659" s="8"/>
      <c r="O2659" s="10"/>
    </row>
    <row r="2660" ht="14.25" customHeight="1">
      <c r="A2660" s="1"/>
      <c r="B2660" s="2"/>
      <c r="C2660" s="2"/>
      <c r="D2660" s="2"/>
      <c r="E2660" s="3"/>
      <c r="F2660" s="4"/>
      <c r="G2660" s="4"/>
      <c r="H2660" s="4"/>
      <c r="I2660" s="4"/>
      <c r="J2660" s="6"/>
      <c r="K2660" s="7"/>
      <c r="L2660" s="8"/>
      <c r="O2660" s="10"/>
    </row>
    <row r="2661" ht="14.25" customHeight="1">
      <c r="A2661" s="1"/>
      <c r="B2661" s="2"/>
      <c r="C2661" s="2"/>
      <c r="D2661" s="2"/>
      <c r="E2661" s="3"/>
      <c r="F2661" s="4"/>
      <c r="G2661" s="4"/>
      <c r="H2661" s="14"/>
      <c r="I2661" s="4"/>
      <c r="J2661" s="6"/>
      <c r="K2661" s="7"/>
      <c r="L2661" s="8"/>
      <c r="O2661" s="10"/>
    </row>
    <row r="2662" ht="14.25" customHeight="1">
      <c r="A2662" s="1"/>
      <c r="B2662" s="2"/>
      <c r="C2662" s="2"/>
      <c r="D2662" s="2"/>
      <c r="E2662" s="3"/>
      <c r="F2662" s="4"/>
      <c r="G2662" s="4"/>
      <c r="H2662" s="14"/>
      <c r="I2662" s="4"/>
      <c r="J2662" s="6"/>
      <c r="K2662" s="7"/>
      <c r="L2662" s="8"/>
      <c r="O2662" s="10"/>
    </row>
    <row r="2663" ht="14.25" customHeight="1">
      <c r="A2663" s="1"/>
      <c r="B2663" s="2"/>
      <c r="C2663" s="2"/>
      <c r="D2663" s="2"/>
      <c r="E2663" s="3"/>
      <c r="F2663" s="4"/>
      <c r="G2663" s="4"/>
      <c r="H2663" s="14"/>
      <c r="I2663" s="4"/>
      <c r="J2663" s="6"/>
      <c r="K2663" s="7"/>
      <c r="L2663" s="8"/>
      <c r="O2663" s="10"/>
    </row>
    <row r="2664" ht="14.25" customHeight="1">
      <c r="A2664" s="1"/>
      <c r="B2664" s="2"/>
      <c r="C2664" s="2"/>
      <c r="D2664" s="2"/>
      <c r="E2664" s="3"/>
      <c r="F2664" s="4"/>
      <c r="G2664" s="4"/>
      <c r="H2664" s="14"/>
      <c r="I2664" s="4"/>
      <c r="J2664" s="6"/>
      <c r="K2664" s="7"/>
      <c r="L2664" s="8"/>
      <c r="O2664" s="10"/>
    </row>
    <row r="2665" ht="14.25" customHeight="1">
      <c r="A2665" s="1"/>
      <c r="B2665" s="2"/>
      <c r="C2665" s="2"/>
      <c r="D2665" s="2"/>
      <c r="E2665" s="3"/>
      <c r="F2665" s="4"/>
      <c r="G2665" s="4"/>
      <c r="H2665" s="14"/>
      <c r="I2665" s="4"/>
      <c r="J2665" s="6"/>
      <c r="K2665" s="7"/>
      <c r="L2665" s="8"/>
      <c r="O2665" s="10"/>
    </row>
    <row r="2666" ht="14.25" customHeight="1">
      <c r="A2666" s="1"/>
      <c r="B2666" s="2"/>
      <c r="C2666" s="2"/>
      <c r="D2666" s="2"/>
      <c r="E2666" s="3"/>
      <c r="F2666" s="4"/>
      <c r="G2666" s="4"/>
      <c r="H2666" s="14"/>
      <c r="I2666" s="4"/>
      <c r="J2666" s="6"/>
      <c r="K2666" s="7"/>
      <c r="L2666" s="8"/>
      <c r="O2666" s="10"/>
    </row>
    <row r="2667" ht="14.25" customHeight="1">
      <c r="A2667" s="1"/>
      <c r="B2667" s="2"/>
      <c r="C2667" s="2"/>
      <c r="D2667" s="2"/>
      <c r="E2667" s="3"/>
      <c r="F2667" s="4"/>
      <c r="G2667" s="4"/>
      <c r="H2667" s="14"/>
      <c r="I2667" s="4"/>
      <c r="J2667" s="6"/>
      <c r="K2667" s="7"/>
      <c r="L2667" s="8"/>
      <c r="O2667" s="10"/>
    </row>
    <row r="2668" ht="14.25" customHeight="1">
      <c r="A2668" s="1"/>
      <c r="B2668" s="2"/>
      <c r="C2668" s="2"/>
      <c r="D2668" s="2"/>
      <c r="E2668" s="3"/>
      <c r="F2668" s="4"/>
      <c r="G2668" s="4"/>
      <c r="H2668" s="14"/>
      <c r="I2668" s="4"/>
      <c r="J2668" s="6"/>
      <c r="K2668" s="7"/>
      <c r="L2668" s="8"/>
      <c r="O2668" s="10"/>
    </row>
    <row r="2669" ht="14.25" customHeight="1">
      <c r="A2669" s="1"/>
      <c r="B2669" s="2"/>
      <c r="C2669" s="2"/>
      <c r="D2669" s="2"/>
      <c r="E2669" s="3"/>
      <c r="F2669" s="4"/>
      <c r="G2669" s="4"/>
      <c r="H2669" s="14"/>
      <c r="I2669" s="4"/>
      <c r="J2669" s="6"/>
      <c r="K2669" s="7"/>
      <c r="L2669" s="8"/>
      <c r="O2669" s="10"/>
    </row>
    <row r="2670" ht="14.25" customHeight="1">
      <c r="A2670" s="1"/>
      <c r="B2670" s="2"/>
      <c r="C2670" s="2"/>
      <c r="D2670" s="2"/>
      <c r="E2670" s="3"/>
      <c r="F2670" s="4"/>
      <c r="G2670" s="4"/>
      <c r="H2670" s="14"/>
      <c r="I2670" s="4"/>
      <c r="J2670" s="6"/>
      <c r="K2670" s="7"/>
      <c r="L2670" s="8"/>
      <c r="O2670" s="10"/>
    </row>
    <row r="2671" ht="14.25" customHeight="1">
      <c r="A2671" s="1"/>
      <c r="B2671" s="2"/>
      <c r="C2671" s="2"/>
      <c r="D2671" s="2"/>
      <c r="E2671" s="3"/>
      <c r="F2671" s="4"/>
      <c r="G2671" s="4"/>
      <c r="H2671" s="14"/>
      <c r="I2671" s="4"/>
      <c r="J2671" s="6"/>
      <c r="K2671" s="7"/>
      <c r="L2671" s="8"/>
      <c r="O2671" s="10"/>
    </row>
    <row r="2672" ht="14.25" customHeight="1">
      <c r="A2672" s="1"/>
      <c r="B2672" s="2"/>
      <c r="C2672" s="2"/>
      <c r="D2672" s="2"/>
      <c r="E2672" s="3"/>
      <c r="F2672" s="4"/>
      <c r="G2672" s="4"/>
      <c r="H2672" s="14"/>
      <c r="I2672" s="4"/>
      <c r="J2672" s="6"/>
      <c r="K2672" s="7"/>
      <c r="L2672" s="8"/>
      <c r="O2672" s="10"/>
    </row>
    <row r="2673" ht="14.25" customHeight="1">
      <c r="A2673" s="1"/>
      <c r="B2673" s="2"/>
      <c r="C2673" s="2"/>
      <c r="D2673" s="2"/>
      <c r="E2673" s="3"/>
      <c r="F2673" s="4"/>
      <c r="G2673" s="4"/>
      <c r="H2673" s="14"/>
      <c r="I2673" s="4"/>
      <c r="J2673" s="6"/>
      <c r="K2673" s="7"/>
      <c r="L2673" s="8"/>
      <c r="O2673" s="10"/>
    </row>
    <row r="2674" ht="14.25" customHeight="1">
      <c r="A2674" s="1"/>
      <c r="B2674" s="2"/>
      <c r="C2674" s="2"/>
      <c r="D2674" s="2"/>
      <c r="E2674" s="3"/>
      <c r="F2674" s="4"/>
      <c r="G2674" s="4"/>
      <c r="H2674" s="14"/>
      <c r="I2674" s="4"/>
      <c r="J2674" s="6"/>
      <c r="K2674" s="7"/>
      <c r="L2674" s="8"/>
      <c r="O2674" s="10"/>
    </row>
    <row r="2675" ht="14.25" customHeight="1">
      <c r="A2675" s="1"/>
      <c r="B2675" s="2"/>
      <c r="C2675" s="2"/>
      <c r="D2675" s="2"/>
      <c r="E2675" s="3"/>
      <c r="F2675" s="4"/>
      <c r="G2675" s="4"/>
      <c r="H2675" s="4"/>
      <c r="I2675" s="4"/>
      <c r="J2675" s="6"/>
      <c r="K2675" s="7"/>
      <c r="L2675" s="8"/>
      <c r="O2675" s="10"/>
    </row>
    <row r="2676" ht="14.25" customHeight="1">
      <c r="A2676" s="1"/>
      <c r="B2676" s="2"/>
      <c r="C2676" s="2"/>
      <c r="D2676" s="2"/>
      <c r="E2676" s="3"/>
      <c r="F2676" s="4"/>
      <c r="G2676" s="4"/>
      <c r="H2676" s="14"/>
      <c r="I2676" s="4"/>
      <c r="J2676" s="6"/>
      <c r="K2676" s="7"/>
      <c r="L2676" s="8"/>
      <c r="O2676" s="10"/>
    </row>
    <row r="2677" ht="14.25" customHeight="1">
      <c r="A2677" s="1"/>
      <c r="B2677" s="2"/>
      <c r="C2677" s="2"/>
      <c r="D2677" s="2"/>
      <c r="E2677" s="3"/>
      <c r="F2677" s="4"/>
      <c r="G2677" s="4"/>
      <c r="H2677" s="4"/>
      <c r="I2677" s="4"/>
      <c r="J2677" s="6"/>
      <c r="K2677" s="7"/>
      <c r="L2677" s="8"/>
      <c r="O2677" s="10"/>
    </row>
    <row r="2678" ht="14.25" customHeight="1">
      <c r="A2678" s="1"/>
      <c r="B2678" s="2"/>
      <c r="C2678" s="2"/>
      <c r="D2678" s="2"/>
      <c r="E2678" s="3"/>
      <c r="F2678" s="4"/>
      <c r="G2678" s="4"/>
      <c r="H2678" s="4"/>
      <c r="I2678" s="4"/>
      <c r="J2678" s="6"/>
      <c r="K2678" s="7"/>
      <c r="L2678" s="8"/>
      <c r="O2678" s="10"/>
    </row>
    <row r="2679" ht="14.25" customHeight="1">
      <c r="A2679" s="1"/>
      <c r="B2679" s="2"/>
      <c r="C2679" s="2"/>
      <c r="D2679" s="2"/>
      <c r="E2679" s="3"/>
      <c r="F2679" s="4"/>
      <c r="G2679" s="4"/>
      <c r="H2679" s="4"/>
      <c r="I2679" s="4"/>
      <c r="J2679" s="6"/>
      <c r="K2679" s="7"/>
      <c r="L2679" s="8"/>
      <c r="O2679" s="10"/>
    </row>
    <row r="2680" ht="14.25" customHeight="1">
      <c r="A2680" s="1"/>
      <c r="B2680" s="2"/>
      <c r="C2680" s="2"/>
      <c r="D2680" s="2"/>
      <c r="E2680" s="3"/>
      <c r="F2680" s="4"/>
      <c r="G2680" s="4"/>
      <c r="H2680" s="14"/>
      <c r="I2680" s="4"/>
      <c r="J2680" s="6"/>
      <c r="K2680" s="7"/>
      <c r="L2680" s="8"/>
      <c r="O2680" s="10"/>
    </row>
    <row r="2681" ht="14.25" customHeight="1">
      <c r="A2681" s="1"/>
      <c r="B2681" s="2"/>
      <c r="C2681" s="2"/>
      <c r="D2681" s="2"/>
      <c r="E2681" s="3"/>
      <c r="F2681" s="4"/>
      <c r="G2681" s="4"/>
      <c r="H2681" s="4"/>
      <c r="I2681" s="4"/>
      <c r="J2681" s="6"/>
      <c r="K2681" s="7"/>
      <c r="L2681" s="8"/>
      <c r="O2681" s="10"/>
    </row>
    <row r="2682" ht="14.25" customHeight="1">
      <c r="A2682" s="1"/>
      <c r="B2682" s="2"/>
      <c r="C2682" s="2"/>
      <c r="D2682" s="2"/>
      <c r="E2682" s="3"/>
      <c r="F2682" s="4"/>
      <c r="G2682" s="4"/>
      <c r="H2682" s="14"/>
      <c r="I2682" s="4"/>
      <c r="J2682" s="6"/>
      <c r="K2682" s="7"/>
      <c r="L2682" s="8"/>
      <c r="O2682" s="10"/>
    </row>
    <row r="2683" ht="14.25" customHeight="1">
      <c r="A2683" s="1"/>
      <c r="B2683" s="2"/>
      <c r="C2683" s="2"/>
      <c r="D2683" s="2"/>
      <c r="E2683" s="3"/>
      <c r="F2683" s="4"/>
      <c r="G2683" s="4"/>
      <c r="H2683" s="4"/>
      <c r="I2683" s="4"/>
      <c r="J2683" s="6"/>
      <c r="K2683" s="7"/>
      <c r="L2683" s="8"/>
      <c r="O2683" s="10"/>
    </row>
    <row r="2684" ht="14.25" customHeight="1">
      <c r="A2684" s="1"/>
      <c r="B2684" s="2"/>
      <c r="C2684" s="2"/>
      <c r="D2684" s="2"/>
      <c r="E2684" s="3"/>
      <c r="F2684" s="4"/>
      <c r="G2684" s="4"/>
      <c r="H2684" s="14"/>
      <c r="I2684" s="4"/>
      <c r="J2684" s="6"/>
      <c r="K2684" s="7"/>
      <c r="L2684" s="8"/>
      <c r="O2684" s="10"/>
    </row>
    <row r="2685" ht="14.25" customHeight="1">
      <c r="A2685" s="1"/>
      <c r="B2685" s="2"/>
      <c r="C2685" s="2"/>
      <c r="D2685" s="2"/>
      <c r="E2685" s="3"/>
      <c r="F2685" s="4"/>
      <c r="G2685" s="4"/>
      <c r="H2685" s="14"/>
      <c r="I2685" s="4"/>
      <c r="J2685" s="6"/>
      <c r="K2685" s="7"/>
      <c r="L2685" s="8"/>
      <c r="O2685" s="10"/>
    </row>
    <row r="2686" ht="14.25" customHeight="1">
      <c r="A2686" s="1"/>
      <c r="B2686" s="2"/>
      <c r="C2686" s="2"/>
      <c r="D2686" s="2"/>
      <c r="E2686" s="3"/>
      <c r="F2686" s="4"/>
      <c r="G2686" s="4"/>
      <c r="H2686" s="14"/>
      <c r="I2686" s="4"/>
      <c r="J2686" s="6"/>
      <c r="K2686" s="7"/>
      <c r="L2686" s="8"/>
      <c r="O2686" s="10"/>
    </row>
    <row r="2687" ht="14.25" customHeight="1">
      <c r="A2687" s="1"/>
      <c r="B2687" s="2"/>
      <c r="C2687" s="2"/>
      <c r="D2687" s="2"/>
      <c r="E2687" s="3"/>
      <c r="F2687" s="4"/>
      <c r="G2687" s="4"/>
      <c r="H2687" s="4"/>
      <c r="I2687" s="4"/>
      <c r="J2687" s="6"/>
      <c r="K2687" s="7"/>
      <c r="L2687" s="8"/>
      <c r="O2687" s="10"/>
    </row>
    <row r="2688" ht="14.25" customHeight="1">
      <c r="A2688" s="1"/>
      <c r="B2688" s="2"/>
      <c r="C2688" s="2"/>
      <c r="D2688" s="2"/>
      <c r="E2688" s="3"/>
      <c r="F2688" s="4"/>
      <c r="G2688" s="4"/>
      <c r="H2688" s="14"/>
      <c r="I2688" s="4"/>
      <c r="J2688" s="6"/>
      <c r="K2688" s="7"/>
      <c r="L2688" s="8"/>
      <c r="O2688" s="10"/>
    </row>
    <row r="2689" ht="14.25" customHeight="1">
      <c r="A2689" s="1"/>
      <c r="B2689" s="2"/>
      <c r="C2689" s="2"/>
      <c r="D2689" s="2"/>
      <c r="E2689" s="3"/>
      <c r="F2689" s="4"/>
      <c r="G2689" s="4"/>
      <c r="H2689" s="14"/>
      <c r="I2689" s="4"/>
      <c r="J2689" s="6"/>
      <c r="K2689" s="7"/>
      <c r="L2689" s="8"/>
      <c r="O2689" s="10"/>
    </row>
    <row r="2690" ht="14.25" customHeight="1">
      <c r="A2690" s="1"/>
      <c r="B2690" s="2"/>
      <c r="C2690" s="2"/>
      <c r="D2690" s="2"/>
      <c r="E2690" s="3"/>
      <c r="F2690" s="4"/>
      <c r="G2690" s="4"/>
      <c r="H2690" s="4"/>
      <c r="I2690" s="4"/>
      <c r="J2690" s="6"/>
      <c r="K2690" s="7"/>
      <c r="L2690" s="8"/>
      <c r="O2690" s="10"/>
    </row>
    <row r="2691" ht="14.25" customHeight="1">
      <c r="A2691" s="1"/>
      <c r="B2691" s="2"/>
      <c r="C2691" s="2"/>
      <c r="D2691" s="2"/>
      <c r="E2691" s="3"/>
      <c r="F2691" s="4"/>
      <c r="G2691" s="4"/>
      <c r="H2691" s="14"/>
      <c r="I2691" s="4"/>
      <c r="J2691" s="6"/>
      <c r="K2691" s="7"/>
      <c r="L2691" s="8"/>
      <c r="O2691" s="10"/>
    </row>
    <row r="2692" ht="14.25" customHeight="1">
      <c r="A2692" s="1"/>
      <c r="B2692" s="2"/>
      <c r="C2692" s="2"/>
      <c r="D2692" s="2"/>
      <c r="E2692" s="3"/>
      <c r="F2692" s="4"/>
      <c r="G2692" s="4"/>
      <c r="H2692" s="14"/>
      <c r="I2692" s="4"/>
      <c r="J2692" s="6"/>
      <c r="K2692" s="7"/>
      <c r="L2692" s="8"/>
      <c r="O2692" s="10"/>
    </row>
    <row r="2693" ht="14.25" customHeight="1">
      <c r="A2693" s="1"/>
      <c r="B2693" s="2"/>
      <c r="C2693" s="2"/>
      <c r="D2693" s="2"/>
      <c r="E2693" s="3"/>
      <c r="F2693" s="4"/>
      <c r="G2693" s="4"/>
      <c r="H2693" s="14"/>
      <c r="I2693" s="4"/>
      <c r="J2693" s="6"/>
      <c r="K2693" s="7"/>
      <c r="L2693" s="8"/>
      <c r="O2693" s="10"/>
    </row>
    <row r="2694" ht="14.25" customHeight="1">
      <c r="A2694" s="1"/>
      <c r="B2694" s="2"/>
      <c r="C2694" s="2"/>
      <c r="D2694" s="2"/>
      <c r="E2694" s="3"/>
      <c r="F2694" s="4"/>
      <c r="G2694" s="4"/>
      <c r="H2694" s="14"/>
      <c r="I2694" s="4"/>
      <c r="J2694" s="6"/>
      <c r="K2694" s="7"/>
      <c r="L2694" s="8"/>
      <c r="O2694" s="10"/>
    </row>
    <row r="2695" ht="14.25" customHeight="1">
      <c r="A2695" s="1"/>
      <c r="B2695" s="2"/>
      <c r="C2695" s="2"/>
      <c r="D2695" s="2"/>
      <c r="E2695" s="3"/>
      <c r="F2695" s="4"/>
      <c r="G2695" s="4"/>
      <c r="H2695" s="4"/>
      <c r="I2695" s="4"/>
      <c r="J2695" s="6"/>
      <c r="K2695" s="7"/>
      <c r="L2695" s="8"/>
      <c r="O2695" s="10"/>
    </row>
    <row r="2696" ht="14.25" customHeight="1">
      <c r="A2696" s="1"/>
      <c r="B2696" s="2"/>
      <c r="C2696" s="2"/>
      <c r="D2696" s="2"/>
      <c r="E2696" s="3"/>
      <c r="F2696" s="4"/>
      <c r="G2696" s="4"/>
      <c r="H2696" s="14"/>
      <c r="I2696" s="4"/>
      <c r="J2696" s="6"/>
      <c r="K2696" s="7"/>
      <c r="L2696" s="8"/>
      <c r="O2696" s="10"/>
    </row>
    <row r="2697" ht="14.25" customHeight="1">
      <c r="A2697" s="1"/>
      <c r="B2697" s="2"/>
      <c r="C2697" s="2"/>
      <c r="D2697" s="2"/>
      <c r="E2697" s="3"/>
      <c r="F2697" s="4"/>
      <c r="G2697" s="4"/>
      <c r="H2697" s="14"/>
      <c r="I2697" s="4"/>
      <c r="J2697" s="6"/>
      <c r="K2697" s="7"/>
      <c r="L2697" s="8"/>
      <c r="O2697" s="10"/>
    </row>
    <row r="2698" ht="14.25" customHeight="1">
      <c r="A2698" s="1"/>
      <c r="B2698" s="2"/>
      <c r="C2698" s="2"/>
      <c r="D2698" s="2"/>
      <c r="E2698" s="3"/>
      <c r="F2698" s="4"/>
      <c r="G2698" s="4"/>
      <c r="H2698" s="14"/>
      <c r="I2698" s="4"/>
      <c r="J2698" s="6"/>
      <c r="K2698" s="7"/>
      <c r="L2698" s="8"/>
      <c r="O2698" s="10"/>
    </row>
    <row r="2699" ht="14.25" customHeight="1">
      <c r="A2699" s="1"/>
      <c r="B2699" s="2"/>
      <c r="C2699" s="2"/>
      <c r="D2699" s="2"/>
      <c r="E2699" s="3"/>
      <c r="F2699" s="4"/>
      <c r="G2699" s="4"/>
      <c r="H2699" s="4"/>
      <c r="I2699" s="4"/>
      <c r="J2699" s="6"/>
      <c r="K2699" s="7"/>
      <c r="L2699" s="8"/>
      <c r="O2699" s="10"/>
    </row>
    <row r="2700" ht="14.25" customHeight="1">
      <c r="A2700" s="1"/>
      <c r="B2700" s="2"/>
      <c r="C2700" s="2"/>
      <c r="D2700" s="2"/>
      <c r="E2700" s="3"/>
      <c r="F2700" s="4"/>
      <c r="G2700" s="4"/>
      <c r="H2700" s="4"/>
      <c r="I2700" s="4"/>
      <c r="J2700" s="6"/>
      <c r="K2700" s="7"/>
      <c r="L2700" s="8"/>
      <c r="O2700" s="10"/>
    </row>
    <row r="2701" ht="14.25" customHeight="1">
      <c r="A2701" s="1"/>
      <c r="B2701" s="2"/>
      <c r="C2701" s="2"/>
      <c r="D2701" s="2"/>
      <c r="E2701" s="3"/>
      <c r="F2701" s="4"/>
      <c r="G2701" s="4"/>
      <c r="H2701" s="14"/>
      <c r="I2701" s="4"/>
      <c r="J2701" s="6"/>
      <c r="K2701" s="7"/>
      <c r="L2701" s="8"/>
      <c r="O2701" s="10"/>
    </row>
    <row r="2702" ht="14.25" customHeight="1">
      <c r="A2702" s="1"/>
      <c r="B2702" s="2"/>
      <c r="C2702" s="2"/>
      <c r="D2702" s="2"/>
      <c r="E2702" s="3"/>
      <c r="F2702" s="4"/>
      <c r="G2702" s="4"/>
      <c r="H2702" s="14"/>
      <c r="I2702" s="4"/>
      <c r="J2702" s="6"/>
      <c r="K2702" s="7"/>
      <c r="L2702" s="8"/>
      <c r="O2702" s="10"/>
    </row>
    <row r="2703" ht="14.25" customHeight="1">
      <c r="A2703" s="1"/>
      <c r="B2703" s="2"/>
      <c r="C2703" s="2"/>
      <c r="D2703" s="2"/>
      <c r="E2703" s="3"/>
      <c r="F2703" s="4"/>
      <c r="G2703" s="4"/>
      <c r="H2703" s="4"/>
      <c r="I2703" s="4"/>
      <c r="J2703" s="6"/>
      <c r="K2703" s="7"/>
      <c r="L2703" s="8"/>
      <c r="O2703" s="10"/>
    </row>
    <row r="2704" ht="14.25" customHeight="1">
      <c r="A2704" s="1"/>
      <c r="B2704" s="2"/>
      <c r="C2704" s="2"/>
      <c r="D2704" s="2"/>
      <c r="E2704" s="3"/>
      <c r="F2704" s="4"/>
      <c r="G2704" s="4"/>
      <c r="H2704" s="14"/>
      <c r="I2704" s="4"/>
      <c r="J2704" s="6"/>
      <c r="K2704" s="7"/>
      <c r="L2704" s="8"/>
      <c r="O2704" s="10"/>
    </row>
    <row r="2705" ht="14.25" customHeight="1">
      <c r="A2705" s="1"/>
      <c r="B2705" s="2"/>
      <c r="C2705" s="2"/>
      <c r="D2705" s="2"/>
      <c r="E2705" s="3"/>
      <c r="F2705" s="4"/>
      <c r="G2705" s="4"/>
      <c r="H2705" s="14"/>
      <c r="I2705" s="4"/>
      <c r="J2705" s="6"/>
      <c r="K2705" s="7"/>
      <c r="L2705" s="8"/>
      <c r="O2705" s="10"/>
    </row>
    <row r="2706" ht="14.25" customHeight="1">
      <c r="A2706" s="1"/>
      <c r="B2706" s="2"/>
      <c r="C2706" s="2"/>
      <c r="D2706" s="2"/>
      <c r="E2706" s="3"/>
      <c r="F2706" s="4"/>
      <c r="G2706" s="4"/>
      <c r="H2706" s="14"/>
      <c r="I2706" s="4"/>
      <c r="J2706" s="6"/>
      <c r="K2706" s="7"/>
      <c r="L2706" s="8"/>
      <c r="O2706" s="10"/>
    </row>
    <row r="2707" ht="14.25" customHeight="1">
      <c r="A2707" s="1"/>
      <c r="B2707" s="2"/>
      <c r="C2707" s="2"/>
      <c r="D2707" s="2"/>
      <c r="E2707" s="3"/>
      <c r="F2707" s="4"/>
      <c r="G2707" s="4"/>
      <c r="H2707" s="14"/>
      <c r="I2707" s="4"/>
      <c r="J2707" s="6"/>
      <c r="K2707" s="7"/>
      <c r="L2707" s="8"/>
      <c r="O2707" s="10"/>
    </row>
    <row r="2708" ht="14.25" customHeight="1">
      <c r="A2708" s="1"/>
      <c r="B2708" s="2"/>
      <c r="C2708" s="2"/>
      <c r="D2708" s="2"/>
      <c r="E2708" s="3"/>
      <c r="F2708" s="4"/>
      <c r="G2708" s="4"/>
      <c r="H2708" s="4"/>
      <c r="I2708" s="4"/>
      <c r="J2708" s="6"/>
      <c r="K2708" s="7"/>
      <c r="L2708" s="8"/>
      <c r="O2708" s="10"/>
    </row>
    <row r="2709" ht="14.25" customHeight="1">
      <c r="A2709" s="1"/>
      <c r="B2709" s="2"/>
      <c r="C2709" s="2"/>
      <c r="D2709" s="2"/>
      <c r="E2709" s="3"/>
      <c r="F2709" s="4"/>
      <c r="G2709" s="4"/>
      <c r="H2709" s="14"/>
      <c r="I2709" s="4"/>
      <c r="J2709" s="6"/>
      <c r="K2709" s="7"/>
      <c r="L2709" s="8"/>
      <c r="O2709" s="10"/>
    </row>
    <row r="2710" ht="14.25" customHeight="1">
      <c r="A2710" s="1"/>
      <c r="B2710" s="2"/>
      <c r="C2710" s="2"/>
      <c r="D2710" s="2"/>
      <c r="E2710" s="3"/>
      <c r="F2710" s="4"/>
      <c r="G2710" s="4"/>
      <c r="H2710" s="14"/>
      <c r="I2710" s="4"/>
      <c r="J2710" s="6"/>
      <c r="K2710" s="7"/>
      <c r="L2710" s="8"/>
      <c r="O2710" s="10"/>
    </row>
    <row r="2711" ht="14.25" customHeight="1">
      <c r="A2711" s="1"/>
      <c r="B2711" s="2"/>
      <c r="C2711" s="2"/>
      <c r="D2711" s="2"/>
      <c r="E2711" s="3"/>
      <c r="F2711" s="4"/>
      <c r="G2711" s="4"/>
      <c r="H2711" s="14"/>
      <c r="I2711" s="4"/>
      <c r="J2711" s="6"/>
      <c r="K2711" s="7"/>
      <c r="L2711" s="8"/>
      <c r="O2711" s="10"/>
    </row>
    <row r="2712" ht="14.25" customHeight="1">
      <c r="A2712" s="1"/>
      <c r="B2712" s="2"/>
      <c r="C2712" s="2"/>
      <c r="D2712" s="2"/>
      <c r="E2712" s="3"/>
      <c r="F2712" s="4"/>
      <c r="G2712" s="4"/>
      <c r="H2712" s="14"/>
      <c r="I2712" s="4"/>
      <c r="J2712" s="6"/>
      <c r="K2712" s="7"/>
      <c r="L2712" s="8"/>
      <c r="O2712" s="10"/>
    </row>
    <row r="2713" ht="14.25" customHeight="1">
      <c r="A2713" s="1"/>
      <c r="B2713" s="2"/>
      <c r="C2713" s="2"/>
      <c r="D2713" s="2"/>
      <c r="E2713" s="3"/>
      <c r="F2713" s="4"/>
      <c r="G2713" s="4"/>
      <c r="H2713" s="14"/>
      <c r="I2713" s="4"/>
      <c r="J2713" s="6"/>
      <c r="K2713" s="7"/>
      <c r="L2713" s="8"/>
      <c r="O2713" s="10"/>
    </row>
    <row r="2714" ht="14.25" customHeight="1">
      <c r="A2714" s="1"/>
      <c r="B2714" s="2"/>
      <c r="C2714" s="2"/>
      <c r="D2714" s="2"/>
      <c r="E2714" s="3"/>
      <c r="F2714" s="4"/>
      <c r="G2714" s="4"/>
      <c r="H2714" s="14"/>
      <c r="I2714" s="4"/>
      <c r="J2714" s="6"/>
      <c r="K2714" s="7"/>
      <c r="L2714" s="8"/>
      <c r="O2714" s="10"/>
    </row>
    <row r="2715" ht="14.25" customHeight="1">
      <c r="A2715" s="1"/>
      <c r="B2715" s="2"/>
      <c r="C2715" s="2"/>
      <c r="D2715" s="2"/>
      <c r="E2715" s="3"/>
      <c r="F2715" s="4"/>
      <c r="G2715" s="4"/>
      <c r="H2715" s="4"/>
      <c r="I2715" s="4"/>
      <c r="J2715" s="6"/>
      <c r="K2715" s="7"/>
      <c r="L2715" s="8"/>
      <c r="O2715" s="10"/>
    </row>
    <row r="2716" ht="14.25" customHeight="1">
      <c r="A2716" s="1"/>
      <c r="B2716" s="2"/>
      <c r="C2716" s="2"/>
      <c r="D2716" s="2"/>
      <c r="E2716" s="3"/>
      <c r="F2716" s="4"/>
      <c r="G2716" s="4"/>
      <c r="H2716" s="14"/>
      <c r="I2716" s="4"/>
      <c r="J2716" s="6"/>
      <c r="K2716" s="7"/>
      <c r="L2716" s="8"/>
      <c r="O2716" s="10"/>
    </row>
    <row r="2717" ht="14.25" customHeight="1">
      <c r="A2717" s="1"/>
      <c r="B2717" s="2"/>
      <c r="C2717" s="2"/>
      <c r="D2717" s="2"/>
      <c r="E2717" s="3"/>
      <c r="F2717" s="4"/>
      <c r="G2717" s="4"/>
      <c r="H2717" s="14"/>
      <c r="I2717" s="4"/>
      <c r="J2717" s="6"/>
      <c r="K2717" s="7"/>
      <c r="L2717" s="8"/>
      <c r="O2717" s="10"/>
    </row>
    <row r="2718" ht="14.25" customHeight="1">
      <c r="A2718" s="1"/>
      <c r="B2718" s="2"/>
      <c r="C2718" s="2"/>
      <c r="D2718" s="2"/>
      <c r="E2718" s="3"/>
      <c r="F2718" s="4"/>
      <c r="G2718" s="4"/>
      <c r="H2718" s="14"/>
      <c r="I2718" s="4"/>
      <c r="J2718" s="6"/>
      <c r="K2718" s="7"/>
      <c r="L2718" s="8"/>
      <c r="O2718" s="10"/>
    </row>
    <row r="2719" ht="14.25" customHeight="1">
      <c r="A2719" s="1"/>
      <c r="B2719" s="2"/>
      <c r="C2719" s="2"/>
      <c r="D2719" s="2"/>
      <c r="E2719" s="3"/>
      <c r="F2719" s="4"/>
      <c r="G2719" s="4"/>
      <c r="H2719" s="14"/>
      <c r="I2719" s="4"/>
      <c r="J2719" s="6"/>
      <c r="K2719" s="7"/>
      <c r="L2719" s="8"/>
      <c r="O2719" s="10"/>
    </row>
    <row r="2720" ht="14.25" customHeight="1">
      <c r="A2720" s="1"/>
      <c r="B2720" s="2"/>
      <c r="C2720" s="2"/>
      <c r="D2720" s="2"/>
      <c r="E2720" s="3"/>
      <c r="F2720" s="4"/>
      <c r="G2720" s="4"/>
      <c r="H2720" s="4"/>
      <c r="I2720" s="4"/>
      <c r="J2720" s="6"/>
      <c r="K2720" s="7"/>
      <c r="L2720" s="8"/>
      <c r="O2720" s="10"/>
    </row>
    <row r="2721" ht="14.25" customHeight="1">
      <c r="A2721" s="1"/>
      <c r="B2721" s="2"/>
      <c r="C2721" s="2"/>
      <c r="D2721" s="2"/>
      <c r="E2721" s="3"/>
      <c r="F2721" s="4"/>
      <c r="G2721" s="4"/>
      <c r="H2721" s="14"/>
      <c r="I2721" s="4"/>
      <c r="J2721" s="6"/>
      <c r="K2721" s="7"/>
      <c r="L2721" s="8"/>
      <c r="O2721" s="10"/>
    </row>
    <row r="2722" ht="14.25" customHeight="1">
      <c r="A2722" s="1"/>
      <c r="B2722" s="2"/>
      <c r="C2722" s="2"/>
      <c r="D2722" s="2"/>
      <c r="E2722" s="3"/>
      <c r="F2722" s="4"/>
      <c r="G2722" s="4"/>
      <c r="H2722" s="14"/>
      <c r="I2722" s="4"/>
      <c r="J2722" s="6"/>
      <c r="K2722" s="7"/>
      <c r="L2722" s="8"/>
      <c r="O2722" s="10"/>
    </row>
    <row r="2723" ht="14.25" customHeight="1">
      <c r="A2723" s="1"/>
      <c r="B2723" s="2"/>
      <c r="C2723" s="2"/>
      <c r="D2723" s="2"/>
      <c r="E2723" s="3"/>
      <c r="F2723" s="4"/>
      <c r="G2723" s="4"/>
      <c r="H2723" s="14"/>
      <c r="I2723" s="4"/>
      <c r="J2723" s="6"/>
      <c r="K2723" s="7"/>
      <c r="L2723" s="8"/>
      <c r="O2723" s="10"/>
    </row>
    <row r="2724" ht="14.25" customHeight="1">
      <c r="A2724" s="1"/>
      <c r="B2724" s="2"/>
      <c r="C2724" s="2"/>
      <c r="D2724" s="2"/>
      <c r="E2724" s="3"/>
      <c r="F2724" s="4"/>
      <c r="G2724" s="4"/>
      <c r="H2724" s="14"/>
      <c r="I2724" s="4"/>
      <c r="J2724" s="6"/>
      <c r="K2724" s="7"/>
      <c r="L2724" s="8"/>
      <c r="O2724" s="10"/>
    </row>
    <row r="2725" ht="14.25" customHeight="1">
      <c r="A2725" s="1"/>
      <c r="B2725" s="2"/>
      <c r="C2725" s="2"/>
      <c r="D2725" s="2"/>
      <c r="E2725" s="3"/>
      <c r="F2725" s="4"/>
      <c r="G2725" s="4"/>
      <c r="H2725" s="14"/>
      <c r="I2725" s="4"/>
      <c r="J2725" s="6"/>
      <c r="K2725" s="7"/>
      <c r="L2725" s="8"/>
      <c r="O2725" s="10"/>
    </row>
    <row r="2726" ht="14.25" customHeight="1">
      <c r="A2726" s="1"/>
      <c r="B2726" s="2"/>
      <c r="C2726" s="2"/>
      <c r="D2726" s="2"/>
      <c r="E2726" s="3"/>
      <c r="F2726" s="4"/>
      <c r="G2726" s="4"/>
      <c r="H2726" s="14"/>
      <c r="I2726" s="4"/>
      <c r="J2726" s="6"/>
      <c r="K2726" s="7"/>
      <c r="L2726" s="8"/>
      <c r="O2726" s="10"/>
    </row>
    <row r="2727" ht="14.25" customHeight="1">
      <c r="A2727" s="1"/>
      <c r="B2727" s="2"/>
      <c r="C2727" s="2"/>
      <c r="D2727" s="2"/>
      <c r="E2727" s="3"/>
      <c r="F2727" s="4"/>
      <c r="G2727" s="4"/>
      <c r="H2727" s="14"/>
      <c r="I2727" s="4"/>
      <c r="J2727" s="6"/>
      <c r="K2727" s="7"/>
      <c r="L2727" s="8"/>
      <c r="O2727" s="10"/>
    </row>
    <row r="2728" ht="14.25" customHeight="1">
      <c r="A2728" s="1"/>
      <c r="B2728" s="2"/>
      <c r="C2728" s="2"/>
      <c r="D2728" s="2"/>
      <c r="E2728" s="3"/>
      <c r="F2728" s="4"/>
      <c r="G2728" s="4"/>
      <c r="H2728" s="14"/>
      <c r="I2728" s="4"/>
      <c r="J2728" s="6"/>
      <c r="K2728" s="7"/>
      <c r="L2728" s="8"/>
      <c r="O2728" s="10"/>
    </row>
    <row r="2729" ht="14.25" customHeight="1">
      <c r="A2729" s="1"/>
      <c r="B2729" s="2"/>
      <c r="C2729" s="2"/>
      <c r="D2729" s="2"/>
      <c r="E2729" s="3"/>
      <c r="F2729" s="4"/>
      <c r="G2729" s="4"/>
      <c r="H2729" s="14"/>
      <c r="I2729" s="4"/>
      <c r="J2729" s="6"/>
      <c r="K2729" s="7"/>
      <c r="L2729" s="8"/>
      <c r="O2729" s="10"/>
    </row>
    <row r="2730" ht="14.25" customHeight="1">
      <c r="A2730" s="1"/>
      <c r="B2730" s="2"/>
      <c r="C2730" s="2"/>
      <c r="D2730" s="2"/>
      <c r="E2730" s="3"/>
      <c r="F2730" s="4"/>
      <c r="G2730" s="4"/>
      <c r="H2730" s="14"/>
      <c r="I2730" s="4"/>
      <c r="J2730" s="6"/>
      <c r="K2730" s="7"/>
      <c r="L2730" s="8"/>
      <c r="O2730" s="10"/>
    </row>
    <row r="2731" ht="14.25" customHeight="1">
      <c r="A2731" s="1"/>
      <c r="B2731" s="2"/>
      <c r="C2731" s="2"/>
      <c r="D2731" s="2"/>
      <c r="E2731" s="3"/>
      <c r="F2731" s="4"/>
      <c r="G2731" s="4"/>
      <c r="H2731" s="14"/>
      <c r="I2731" s="4"/>
      <c r="J2731" s="6"/>
      <c r="K2731" s="7"/>
      <c r="L2731" s="8"/>
      <c r="O2731" s="10"/>
    </row>
    <row r="2732" ht="14.25" customHeight="1">
      <c r="A2732" s="1"/>
      <c r="B2732" s="2"/>
      <c r="C2732" s="2"/>
      <c r="D2732" s="2"/>
      <c r="E2732" s="3"/>
      <c r="F2732" s="4"/>
      <c r="G2732" s="4"/>
      <c r="H2732" s="14"/>
      <c r="I2732" s="4"/>
      <c r="J2732" s="6"/>
      <c r="K2732" s="7"/>
      <c r="L2732" s="8"/>
      <c r="O2732" s="10"/>
    </row>
    <row r="2733" ht="14.25" customHeight="1">
      <c r="A2733" s="1"/>
      <c r="B2733" s="2"/>
      <c r="C2733" s="2"/>
      <c r="D2733" s="2"/>
      <c r="E2733" s="3"/>
      <c r="F2733" s="4"/>
      <c r="G2733" s="4"/>
      <c r="H2733" s="4"/>
      <c r="I2733" s="4"/>
      <c r="J2733" s="6"/>
      <c r="K2733" s="7"/>
      <c r="L2733" s="8"/>
      <c r="O2733" s="10"/>
    </row>
    <row r="2734" ht="14.25" customHeight="1">
      <c r="A2734" s="1"/>
      <c r="B2734" s="2"/>
      <c r="C2734" s="2"/>
      <c r="D2734" s="2"/>
      <c r="E2734" s="3"/>
      <c r="F2734" s="4"/>
      <c r="G2734" s="4"/>
      <c r="H2734" s="14"/>
      <c r="I2734" s="4"/>
      <c r="J2734" s="6"/>
      <c r="K2734" s="7"/>
      <c r="L2734" s="8"/>
      <c r="O2734" s="10"/>
    </row>
    <row r="2735" ht="14.25" customHeight="1">
      <c r="A2735" s="1"/>
      <c r="B2735" s="2"/>
      <c r="C2735" s="2"/>
      <c r="D2735" s="2"/>
      <c r="E2735" s="3"/>
      <c r="F2735" s="4"/>
      <c r="G2735" s="4"/>
      <c r="H2735" s="14"/>
      <c r="I2735" s="4"/>
      <c r="J2735" s="6"/>
      <c r="K2735" s="7"/>
      <c r="L2735" s="8"/>
      <c r="O2735" s="10"/>
    </row>
    <row r="2736" ht="14.25" customHeight="1">
      <c r="A2736" s="1"/>
      <c r="B2736" s="2"/>
      <c r="C2736" s="2"/>
      <c r="D2736" s="2"/>
      <c r="E2736" s="3"/>
      <c r="F2736" s="4"/>
      <c r="G2736" s="4"/>
      <c r="H2736" s="4"/>
      <c r="I2736" s="4"/>
      <c r="J2736" s="6"/>
      <c r="K2736" s="7"/>
      <c r="L2736" s="8"/>
      <c r="O2736" s="10"/>
    </row>
    <row r="2737" ht="14.25" customHeight="1">
      <c r="A2737" s="1"/>
      <c r="B2737" s="2"/>
      <c r="C2737" s="2"/>
      <c r="D2737" s="2"/>
      <c r="E2737" s="3"/>
      <c r="F2737" s="4"/>
      <c r="G2737" s="4"/>
      <c r="H2737" s="14"/>
      <c r="I2737" s="4"/>
      <c r="J2737" s="6"/>
      <c r="K2737" s="7"/>
      <c r="L2737" s="8"/>
      <c r="O2737" s="10"/>
    </row>
    <row r="2738" ht="14.25" customHeight="1">
      <c r="A2738" s="1"/>
      <c r="B2738" s="2"/>
      <c r="C2738" s="2"/>
      <c r="D2738" s="2"/>
      <c r="E2738" s="3"/>
      <c r="F2738" s="4"/>
      <c r="G2738" s="4"/>
      <c r="H2738" s="14"/>
      <c r="I2738" s="4"/>
      <c r="J2738" s="6"/>
      <c r="K2738" s="7"/>
      <c r="L2738" s="8"/>
      <c r="O2738" s="10"/>
    </row>
    <row r="2739" ht="14.25" customHeight="1">
      <c r="A2739" s="1"/>
      <c r="B2739" s="2"/>
      <c r="C2739" s="2"/>
      <c r="D2739" s="2"/>
      <c r="E2739" s="3"/>
      <c r="F2739" s="4"/>
      <c r="G2739" s="4"/>
      <c r="H2739" s="4"/>
      <c r="I2739" s="4"/>
      <c r="J2739" s="6"/>
      <c r="K2739" s="7"/>
      <c r="L2739" s="8"/>
      <c r="O2739" s="10"/>
    </row>
    <row r="2740" ht="14.25" customHeight="1">
      <c r="A2740" s="1"/>
      <c r="B2740" s="2"/>
      <c r="C2740" s="2"/>
      <c r="D2740" s="2"/>
      <c r="E2740" s="3"/>
      <c r="F2740" s="4"/>
      <c r="G2740" s="4"/>
      <c r="H2740" s="4"/>
      <c r="I2740" s="4"/>
      <c r="J2740" s="6"/>
      <c r="K2740" s="7"/>
      <c r="L2740" s="8"/>
      <c r="O2740" s="10"/>
    </row>
    <row r="2741" ht="14.25" customHeight="1">
      <c r="A2741" s="1"/>
      <c r="B2741" s="2"/>
      <c r="C2741" s="2"/>
      <c r="D2741" s="2"/>
      <c r="E2741" s="3"/>
      <c r="F2741" s="4"/>
      <c r="G2741" s="4"/>
      <c r="H2741" s="14"/>
      <c r="I2741" s="4"/>
      <c r="J2741" s="6"/>
      <c r="K2741" s="7"/>
      <c r="L2741" s="8"/>
      <c r="O2741" s="10"/>
    </row>
    <row r="2742" ht="14.25" customHeight="1">
      <c r="A2742" s="1"/>
      <c r="B2742" s="2"/>
      <c r="C2742" s="2"/>
      <c r="D2742" s="2"/>
      <c r="E2742" s="3"/>
      <c r="F2742" s="4"/>
      <c r="G2742" s="4"/>
      <c r="H2742" s="4"/>
      <c r="I2742" s="4"/>
      <c r="J2742" s="6"/>
      <c r="K2742" s="7"/>
      <c r="L2742" s="8"/>
      <c r="O2742" s="10"/>
    </row>
    <row r="2743" ht="14.25" customHeight="1">
      <c r="A2743" s="1"/>
      <c r="B2743" s="2"/>
      <c r="C2743" s="2"/>
      <c r="D2743" s="2"/>
      <c r="E2743" s="3"/>
      <c r="F2743" s="4"/>
      <c r="G2743" s="4"/>
      <c r="H2743" s="14"/>
      <c r="I2743" s="4"/>
      <c r="J2743" s="6"/>
      <c r="K2743" s="7"/>
      <c r="L2743" s="8"/>
      <c r="O2743" s="10"/>
    </row>
    <row r="2744" ht="14.25" customHeight="1">
      <c r="A2744" s="1"/>
      <c r="B2744" s="2"/>
      <c r="C2744" s="2"/>
      <c r="D2744" s="2"/>
      <c r="E2744" s="3"/>
      <c r="F2744" s="4"/>
      <c r="G2744" s="4"/>
      <c r="H2744" s="14"/>
      <c r="I2744" s="4"/>
      <c r="J2744" s="6"/>
      <c r="K2744" s="7"/>
      <c r="L2744" s="8"/>
      <c r="O2744" s="10"/>
    </row>
    <row r="2745" ht="14.25" customHeight="1">
      <c r="A2745" s="1"/>
      <c r="B2745" s="2"/>
      <c r="C2745" s="2"/>
      <c r="D2745" s="2"/>
      <c r="E2745" s="3"/>
      <c r="F2745" s="4"/>
      <c r="G2745" s="4"/>
      <c r="H2745" s="14"/>
      <c r="I2745" s="4"/>
      <c r="J2745" s="6"/>
      <c r="K2745" s="7"/>
      <c r="L2745" s="8"/>
      <c r="O2745" s="10"/>
    </row>
    <row r="2746" ht="14.25" customHeight="1">
      <c r="A2746" s="1"/>
      <c r="B2746" s="2"/>
      <c r="C2746" s="2"/>
      <c r="D2746" s="2"/>
      <c r="E2746" s="3"/>
      <c r="F2746" s="4"/>
      <c r="G2746" s="4"/>
      <c r="H2746" s="14"/>
      <c r="I2746" s="4"/>
      <c r="J2746" s="6"/>
      <c r="K2746" s="7"/>
      <c r="L2746" s="8"/>
      <c r="O2746" s="10"/>
    </row>
    <row r="2747" ht="14.25" customHeight="1">
      <c r="A2747" s="1"/>
      <c r="B2747" s="2"/>
      <c r="C2747" s="2"/>
      <c r="D2747" s="2"/>
      <c r="E2747" s="3"/>
      <c r="F2747" s="4"/>
      <c r="G2747" s="4"/>
      <c r="H2747" s="14"/>
      <c r="I2747" s="4"/>
      <c r="J2747" s="6"/>
      <c r="K2747" s="7"/>
      <c r="L2747" s="8"/>
      <c r="O2747" s="10"/>
    </row>
    <row r="2748" ht="14.25" customHeight="1">
      <c r="A2748" s="1"/>
      <c r="B2748" s="2"/>
      <c r="C2748" s="2"/>
      <c r="D2748" s="2"/>
      <c r="E2748" s="3"/>
      <c r="F2748" s="4"/>
      <c r="G2748" s="4"/>
      <c r="H2748" s="4"/>
      <c r="I2748" s="4"/>
      <c r="J2748" s="6"/>
      <c r="K2748" s="7"/>
      <c r="L2748" s="8"/>
      <c r="O2748" s="10"/>
    </row>
    <row r="2749" ht="14.25" customHeight="1">
      <c r="A2749" s="1"/>
      <c r="B2749" s="2"/>
      <c r="C2749" s="2"/>
      <c r="D2749" s="2"/>
      <c r="E2749" s="3"/>
      <c r="F2749" s="4"/>
      <c r="G2749" s="4"/>
      <c r="H2749" s="4"/>
      <c r="I2749" s="4"/>
      <c r="J2749" s="6"/>
      <c r="K2749" s="7"/>
      <c r="L2749" s="8"/>
      <c r="O2749" s="10"/>
    </row>
    <row r="2750" ht="14.25" customHeight="1">
      <c r="A2750" s="1"/>
      <c r="B2750" s="2"/>
      <c r="C2750" s="2"/>
      <c r="D2750" s="2"/>
      <c r="E2750" s="3"/>
      <c r="F2750" s="4"/>
      <c r="G2750" s="4"/>
      <c r="H2750" s="14"/>
      <c r="I2750" s="4"/>
      <c r="J2750" s="6"/>
      <c r="K2750" s="7"/>
      <c r="L2750" s="8"/>
      <c r="O2750" s="10"/>
    </row>
    <row r="2751" ht="14.25" customHeight="1">
      <c r="A2751" s="1"/>
      <c r="B2751" s="2"/>
      <c r="C2751" s="2"/>
      <c r="D2751" s="2"/>
      <c r="E2751" s="3"/>
      <c r="F2751" s="4"/>
      <c r="G2751" s="4"/>
      <c r="H2751" s="14"/>
      <c r="I2751" s="4"/>
      <c r="J2751" s="6"/>
      <c r="K2751" s="7"/>
      <c r="L2751" s="8"/>
      <c r="O2751" s="10"/>
    </row>
    <row r="2752" ht="14.25" customHeight="1">
      <c r="A2752" s="1"/>
      <c r="B2752" s="2"/>
      <c r="C2752" s="2"/>
      <c r="D2752" s="2"/>
      <c r="E2752" s="3"/>
      <c r="F2752" s="4"/>
      <c r="G2752" s="4"/>
      <c r="H2752" s="14"/>
      <c r="I2752" s="4"/>
      <c r="J2752" s="6"/>
      <c r="K2752" s="7"/>
      <c r="L2752" s="8"/>
      <c r="O2752" s="10"/>
    </row>
    <row r="2753" ht="14.25" customHeight="1">
      <c r="A2753" s="1"/>
      <c r="B2753" s="2"/>
      <c r="C2753" s="2"/>
      <c r="D2753" s="2"/>
      <c r="E2753" s="3"/>
      <c r="F2753" s="4"/>
      <c r="G2753" s="4"/>
      <c r="H2753" s="14"/>
      <c r="I2753" s="4"/>
      <c r="J2753" s="6"/>
      <c r="K2753" s="7"/>
      <c r="L2753" s="8"/>
      <c r="O2753" s="10"/>
    </row>
    <row r="2754" ht="14.25" customHeight="1">
      <c r="A2754" s="1"/>
      <c r="B2754" s="2"/>
      <c r="C2754" s="2"/>
      <c r="D2754" s="2"/>
      <c r="E2754" s="3"/>
      <c r="F2754" s="4"/>
      <c r="G2754" s="4"/>
      <c r="H2754" s="14"/>
      <c r="I2754" s="4"/>
      <c r="J2754" s="6"/>
      <c r="K2754" s="7"/>
      <c r="L2754" s="8"/>
      <c r="O2754" s="10"/>
    </row>
    <row r="2755" ht="14.25" customHeight="1">
      <c r="A2755" s="1"/>
      <c r="B2755" s="2"/>
      <c r="C2755" s="2"/>
      <c r="D2755" s="2"/>
      <c r="E2755" s="3"/>
      <c r="F2755" s="4"/>
      <c r="G2755" s="4"/>
      <c r="H2755" s="14"/>
      <c r="I2755" s="4"/>
      <c r="J2755" s="6"/>
      <c r="K2755" s="7"/>
      <c r="L2755" s="8"/>
      <c r="O2755" s="10"/>
    </row>
    <row r="2756" ht="14.25" customHeight="1">
      <c r="A2756" s="1"/>
      <c r="B2756" s="2"/>
      <c r="C2756" s="2"/>
      <c r="D2756" s="2"/>
      <c r="E2756" s="3"/>
      <c r="F2756" s="4"/>
      <c r="G2756" s="4"/>
      <c r="H2756" s="14"/>
      <c r="I2756" s="4"/>
      <c r="J2756" s="6"/>
      <c r="K2756" s="7"/>
      <c r="L2756" s="8"/>
      <c r="O2756" s="10"/>
    </row>
    <row r="2757" ht="14.25" customHeight="1">
      <c r="A2757" s="1"/>
      <c r="B2757" s="2"/>
      <c r="C2757" s="2"/>
      <c r="D2757" s="2"/>
      <c r="E2757" s="3"/>
      <c r="F2757" s="4"/>
      <c r="G2757" s="4"/>
      <c r="H2757" s="14"/>
      <c r="I2757" s="4"/>
      <c r="J2757" s="6"/>
      <c r="K2757" s="7"/>
      <c r="L2757" s="8"/>
      <c r="O2757" s="10"/>
    </row>
    <row r="2758" ht="14.25" customHeight="1">
      <c r="A2758" s="1"/>
      <c r="B2758" s="2"/>
      <c r="C2758" s="2"/>
      <c r="D2758" s="2"/>
      <c r="E2758" s="3"/>
      <c r="F2758" s="4"/>
      <c r="G2758" s="4"/>
      <c r="H2758" s="4"/>
      <c r="I2758" s="4"/>
      <c r="J2758" s="6"/>
      <c r="K2758" s="7"/>
      <c r="L2758" s="8"/>
      <c r="O2758" s="10"/>
    </row>
    <row r="2759" ht="14.25" customHeight="1">
      <c r="A2759" s="1"/>
      <c r="B2759" s="2"/>
      <c r="C2759" s="2"/>
      <c r="D2759" s="2"/>
      <c r="E2759" s="3"/>
      <c r="F2759" s="4"/>
      <c r="G2759" s="4"/>
      <c r="H2759" s="14"/>
      <c r="I2759" s="4"/>
      <c r="J2759" s="6"/>
      <c r="K2759" s="7"/>
      <c r="L2759" s="8"/>
      <c r="O2759" s="10"/>
    </row>
    <row r="2760" ht="14.25" customHeight="1">
      <c r="A2760" s="1"/>
      <c r="B2760" s="2"/>
      <c r="C2760" s="2"/>
      <c r="D2760" s="2"/>
      <c r="E2760" s="3"/>
      <c r="F2760" s="4"/>
      <c r="G2760" s="4"/>
      <c r="H2760" s="14"/>
      <c r="I2760" s="4"/>
      <c r="J2760" s="6"/>
      <c r="K2760" s="7"/>
      <c r="L2760" s="8"/>
      <c r="O2760" s="10"/>
    </row>
    <row r="2761" ht="14.25" customHeight="1">
      <c r="A2761" s="1"/>
      <c r="B2761" s="2"/>
      <c r="C2761" s="2"/>
      <c r="D2761" s="2"/>
      <c r="E2761" s="3"/>
      <c r="F2761" s="4"/>
      <c r="G2761" s="4"/>
      <c r="H2761" s="14"/>
      <c r="I2761" s="4"/>
      <c r="J2761" s="6"/>
      <c r="K2761" s="7"/>
      <c r="L2761" s="8"/>
      <c r="O2761" s="10"/>
    </row>
    <row r="2762" ht="14.25" customHeight="1">
      <c r="A2762" s="1"/>
      <c r="B2762" s="2"/>
      <c r="C2762" s="2"/>
      <c r="D2762" s="2"/>
      <c r="E2762" s="3"/>
      <c r="F2762" s="4"/>
      <c r="G2762" s="4"/>
      <c r="H2762" s="14"/>
      <c r="I2762" s="4"/>
      <c r="J2762" s="6"/>
      <c r="K2762" s="7"/>
      <c r="L2762" s="8"/>
      <c r="O2762" s="10"/>
    </row>
    <row r="2763" ht="14.25" customHeight="1">
      <c r="A2763" s="1"/>
      <c r="B2763" s="2"/>
      <c r="C2763" s="2"/>
      <c r="D2763" s="2"/>
      <c r="E2763" s="3"/>
      <c r="F2763" s="4"/>
      <c r="G2763" s="4"/>
      <c r="H2763" s="14"/>
      <c r="I2763" s="4"/>
      <c r="J2763" s="6"/>
      <c r="K2763" s="7"/>
      <c r="L2763" s="8"/>
      <c r="O2763" s="10"/>
    </row>
    <row r="2764" ht="14.25" customHeight="1">
      <c r="A2764" s="1"/>
      <c r="B2764" s="2"/>
      <c r="C2764" s="2"/>
      <c r="D2764" s="2"/>
      <c r="E2764" s="3"/>
      <c r="F2764" s="4"/>
      <c r="G2764" s="4"/>
      <c r="H2764" s="14"/>
      <c r="I2764" s="4"/>
      <c r="J2764" s="6"/>
      <c r="K2764" s="7"/>
      <c r="L2764" s="8"/>
      <c r="O2764" s="10"/>
    </row>
    <row r="2765" ht="14.25" customHeight="1">
      <c r="A2765" s="1"/>
      <c r="B2765" s="2"/>
      <c r="C2765" s="2"/>
      <c r="D2765" s="2"/>
      <c r="E2765" s="3"/>
      <c r="F2765" s="4"/>
      <c r="G2765" s="4"/>
      <c r="H2765" s="14"/>
      <c r="I2765" s="4"/>
      <c r="J2765" s="6"/>
      <c r="K2765" s="7"/>
      <c r="L2765" s="8"/>
      <c r="O2765" s="10"/>
    </row>
    <row r="2766" ht="14.25" customHeight="1">
      <c r="A2766" s="1"/>
      <c r="B2766" s="2"/>
      <c r="C2766" s="2"/>
      <c r="D2766" s="2"/>
      <c r="E2766" s="3"/>
      <c r="F2766" s="4"/>
      <c r="G2766" s="4"/>
      <c r="H2766" s="4"/>
      <c r="I2766" s="4"/>
      <c r="J2766" s="6"/>
      <c r="K2766" s="7"/>
      <c r="L2766" s="8"/>
      <c r="O2766" s="10"/>
    </row>
    <row r="2767" ht="14.25" customHeight="1">
      <c r="A2767" s="1"/>
      <c r="B2767" s="2"/>
      <c r="C2767" s="2"/>
      <c r="D2767" s="2"/>
      <c r="E2767" s="3"/>
      <c r="F2767" s="4"/>
      <c r="G2767" s="4"/>
      <c r="H2767" s="14"/>
      <c r="I2767" s="4"/>
      <c r="J2767" s="6"/>
      <c r="K2767" s="7"/>
      <c r="L2767" s="8"/>
      <c r="O2767" s="10"/>
    </row>
    <row r="2768" ht="14.25" customHeight="1">
      <c r="A2768" s="1"/>
      <c r="B2768" s="2"/>
      <c r="C2768" s="2"/>
      <c r="D2768" s="2"/>
      <c r="E2768" s="3"/>
      <c r="F2768" s="4"/>
      <c r="G2768" s="4"/>
      <c r="H2768" s="14"/>
      <c r="I2768" s="4"/>
      <c r="J2768" s="6"/>
      <c r="K2768" s="7"/>
      <c r="L2768" s="8"/>
      <c r="O2768" s="10"/>
    </row>
    <row r="2769" ht="14.25" customHeight="1">
      <c r="A2769" s="1"/>
      <c r="B2769" s="2"/>
      <c r="C2769" s="2"/>
      <c r="D2769" s="2"/>
      <c r="E2769" s="3"/>
      <c r="F2769" s="4"/>
      <c r="G2769" s="4"/>
      <c r="H2769" s="14"/>
      <c r="I2769" s="4"/>
      <c r="J2769" s="6"/>
      <c r="K2769" s="7"/>
      <c r="L2769" s="8"/>
      <c r="O2769" s="10"/>
    </row>
    <row r="2770" ht="14.25" customHeight="1">
      <c r="A2770" s="1"/>
      <c r="B2770" s="2"/>
      <c r="C2770" s="2"/>
      <c r="D2770" s="2"/>
      <c r="E2770" s="3"/>
      <c r="F2770" s="4"/>
      <c r="G2770" s="4"/>
      <c r="H2770" s="14"/>
      <c r="I2770" s="4"/>
      <c r="J2770" s="6"/>
      <c r="K2770" s="7"/>
      <c r="L2770" s="8"/>
      <c r="O2770" s="10"/>
    </row>
    <row r="2771" ht="14.25" customHeight="1">
      <c r="A2771" s="1"/>
      <c r="B2771" s="2"/>
      <c r="C2771" s="2"/>
      <c r="D2771" s="2"/>
      <c r="E2771" s="3"/>
      <c r="F2771" s="4"/>
      <c r="G2771" s="4"/>
      <c r="H2771" s="14"/>
      <c r="I2771" s="4"/>
      <c r="J2771" s="6"/>
      <c r="K2771" s="7"/>
      <c r="L2771" s="8"/>
      <c r="O2771" s="10"/>
    </row>
    <row r="2772" ht="14.25" customHeight="1">
      <c r="A2772" s="1"/>
      <c r="B2772" s="2"/>
      <c r="C2772" s="2"/>
      <c r="D2772" s="2"/>
      <c r="E2772" s="3"/>
      <c r="F2772" s="4"/>
      <c r="G2772" s="4"/>
      <c r="H2772" s="14"/>
      <c r="I2772" s="4"/>
      <c r="J2772" s="6"/>
      <c r="K2772" s="7"/>
      <c r="L2772" s="8"/>
      <c r="O2772" s="10"/>
    </row>
    <row r="2773" ht="14.25" customHeight="1">
      <c r="A2773" s="1"/>
      <c r="B2773" s="2"/>
      <c r="C2773" s="2"/>
      <c r="D2773" s="2"/>
      <c r="E2773" s="3"/>
      <c r="F2773" s="4"/>
      <c r="G2773" s="4"/>
      <c r="H2773" s="14"/>
      <c r="I2773" s="4"/>
      <c r="J2773" s="6"/>
      <c r="K2773" s="7"/>
      <c r="L2773" s="8"/>
      <c r="O2773" s="10"/>
    </row>
    <row r="2774" ht="14.25" customHeight="1">
      <c r="A2774" s="1"/>
      <c r="B2774" s="2"/>
      <c r="C2774" s="2"/>
      <c r="D2774" s="2"/>
      <c r="E2774" s="3"/>
      <c r="F2774" s="4"/>
      <c r="G2774" s="4"/>
      <c r="H2774" s="4"/>
      <c r="I2774" s="4"/>
      <c r="J2774" s="6"/>
      <c r="K2774" s="7"/>
      <c r="L2774" s="8"/>
      <c r="O2774" s="10"/>
    </row>
    <row r="2775" ht="14.25" customHeight="1">
      <c r="A2775" s="1"/>
      <c r="B2775" s="2"/>
      <c r="C2775" s="2"/>
      <c r="D2775" s="2"/>
      <c r="E2775" s="3"/>
      <c r="F2775" s="4"/>
      <c r="G2775" s="4"/>
      <c r="H2775" s="4"/>
      <c r="I2775" s="4"/>
      <c r="J2775" s="6"/>
      <c r="K2775" s="7"/>
      <c r="L2775" s="8"/>
      <c r="O2775" s="10"/>
    </row>
    <row r="2776" ht="14.25" customHeight="1">
      <c r="A2776" s="1"/>
      <c r="B2776" s="2"/>
      <c r="C2776" s="2"/>
      <c r="D2776" s="2"/>
      <c r="E2776" s="3"/>
      <c r="F2776" s="4"/>
      <c r="G2776" s="4"/>
      <c r="H2776" s="14"/>
      <c r="I2776" s="4"/>
      <c r="J2776" s="6"/>
      <c r="K2776" s="7"/>
      <c r="L2776" s="8"/>
      <c r="O2776" s="10"/>
    </row>
    <row r="2777" ht="14.25" customHeight="1">
      <c r="A2777" s="1"/>
      <c r="B2777" s="2"/>
      <c r="C2777" s="2"/>
      <c r="D2777" s="2"/>
      <c r="E2777" s="3"/>
      <c r="F2777" s="4"/>
      <c r="G2777" s="4"/>
      <c r="H2777" s="14"/>
      <c r="I2777" s="4"/>
      <c r="J2777" s="6"/>
      <c r="K2777" s="7"/>
      <c r="L2777" s="8"/>
      <c r="O2777" s="10"/>
    </row>
    <row r="2778" ht="14.25" customHeight="1">
      <c r="A2778" s="1"/>
      <c r="B2778" s="2"/>
      <c r="C2778" s="2"/>
      <c r="D2778" s="2"/>
      <c r="E2778" s="3"/>
      <c r="F2778" s="4"/>
      <c r="G2778" s="4"/>
      <c r="H2778" s="14"/>
      <c r="I2778" s="4"/>
      <c r="J2778" s="6"/>
      <c r="K2778" s="7"/>
      <c r="L2778" s="8"/>
      <c r="O2778" s="10"/>
    </row>
    <row r="2779" ht="14.25" customHeight="1">
      <c r="A2779" s="1"/>
      <c r="B2779" s="2"/>
      <c r="C2779" s="2"/>
      <c r="D2779" s="2"/>
      <c r="E2779" s="3"/>
      <c r="F2779" s="4"/>
      <c r="G2779" s="4"/>
      <c r="H2779" s="14"/>
      <c r="I2779" s="4"/>
      <c r="J2779" s="6"/>
      <c r="K2779" s="7"/>
      <c r="L2779" s="8"/>
      <c r="O2779" s="10"/>
    </row>
    <row r="2780" ht="14.25" customHeight="1">
      <c r="A2780" s="1"/>
      <c r="B2780" s="2"/>
      <c r="C2780" s="2"/>
      <c r="D2780" s="2"/>
      <c r="E2780" s="3"/>
      <c r="F2780" s="4"/>
      <c r="G2780" s="4"/>
      <c r="H2780" s="14"/>
      <c r="I2780" s="4"/>
      <c r="J2780" s="6"/>
      <c r="K2780" s="7"/>
      <c r="L2780" s="8"/>
      <c r="O2780" s="10"/>
    </row>
    <row r="2781" ht="14.25" customHeight="1">
      <c r="A2781" s="1"/>
      <c r="B2781" s="2"/>
      <c r="C2781" s="2"/>
      <c r="D2781" s="2"/>
      <c r="E2781" s="3"/>
      <c r="F2781" s="4"/>
      <c r="G2781" s="4"/>
      <c r="H2781" s="14"/>
      <c r="I2781" s="4"/>
      <c r="J2781" s="6"/>
      <c r="K2781" s="7"/>
      <c r="L2781" s="8"/>
      <c r="O2781" s="10"/>
    </row>
    <row r="2782" ht="14.25" customHeight="1">
      <c r="A2782" s="1"/>
      <c r="B2782" s="2"/>
      <c r="C2782" s="2"/>
      <c r="D2782" s="2"/>
      <c r="E2782" s="3"/>
      <c r="F2782" s="4"/>
      <c r="G2782" s="4"/>
      <c r="H2782" s="14"/>
      <c r="I2782" s="4"/>
      <c r="J2782" s="6"/>
      <c r="K2782" s="7"/>
      <c r="L2782" s="8"/>
      <c r="O2782" s="10"/>
    </row>
    <row r="2783" ht="14.25" customHeight="1">
      <c r="A2783" s="1"/>
      <c r="B2783" s="2"/>
      <c r="C2783" s="2"/>
      <c r="D2783" s="2"/>
      <c r="E2783" s="3"/>
      <c r="F2783" s="4"/>
      <c r="G2783" s="4"/>
      <c r="H2783" s="4"/>
      <c r="I2783" s="4"/>
      <c r="J2783" s="6"/>
      <c r="K2783" s="7"/>
      <c r="L2783" s="8"/>
      <c r="O2783" s="10"/>
    </row>
    <row r="2784" ht="14.25" customHeight="1">
      <c r="A2784" s="1"/>
      <c r="B2784" s="2"/>
      <c r="C2784" s="2"/>
      <c r="D2784" s="2"/>
      <c r="E2784" s="3"/>
      <c r="F2784" s="4"/>
      <c r="G2784" s="4"/>
      <c r="H2784" s="14"/>
      <c r="I2784" s="4"/>
      <c r="J2784" s="6"/>
      <c r="K2784" s="7"/>
      <c r="L2784" s="8"/>
      <c r="O2784" s="10"/>
    </row>
    <row r="2785" ht="14.25" customHeight="1">
      <c r="A2785" s="1"/>
      <c r="B2785" s="2"/>
      <c r="C2785" s="2"/>
      <c r="D2785" s="2"/>
      <c r="E2785" s="3"/>
      <c r="F2785" s="4"/>
      <c r="G2785" s="4"/>
      <c r="H2785" s="14"/>
      <c r="I2785" s="4"/>
      <c r="J2785" s="6"/>
      <c r="K2785" s="7"/>
      <c r="L2785" s="8"/>
      <c r="O2785" s="10"/>
    </row>
    <row r="2786" ht="14.25" customHeight="1">
      <c r="A2786" s="1"/>
      <c r="B2786" s="2"/>
      <c r="C2786" s="2"/>
      <c r="D2786" s="2"/>
      <c r="E2786" s="3"/>
      <c r="F2786" s="4"/>
      <c r="G2786" s="4"/>
      <c r="H2786" s="14"/>
      <c r="I2786" s="4"/>
      <c r="J2786" s="6"/>
      <c r="K2786" s="7"/>
      <c r="L2786" s="8"/>
      <c r="O2786" s="10"/>
    </row>
    <row r="2787" ht="14.25" customHeight="1">
      <c r="A2787" s="1"/>
      <c r="B2787" s="2"/>
      <c r="C2787" s="2"/>
      <c r="D2787" s="2"/>
      <c r="E2787" s="3"/>
      <c r="F2787" s="4"/>
      <c r="G2787" s="4"/>
      <c r="H2787" s="14"/>
      <c r="I2787" s="4"/>
      <c r="J2787" s="6"/>
      <c r="K2787" s="7"/>
      <c r="L2787" s="8"/>
      <c r="O2787" s="10"/>
    </row>
    <row r="2788" ht="14.25" customHeight="1">
      <c r="A2788" s="1"/>
      <c r="B2788" s="2"/>
      <c r="C2788" s="2"/>
      <c r="D2788" s="2"/>
      <c r="E2788" s="3"/>
      <c r="F2788" s="4"/>
      <c r="G2788" s="4"/>
      <c r="H2788" s="14"/>
      <c r="I2788" s="4"/>
      <c r="J2788" s="6"/>
      <c r="K2788" s="7"/>
      <c r="L2788" s="8"/>
      <c r="O2788" s="10"/>
    </row>
    <row r="2789" ht="14.25" customHeight="1">
      <c r="A2789" s="1"/>
      <c r="B2789" s="2"/>
      <c r="C2789" s="2"/>
      <c r="D2789" s="2"/>
      <c r="E2789" s="3"/>
      <c r="F2789" s="4"/>
      <c r="G2789" s="4"/>
      <c r="H2789" s="14"/>
      <c r="I2789" s="4"/>
      <c r="J2789" s="6"/>
      <c r="K2789" s="7"/>
      <c r="L2789" s="8"/>
      <c r="O2789" s="10"/>
    </row>
    <row r="2790" ht="14.25" customHeight="1">
      <c r="A2790" s="1"/>
      <c r="B2790" s="2"/>
      <c r="C2790" s="2"/>
      <c r="D2790" s="2"/>
      <c r="E2790" s="3"/>
      <c r="F2790" s="4"/>
      <c r="G2790" s="4"/>
      <c r="H2790" s="4"/>
      <c r="I2790" s="4"/>
      <c r="J2790" s="6"/>
      <c r="K2790" s="7"/>
      <c r="L2790" s="8"/>
      <c r="O2790" s="10"/>
    </row>
    <row r="2791" ht="14.25" customHeight="1">
      <c r="A2791" s="1"/>
      <c r="B2791" s="2"/>
      <c r="C2791" s="2"/>
      <c r="D2791" s="2"/>
      <c r="E2791" s="3"/>
      <c r="F2791" s="4"/>
      <c r="G2791" s="4"/>
      <c r="H2791" s="14"/>
      <c r="I2791" s="4"/>
      <c r="J2791" s="6"/>
      <c r="K2791" s="7"/>
      <c r="L2791" s="8"/>
      <c r="O2791" s="10"/>
    </row>
    <row r="2792" ht="14.25" customHeight="1">
      <c r="A2792" s="1"/>
      <c r="B2792" s="2"/>
      <c r="C2792" s="2"/>
      <c r="D2792" s="2"/>
      <c r="E2792" s="3"/>
      <c r="F2792" s="4"/>
      <c r="G2792" s="4"/>
      <c r="H2792" s="14"/>
      <c r="I2792" s="4"/>
      <c r="J2792" s="6"/>
      <c r="K2792" s="7"/>
      <c r="L2792" s="8"/>
      <c r="O2792" s="10"/>
    </row>
    <row r="2793" ht="14.25" customHeight="1">
      <c r="A2793" s="1"/>
      <c r="B2793" s="2"/>
      <c r="C2793" s="2"/>
      <c r="D2793" s="2"/>
      <c r="E2793" s="3"/>
      <c r="F2793" s="4"/>
      <c r="G2793" s="4"/>
      <c r="H2793" s="4"/>
      <c r="I2793" s="4"/>
      <c r="J2793" s="6"/>
      <c r="K2793" s="7"/>
      <c r="L2793" s="8"/>
      <c r="O2793" s="10"/>
    </row>
    <row r="2794" ht="14.25" customHeight="1">
      <c r="A2794" s="1"/>
      <c r="B2794" s="2"/>
      <c r="C2794" s="2"/>
      <c r="D2794" s="2"/>
      <c r="E2794" s="3"/>
      <c r="F2794" s="4"/>
      <c r="G2794" s="4"/>
      <c r="H2794" s="14"/>
      <c r="I2794" s="4"/>
      <c r="J2794" s="6"/>
      <c r="K2794" s="7"/>
      <c r="L2794" s="8"/>
      <c r="O2794" s="10"/>
    </row>
    <row r="2795" ht="14.25" customHeight="1">
      <c r="A2795" s="1"/>
      <c r="B2795" s="2"/>
      <c r="C2795" s="2"/>
      <c r="D2795" s="2"/>
      <c r="E2795" s="3"/>
      <c r="F2795" s="4"/>
      <c r="G2795" s="4"/>
      <c r="H2795" s="14"/>
      <c r="I2795" s="4"/>
      <c r="J2795" s="6"/>
      <c r="K2795" s="7"/>
      <c r="L2795" s="8"/>
      <c r="O2795" s="10"/>
    </row>
    <row r="2796" ht="14.25" customHeight="1">
      <c r="A2796" s="1"/>
      <c r="B2796" s="2"/>
      <c r="C2796" s="2"/>
      <c r="D2796" s="2"/>
      <c r="E2796" s="3"/>
      <c r="F2796" s="4"/>
      <c r="G2796" s="4"/>
      <c r="H2796" s="14"/>
      <c r="I2796" s="4"/>
      <c r="J2796" s="6"/>
      <c r="K2796" s="7"/>
      <c r="L2796" s="8"/>
      <c r="O2796" s="10"/>
    </row>
    <row r="2797" ht="14.25" customHeight="1">
      <c r="A2797" s="1"/>
      <c r="B2797" s="2"/>
      <c r="C2797" s="2"/>
      <c r="D2797" s="2"/>
      <c r="E2797" s="3"/>
      <c r="F2797" s="4"/>
      <c r="G2797" s="4"/>
      <c r="H2797" s="14"/>
      <c r="I2797" s="4"/>
      <c r="J2797" s="6"/>
      <c r="K2797" s="7"/>
      <c r="L2797" s="8"/>
      <c r="O2797" s="10"/>
    </row>
    <row r="2798" ht="14.25" customHeight="1">
      <c r="A2798" s="1"/>
      <c r="B2798" s="2"/>
      <c r="C2798" s="2"/>
      <c r="D2798" s="2"/>
      <c r="E2798" s="3"/>
      <c r="F2798" s="4"/>
      <c r="G2798" s="4"/>
      <c r="H2798" s="4"/>
      <c r="I2798" s="4"/>
      <c r="J2798" s="6"/>
      <c r="K2798" s="7"/>
      <c r="L2798" s="8"/>
      <c r="O2798" s="10"/>
    </row>
    <row r="2799" ht="14.25" customHeight="1">
      <c r="A2799" s="1"/>
      <c r="B2799" s="2"/>
      <c r="C2799" s="2"/>
      <c r="D2799" s="2"/>
      <c r="E2799" s="3"/>
      <c r="F2799" s="4"/>
      <c r="G2799" s="4"/>
      <c r="H2799" s="14"/>
      <c r="I2799" s="4"/>
      <c r="J2799" s="6"/>
      <c r="K2799" s="7"/>
      <c r="L2799" s="8"/>
      <c r="O2799" s="10"/>
    </row>
    <row r="2800" ht="14.25" customHeight="1">
      <c r="A2800" s="1"/>
      <c r="B2800" s="2"/>
      <c r="C2800" s="2"/>
      <c r="D2800" s="2"/>
      <c r="E2800" s="3"/>
      <c r="F2800" s="4"/>
      <c r="G2800" s="4"/>
      <c r="H2800" s="14"/>
      <c r="I2800" s="4"/>
      <c r="J2800" s="6"/>
      <c r="K2800" s="7"/>
      <c r="L2800" s="8"/>
      <c r="O2800" s="10"/>
    </row>
    <row r="2801" ht="14.25" customHeight="1">
      <c r="A2801" s="1"/>
      <c r="B2801" s="2"/>
      <c r="C2801" s="2"/>
      <c r="D2801" s="2"/>
      <c r="E2801" s="3"/>
      <c r="F2801" s="4"/>
      <c r="G2801" s="4"/>
      <c r="H2801" s="4"/>
      <c r="I2801" s="4"/>
      <c r="J2801" s="6"/>
      <c r="K2801" s="7"/>
      <c r="L2801" s="8"/>
      <c r="O2801" s="10"/>
    </row>
    <row r="2802" ht="14.25" customHeight="1">
      <c r="A2802" s="1"/>
      <c r="B2802" s="2"/>
      <c r="C2802" s="2"/>
      <c r="D2802" s="2"/>
      <c r="E2802" s="3"/>
      <c r="F2802" s="4"/>
      <c r="G2802" s="4"/>
      <c r="H2802" s="14"/>
      <c r="I2802" s="4"/>
      <c r="J2802" s="6"/>
      <c r="K2802" s="7"/>
      <c r="L2802" s="8"/>
      <c r="O2802" s="10"/>
    </row>
    <row r="2803" ht="14.25" customHeight="1">
      <c r="A2803" s="1"/>
      <c r="B2803" s="2"/>
      <c r="C2803" s="2"/>
      <c r="D2803" s="2"/>
      <c r="E2803" s="3"/>
      <c r="F2803" s="4"/>
      <c r="G2803" s="4"/>
      <c r="H2803" s="14"/>
      <c r="I2803" s="4"/>
      <c r="J2803" s="6"/>
      <c r="K2803" s="7"/>
      <c r="L2803" s="8"/>
      <c r="O2803" s="10"/>
    </row>
    <row r="2804" ht="14.25" customHeight="1">
      <c r="A2804" s="1"/>
      <c r="B2804" s="2"/>
      <c r="C2804" s="2"/>
      <c r="D2804" s="2"/>
      <c r="E2804" s="3"/>
      <c r="F2804" s="4"/>
      <c r="G2804" s="4"/>
      <c r="H2804" s="4"/>
      <c r="I2804" s="4"/>
      <c r="J2804" s="6"/>
      <c r="K2804" s="7"/>
      <c r="L2804" s="8"/>
      <c r="O2804" s="10"/>
    </row>
    <row r="2805" ht="14.25" customHeight="1">
      <c r="A2805" s="1"/>
      <c r="B2805" s="2"/>
      <c r="C2805" s="2"/>
      <c r="D2805" s="2"/>
      <c r="E2805" s="3"/>
      <c r="F2805" s="4"/>
      <c r="G2805" s="4"/>
      <c r="H2805" s="14"/>
      <c r="I2805" s="4"/>
      <c r="J2805" s="6"/>
      <c r="K2805" s="7"/>
      <c r="L2805" s="8"/>
      <c r="O2805" s="10"/>
    </row>
    <row r="2806" ht="14.25" customHeight="1">
      <c r="A2806" s="1"/>
      <c r="B2806" s="2"/>
      <c r="C2806" s="2"/>
      <c r="D2806" s="2"/>
      <c r="E2806" s="3"/>
      <c r="F2806" s="4"/>
      <c r="G2806" s="4"/>
      <c r="H2806" s="14"/>
      <c r="I2806" s="4"/>
      <c r="J2806" s="6"/>
      <c r="K2806" s="7"/>
      <c r="L2806" s="8"/>
      <c r="O2806" s="10"/>
    </row>
    <row r="2807" ht="14.25" customHeight="1">
      <c r="A2807" s="1"/>
      <c r="B2807" s="2"/>
      <c r="C2807" s="2"/>
      <c r="D2807" s="2"/>
      <c r="E2807" s="3"/>
      <c r="F2807" s="4"/>
      <c r="G2807" s="4"/>
      <c r="H2807" s="14"/>
      <c r="I2807" s="4"/>
      <c r="J2807" s="6"/>
      <c r="K2807" s="7"/>
      <c r="L2807" s="8"/>
      <c r="O2807" s="10"/>
    </row>
    <row r="2808" ht="14.25" customHeight="1">
      <c r="A2808" s="1"/>
      <c r="B2808" s="2"/>
      <c r="C2808" s="2"/>
      <c r="D2808" s="2"/>
      <c r="E2808" s="3"/>
      <c r="F2808" s="4"/>
      <c r="G2808" s="4"/>
      <c r="H2808" s="14"/>
      <c r="I2808" s="4"/>
      <c r="J2808" s="6"/>
      <c r="K2808" s="7"/>
      <c r="L2808" s="8"/>
      <c r="O2808" s="10"/>
    </row>
    <row r="2809" ht="14.25" customHeight="1">
      <c r="A2809" s="1"/>
      <c r="B2809" s="2"/>
      <c r="C2809" s="2"/>
      <c r="D2809" s="2"/>
      <c r="E2809" s="3"/>
      <c r="F2809" s="4"/>
      <c r="G2809" s="4"/>
      <c r="H2809" s="14"/>
      <c r="I2809" s="4"/>
      <c r="J2809" s="6"/>
      <c r="K2809" s="7"/>
      <c r="L2809" s="8"/>
      <c r="O2809" s="10"/>
    </row>
    <row r="2810" ht="14.25" customHeight="1">
      <c r="A2810" s="1"/>
      <c r="B2810" s="2"/>
      <c r="C2810" s="2"/>
      <c r="D2810" s="2"/>
      <c r="E2810" s="3"/>
      <c r="F2810" s="4"/>
      <c r="G2810" s="4"/>
      <c r="H2810" s="14"/>
      <c r="I2810" s="4"/>
      <c r="J2810" s="6"/>
      <c r="K2810" s="7"/>
      <c r="L2810" s="8"/>
      <c r="O2810" s="10"/>
    </row>
    <row r="2811" ht="14.25" customHeight="1">
      <c r="A2811" s="1"/>
      <c r="B2811" s="2"/>
      <c r="C2811" s="2"/>
      <c r="D2811" s="2"/>
      <c r="E2811" s="3"/>
      <c r="F2811" s="4"/>
      <c r="G2811" s="4"/>
      <c r="H2811" s="4"/>
      <c r="I2811" s="4"/>
      <c r="J2811" s="6"/>
      <c r="K2811" s="7"/>
      <c r="L2811" s="8"/>
      <c r="O2811" s="10"/>
    </row>
    <row r="2812" ht="14.25" customHeight="1">
      <c r="A2812" s="1"/>
      <c r="B2812" s="2"/>
      <c r="C2812" s="2"/>
      <c r="D2812" s="2"/>
      <c r="E2812" s="3"/>
      <c r="F2812" s="4"/>
      <c r="G2812" s="4"/>
      <c r="H2812" s="14"/>
      <c r="I2812" s="4"/>
      <c r="J2812" s="6"/>
      <c r="K2812" s="7"/>
      <c r="L2812" s="8"/>
      <c r="O2812" s="10"/>
    </row>
    <row r="2813" ht="14.25" customHeight="1">
      <c r="A2813" s="1"/>
      <c r="B2813" s="2"/>
      <c r="C2813" s="2"/>
      <c r="D2813" s="2"/>
      <c r="E2813" s="3"/>
      <c r="F2813" s="4"/>
      <c r="G2813" s="4"/>
      <c r="H2813" s="4"/>
      <c r="I2813" s="4"/>
      <c r="J2813" s="6"/>
      <c r="K2813" s="7"/>
      <c r="L2813" s="8"/>
      <c r="O2813" s="10"/>
    </row>
    <row r="2814" ht="14.25" customHeight="1">
      <c r="A2814" s="1"/>
      <c r="B2814" s="2"/>
      <c r="C2814" s="2"/>
      <c r="D2814" s="2"/>
      <c r="E2814" s="3"/>
      <c r="F2814" s="4"/>
      <c r="G2814" s="4"/>
      <c r="H2814" s="4"/>
      <c r="I2814" s="4"/>
      <c r="J2814" s="6"/>
      <c r="K2814" s="7"/>
      <c r="L2814" s="8"/>
      <c r="O2814" s="10"/>
    </row>
    <row r="2815" ht="14.25" customHeight="1">
      <c r="A2815" s="1"/>
      <c r="B2815" s="2"/>
      <c r="C2815" s="2"/>
      <c r="D2815" s="2"/>
      <c r="E2815" s="3"/>
      <c r="F2815" s="4"/>
      <c r="G2815" s="4"/>
      <c r="H2815" s="4"/>
      <c r="I2815" s="4"/>
      <c r="J2815" s="6"/>
      <c r="K2815" s="7"/>
      <c r="L2815" s="8"/>
      <c r="O2815" s="10"/>
    </row>
    <row r="2816" ht="14.25" customHeight="1">
      <c r="A2816" s="1"/>
      <c r="B2816" s="2"/>
      <c r="C2816" s="2"/>
      <c r="D2816" s="2"/>
      <c r="E2816" s="3"/>
      <c r="F2816" s="4"/>
      <c r="G2816" s="4"/>
      <c r="H2816" s="4"/>
      <c r="I2816" s="4"/>
      <c r="J2816" s="6"/>
      <c r="K2816" s="7"/>
      <c r="L2816" s="8"/>
      <c r="O2816" s="10"/>
    </row>
    <row r="2817" ht="14.25" customHeight="1">
      <c r="A2817" s="1"/>
      <c r="B2817" s="2"/>
      <c r="C2817" s="2"/>
      <c r="D2817" s="2"/>
      <c r="E2817" s="3"/>
      <c r="F2817" s="4"/>
      <c r="G2817" s="4"/>
      <c r="H2817" s="4"/>
      <c r="I2817" s="4"/>
      <c r="J2817" s="6"/>
      <c r="K2817" s="7"/>
      <c r="L2817" s="8"/>
      <c r="O2817" s="10"/>
    </row>
    <row r="2818" ht="14.25" customHeight="1">
      <c r="A2818" s="1"/>
      <c r="B2818" s="2"/>
      <c r="C2818" s="2"/>
      <c r="D2818" s="2"/>
      <c r="E2818" s="3"/>
      <c r="F2818" s="4"/>
      <c r="G2818" s="4"/>
      <c r="H2818" s="14"/>
      <c r="I2818" s="4"/>
      <c r="J2818" s="6"/>
      <c r="K2818" s="7"/>
      <c r="L2818" s="8"/>
      <c r="O2818" s="10"/>
    </row>
    <row r="2819" ht="14.25" customHeight="1">
      <c r="A2819" s="1"/>
      <c r="B2819" s="2"/>
      <c r="C2819" s="2"/>
      <c r="D2819" s="2"/>
      <c r="E2819" s="3"/>
      <c r="F2819" s="4"/>
      <c r="G2819" s="4"/>
      <c r="H2819" s="14"/>
      <c r="I2819" s="4"/>
      <c r="J2819" s="6"/>
      <c r="K2819" s="7"/>
      <c r="L2819" s="8"/>
      <c r="O2819" s="10"/>
    </row>
    <row r="2820" ht="14.25" customHeight="1">
      <c r="A2820" s="1"/>
      <c r="B2820" s="2"/>
      <c r="C2820" s="2"/>
      <c r="D2820" s="2"/>
      <c r="E2820" s="3"/>
      <c r="F2820" s="4"/>
      <c r="G2820" s="4"/>
      <c r="H2820" s="14"/>
      <c r="I2820" s="4"/>
      <c r="J2820" s="6"/>
      <c r="K2820" s="7"/>
      <c r="L2820" s="8"/>
      <c r="O2820" s="10"/>
    </row>
    <row r="2821" ht="14.25" customHeight="1">
      <c r="A2821" s="1"/>
      <c r="B2821" s="2"/>
      <c r="C2821" s="2"/>
      <c r="D2821" s="2"/>
      <c r="E2821" s="3"/>
      <c r="F2821" s="4"/>
      <c r="G2821" s="4"/>
      <c r="H2821" s="4"/>
      <c r="I2821" s="4"/>
      <c r="J2821" s="6"/>
      <c r="K2821" s="7"/>
      <c r="L2821" s="8"/>
      <c r="O2821" s="10"/>
    </row>
    <row r="2822" ht="14.25" customHeight="1">
      <c r="A2822" s="1"/>
      <c r="B2822" s="2"/>
      <c r="C2822" s="2"/>
      <c r="D2822" s="2"/>
      <c r="E2822" s="3"/>
      <c r="F2822" s="4"/>
      <c r="G2822" s="4"/>
      <c r="H2822" s="14"/>
      <c r="I2822" s="4"/>
      <c r="J2822" s="6"/>
      <c r="K2822" s="7"/>
      <c r="L2822" s="8"/>
      <c r="O2822" s="10"/>
    </row>
    <row r="2823" ht="14.25" customHeight="1">
      <c r="A2823" s="1"/>
      <c r="B2823" s="2"/>
      <c r="C2823" s="2"/>
      <c r="D2823" s="2"/>
      <c r="E2823" s="3"/>
      <c r="F2823" s="4"/>
      <c r="G2823" s="4"/>
      <c r="H2823" s="4"/>
      <c r="I2823" s="4"/>
      <c r="J2823" s="6"/>
      <c r="K2823" s="7"/>
      <c r="L2823" s="8"/>
      <c r="O2823" s="10"/>
    </row>
    <row r="2824" ht="14.25" customHeight="1">
      <c r="A2824" s="1"/>
      <c r="B2824" s="2"/>
      <c r="C2824" s="2"/>
      <c r="D2824" s="2"/>
      <c r="E2824" s="3"/>
      <c r="F2824" s="4"/>
      <c r="G2824" s="4"/>
      <c r="H2824" s="14"/>
      <c r="I2824" s="4"/>
      <c r="J2824" s="6"/>
      <c r="K2824" s="7"/>
      <c r="L2824" s="8"/>
      <c r="O2824" s="10"/>
    </row>
    <row r="2825" ht="14.25" customHeight="1">
      <c r="A2825" s="1"/>
      <c r="B2825" s="2"/>
      <c r="C2825" s="2"/>
      <c r="D2825" s="2"/>
      <c r="E2825" s="3"/>
      <c r="F2825" s="4"/>
      <c r="G2825" s="4"/>
      <c r="H2825" s="14"/>
      <c r="I2825" s="4"/>
      <c r="J2825" s="6"/>
      <c r="K2825" s="7"/>
      <c r="L2825" s="8"/>
      <c r="O2825" s="10"/>
    </row>
    <row r="2826" ht="14.25" customHeight="1">
      <c r="A2826" s="1"/>
      <c r="B2826" s="2"/>
      <c r="C2826" s="2"/>
      <c r="D2826" s="2"/>
      <c r="E2826" s="3"/>
      <c r="F2826" s="4"/>
      <c r="G2826" s="4"/>
      <c r="H2826" s="14"/>
      <c r="I2826" s="4"/>
      <c r="J2826" s="6"/>
      <c r="K2826" s="7"/>
      <c r="L2826" s="8"/>
      <c r="O2826" s="10"/>
    </row>
    <row r="2827" ht="14.25" customHeight="1">
      <c r="A2827" s="1"/>
      <c r="B2827" s="2"/>
      <c r="C2827" s="2"/>
      <c r="D2827" s="2"/>
      <c r="E2827" s="3"/>
      <c r="F2827" s="4"/>
      <c r="G2827" s="4"/>
      <c r="H2827" s="14"/>
      <c r="I2827" s="4"/>
      <c r="J2827" s="6"/>
      <c r="K2827" s="7"/>
      <c r="L2827" s="8"/>
      <c r="O2827" s="10"/>
    </row>
    <row r="2828" ht="14.25" customHeight="1">
      <c r="A2828" s="1"/>
      <c r="B2828" s="2"/>
      <c r="C2828" s="2"/>
      <c r="D2828" s="2"/>
      <c r="E2828" s="3"/>
      <c r="F2828" s="4"/>
      <c r="G2828" s="4"/>
      <c r="H2828" s="14"/>
      <c r="I2828" s="4"/>
      <c r="J2828" s="6"/>
      <c r="K2828" s="7"/>
      <c r="L2828" s="8"/>
      <c r="O2828" s="10"/>
    </row>
    <row r="2829" ht="14.25" customHeight="1">
      <c r="A2829" s="1"/>
      <c r="B2829" s="2"/>
      <c r="C2829" s="2"/>
      <c r="D2829" s="2"/>
      <c r="E2829" s="3"/>
      <c r="F2829" s="4"/>
      <c r="G2829" s="4"/>
      <c r="H2829" s="14"/>
      <c r="I2829" s="4"/>
      <c r="J2829" s="6"/>
      <c r="K2829" s="7"/>
      <c r="L2829" s="8"/>
      <c r="O2829" s="10"/>
    </row>
    <row r="2830" ht="14.25" customHeight="1">
      <c r="A2830" s="1"/>
      <c r="B2830" s="2"/>
      <c r="C2830" s="2"/>
      <c r="D2830" s="2"/>
      <c r="E2830" s="3"/>
      <c r="F2830" s="4"/>
      <c r="G2830" s="4"/>
      <c r="H2830" s="14"/>
      <c r="I2830" s="4"/>
      <c r="J2830" s="6"/>
      <c r="K2830" s="7"/>
      <c r="L2830" s="8"/>
      <c r="O2830" s="10"/>
    </row>
    <row r="2831" ht="14.25" customHeight="1">
      <c r="A2831" s="1"/>
      <c r="B2831" s="2"/>
      <c r="C2831" s="2"/>
      <c r="D2831" s="2"/>
      <c r="E2831" s="3"/>
      <c r="F2831" s="4"/>
      <c r="G2831" s="4"/>
      <c r="H2831" s="14"/>
      <c r="I2831" s="4"/>
      <c r="J2831" s="6"/>
      <c r="K2831" s="7"/>
      <c r="L2831" s="8"/>
      <c r="O2831" s="10"/>
    </row>
    <row r="2832" ht="14.25" customHeight="1">
      <c r="A2832" s="1"/>
      <c r="B2832" s="2"/>
      <c r="C2832" s="2"/>
      <c r="D2832" s="2"/>
      <c r="E2832" s="3"/>
      <c r="F2832" s="4"/>
      <c r="G2832" s="4"/>
      <c r="H2832" s="14"/>
      <c r="I2832" s="4"/>
      <c r="J2832" s="6"/>
      <c r="K2832" s="7"/>
      <c r="L2832" s="8"/>
      <c r="O2832" s="10"/>
    </row>
    <row r="2833" ht="14.25" customHeight="1">
      <c r="A2833" s="1"/>
      <c r="B2833" s="2"/>
      <c r="C2833" s="2"/>
      <c r="D2833" s="2"/>
      <c r="E2833" s="3"/>
      <c r="F2833" s="4"/>
      <c r="G2833" s="4"/>
      <c r="H2833" s="4"/>
      <c r="I2833" s="4"/>
      <c r="J2833" s="6"/>
      <c r="K2833" s="7"/>
      <c r="L2833" s="8"/>
      <c r="O2833" s="10"/>
    </row>
    <row r="2834" ht="14.25" customHeight="1">
      <c r="A2834" s="1"/>
      <c r="B2834" s="2"/>
      <c r="C2834" s="2"/>
      <c r="D2834" s="2"/>
      <c r="E2834" s="3"/>
      <c r="F2834" s="4"/>
      <c r="G2834" s="4"/>
      <c r="H2834" s="4"/>
      <c r="I2834" s="4"/>
      <c r="J2834" s="6"/>
      <c r="K2834" s="7"/>
      <c r="L2834" s="8"/>
      <c r="O2834" s="10"/>
    </row>
    <row r="2835" ht="14.25" customHeight="1">
      <c r="A2835" s="1"/>
      <c r="B2835" s="2"/>
      <c r="C2835" s="2"/>
      <c r="D2835" s="2"/>
      <c r="E2835" s="3"/>
      <c r="F2835" s="4"/>
      <c r="G2835" s="4"/>
      <c r="H2835" s="4"/>
      <c r="I2835" s="4"/>
      <c r="J2835" s="6"/>
      <c r="K2835" s="7"/>
      <c r="L2835" s="8"/>
      <c r="O2835" s="10"/>
    </row>
    <row r="2836" ht="14.25" customHeight="1">
      <c r="A2836" s="1"/>
      <c r="B2836" s="2"/>
      <c r="C2836" s="2"/>
      <c r="D2836" s="2"/>
      <c r="E2836" s="3"/>
      <c r="F2836" s="4"/>
      <c r="G2836" s="4"/>
      <c r="H2836" s="4"/>
      <c r="I2836" s="4"/>
      <c r="J2836" s="6"/>
      <c r="K2836" s="7"/>
      <c r="L2836" s="8"/>
      <c r="O2836" s="10"/>
    </row>
    <row r="2837" ht="14.25" customHeight="1">
      <c r="A2837" s="1"/>
      <c r="B2837" s="2"/>
      <c r="C2837" s="2"/>
      <c r="D2837" s="2"/>
      <c r="E2837" s="3"/>
      <c r="F2837" s="4"/>
      <c r="G2837" s="4"/>
      <c r="H2837" s="14"/>
      <c r="I2837" s="4"/>
      <c r="J2837" s="6"/>
      <c r="K2837" s="7"/>
      <c r="L2837" s="8"/>
      <c r="O2837" s="10"/>
    </row>
    <row r="2838" ht="14.25" customHeight="1">
      <c r="A2838" s="1"/>
      <c r="B2838" s="2"/>
      <c r="C2838" s="2"/>
      <c r="D2838" s="2"/>
      <c r="E2838" s="3"/>
      <c r="F2838" s="4"/>
      <c r="G2838" s="4"/>
      <c r="H2838" s="14"/>
      <c r="I2838" s="4"/>
      <c r="J2838" s="6"/>
      <c r="K2838" s="7"/>
      <c r="L2838" s="8"/>
      <c r="O2838" s="10"/>
    </row>
    <row r="2839" ht="14.25" customHeight="1">
      <c r="A2839" s="1"/>
      <c r="B2839" s="2"/>
      <c r="C2839" s="2"/>
      <c r="D2839" s="2"/>
      <c r="E2839" s="3"/>
      <c r="F2839" s="4"/>
      <c r="G2839" s="4"/>
      <c r="H2839" s="14"/>
      <c r="I2839" s="4"/>
      <c r="J2839" s="6"/>
      <c r="K2839" s="7"/>
      <c r="L2839" s="8"/>
      <c r="O2839" s="10"/>
    </row>
    <row r="2840" ht="14.25" customHeight="1">
      <c r="A2840" s="1"/>
      <c r="B2840" s="2"/>
      <c r="C2840" s="2"/>
      <c r="D2840" s="2"/>
      <c r="E2840" s="3"/>
      <c r="F2840" s="4"/>
      <c r="G2840" s="4"/>
      <c r="H2840" s="14"/>
      <c r="I2840" s="4"/>
      <c r="J2840" s="6"/>
      <c r="K2840" s="7"/>
      <c r="L2840" s="8"/>
      <c r="O2840" s="10"/>
    </row>
    <row r="2841" ht="14.25" customHeight="1">
      <c r="A2841" s="1"/>
      <c r="B2841" s="2"/>
      <c r="C2841" s="2"/>
      <c r="D2841" s="2"/>
      <c r="E2841" s="3"/>
      <c r="F2841" s="4"/>
      <c r="G2841" s="4"/>
      <c r="H2841" s="4"/>
      <c r="I2841" s="4"/>
      <c r="J2841" s="6"/>
      <c r="K2841" s="7"/>
      <c r="L2841" s="8"/>
      <c r="O2841" s="10"/>
    </row>
    <row r="2842" ht="14.25" customHeight="1">
      <c r="A2842" s="1"/>
      <c r="B2842" s="2"/>
      <c r="C2842" s="2"/>
      <c r="D2842" s="2"/>
      <c r="E2842" s="3"/>
      <c r="F2842" s="4"/>
      <c r="G2842" s="4"/>
      <c r="H2842" s="14"/>
      <c r="I2842" s="4"/>
      <c r="J2842" s="6"/>
      <c r="K2842" s="7"/>
      <c r="L2842" s="8"/>
      <c r="O2842" s="10"/>
    </row>
    <row r="2843" ht="14.25" customHeight="1">
      <c r="A2843" s="1"/>
      <c r="B2843" s="2"/>
      <c r="C2843" s="2"/>
      <c r="D2843" s="2"/>
      <c r="E2843" s="3"/>
      <c r="F2843" s="4"/>
      <c r="G2843" s="4"/>
      <c r="H2843" s="14"/>
      <c r="I2843" s="4"/>
      <c r="J2843" s="6"/>
      <c r="K2843" s="7"/>
      <c r="L2843" s="8"/>
      <c r="O2843" s="10"/>
    </row>
    <row r="2844" ht="14.25" customHeight="1">
      <c r="A2844" s="1"/>
      <c r="B2844" s="2"/>
      <c r="C2844" s="2"/>
      <c r="D2844" s="2"/>
      <c r="E2844" s="3"/>
      <c r="F2844" s="4"/>
      <c r="G2844" s="4"/>
      <c r="H2844" s="14"/>
      <c r="I2844" s="4"/>
      <c r="J2844" s="6"/>
      <c r="K2844" s="7"/>
      <c r="L2844" s="8"/>
      <c r="O2844" s="10"/>
    </row>
    <row r="2845" ht="14.25" customHeight="1">
      <c r="A2845" s="1"/>
      <c r="B2845" s="2"/>
      <c r="C2845" s="2"/>
      <c r="D2845" s="2"/>
      <c r="E2845" s="3"/>
      <c r="F2845" s="4"/>
      <c r="G2845" s="4"/>
      <c r="H2845" s="14"/>
      <c r="I2845" s="4"/>
      <c r="J2845" s="6"/>
      <c r="K2845" s="7"/>
      <c r="L2845" s="8"/>
      <c r="O2845" s="10"/>
    </row>
    <row r="2846" ht="14.25" customHeight="1">
      <c r="A2846" s="1"/>
      <c r="B2846" s="2"/>
      <c r="C2846" s="2"/>
      <c r="D2846" s="2"/>
      <c r="E2846" s="3"/>
      <c r="F2846" s="4"/>
      <c r="G2846" s="4"/>
      <c r="H2846" s="14"/>
      <c r="I2846" s="4"/>
      <c r="J2846" s="6"/>
      <c r="K2846" s="7"/>
      <c r="L2846" s="8"/>
      <c r="O2846" s="10"/>
    </row>
    <row r="2847" ht="14.25" customHeight="1">
      <c r="A2847" s="1"/>
      <c r="B2847" s="2"/>
      <c r="C2847" s="2"/>
      <c r="D2847" s="2"/>
      <c r="E2847" s="3"/>
      <c r="F2847" s="4"/>
      <c r="G2847" s="4"/>
      <c r="H2847" s="4"/>
      <c r="I2847" s="4"/>
      <c r="J2847" s="6"/>
      <c r="K2847" s="7"/>
      <c r="L2847" s="8"/>
      <c r="O2847" s="10"/>
    </row>
    <row r="2848" ht="14.25" customHeight="1">
      <c r="A2848" s="1"/>
      <c r="B2848" s="2"/>
      <c r="C2848" s="2"/>
      <c r="D2848" s="2"/>
      <c r="E2848" s="3"/>
      <c r="F2848" s="4"/>
      <c r="G2848" s="4"/>
      <c r="H2848" s="4"/>
      <c r="I2848" s="4"/>
      <c r="J2848" s="6"/>
      <c r="K2848" s="7"/>
      <c r="L2848" s="8"/>
      <c r="O2848" s="10"/>
    </row>
    <row r="2849" ht="14.25" customHeight="1">
      <c r="A2849" s="1"/>
      <c r="B2849" s="2"/>
      <c r="C2849" s="2"/>
      <c r="D2849" s="2"/>
      <c r="E2849" s="3"/>
      <c r="F2849" s="4"/>
      <c r="G2849" s="4"/>
      <c r="H2849" s="14"/>
      <c r="I2849" s="4"/>
      <c r="J2849" s="6"/>
      <c r="K2849" s="7"/>
      <c r="L2849" s="8"/>
      <c r="O2849" s="10"/>
    </row>
    <row r="2850" ht="14.25" customHeight="1">
      <c r="A2850" s="1"/>
      <c r="B2850" s="2"/>
      <c r="C2850" s="2"/>
      <c r="D2850" s="2"/>
      <c r="E2850" s="3"/>
      <c r="F2850" s="4"/>
      <c r="G2850" s="4"/>
      <c r="H2850" s="14"/>
      <c r="I2850" s="4"/>
      <c r="J2850" s="6"/>
      <c r="K2850" s="7"/>
      <c r="L2850" s="8"/>
      <c r="O2850" s="10"/>
    </row>
    <row r="2851" ht="14.25" customHeight="1">
      <c r="A2851" s="1"/>
      <c r="B2851" s="2"/>
      <c r="C2851" s="2"/>
      <c r="D2851" s="2"/>
      <c r="E2851" s="3"/>
      <c r="F2851" s="4"/>
      <c r="G2851" s="4"/>
      <c r="H2851" s="14"/>
      <c r="I2851" s="4"/>
      <c r="J2851" s="6"/>
      <c r="K2851" s="7"/>
      <c r="L2851" s="8"/>
      <c r="O2851" s="10"/>
    </row>
    <row r="2852" ht="14.25" customHeight="1">
      <c r="A2852" s="1"/>
      <c r="B2852" s="2"/>
      <c r="C2852" s="2"/>
      <c r="D2852" s="2"/>
      <c r="E2852" s="3"/>
      <c r="F2852" s="4"/>
      <c r="G2852" s="4"/>
      <c r="H2852" s="4"/>
      <c r="I2852" s="4"/>
      <c r="J2852" s="6"/>
      <c r="K2852" s="7"/>
      <c r="L2852" s="8"/>
      <c r="O2852" s="10"/>
    </row>
    <row r="2853" ht="14.25" customHeight="1">
      <c r="A2853" s="1"/>
      <c r="B2853" s="2"/>
      <c r="C2853" s="2"/>
      <c r="D2853" s="2"/>
      <c r="E2853" s="3"/>
      <c r="F2853" s="4"/>
      <c r="G2853" s="4"/>
      <c r="H2853" s="14"/>
      <c r="I2853" s="4"/>
      <c r="J2853" s="6"/>
      <c r="K2853" s="7"/>
      <c r="L2853" s="8"/>
      <c r="O2853" s="10"/>
    </row>
    <row r="2854" ht="14.25" customHeight="1">
      <c r="A2854" s="1"/>
      <c r="B2854" s="2"/>
      <c r="C2854" s="2"/>
      <c r="D2854" s="2"/>
      <c r="E2854" s="3"/>
      <c r="F2854" s="4"/>
      <c r="G2854" s="4"/>
      <c r="H2854" s="14"/>
      <c r="I2854" s="4"/>
      <c r="J2854" s="6"/>
      <c r="K2854" s="7"/>
      <c r="L2854" s="8"/>
      <c r="O2854" s="10"/>
    </row>
    <row r="2855" ht="14.25" customHeight="1">
      <c r="A2855" s="1"/>
      <c r="B2855" s="2"/>
      <c r="C2855" s="2"/>
      <c r="D2855" s="2"/>
      <c r="E2855" s="3"/>
      <c r="F2855" s="4"/>
      <c r="G2855" s="4"/>
      <c r="H2855" s="14"/>
      <c r="I2855" s="4"/>
      <c r="J2855" s="6"/>
      <c r="K2855" s="7"/>
      <c r="L2855" s="8"/>
      <c r="O2855" s="10"/>
    </row>
    <row r="2856" ht="14.25" customHeight="1">
      <c r="A2856" s="1"/>
      <c r="B2856" s="2"/>
      <c r="C2856" s="2"/>
      <c r="D2856" s="2"/>
      <c r="E2856" s="3"/>
      <c r="F2856" s="4"/>
      <c r="G2856" s="4"/>
      <c r="H2856" s="14"/>
      <c r="I2856" s="4"/>
      <c r="J2856" s="6"/>
      <c r="K2856" s="7"/>
      <c r="L2856" s="8"/>
      <c r="O2856" s="10"/>
    </row>
    <row r="2857" ht="14.25" customHeight="1">
      <c r="A2857" s="1"/>
      <c r="B2857" s="2"/>
      <c r="C2857" s="2"/>
      <c r="D2857" s="2"/>
      <c r="E2857" s="3"/>
      <c r="F2857" s="4"/>
      <c r="G2857" s="4"/>
      <c r="H2857" s="14"/>
      <c r="I2857" s="4"/>
      <c r="J2857" s="6"/>
      <c r="K2857" s="7"/>
      <c r="L2857" s="8"/>
      <c r="O2857" s="10"/>
    </row>
    <row r="2858" ht="14.25" customHeight="1">
      <c r="A2858" s="1"/>
      <c r="B2858" s="2"/>
      <c r="C2858" s="2"/>
      <c r="D2858" s="2"/>
      <c r="E2858" s="3"/>
      <c r="F2858" s="4"/>
      <c r="G2858" s="4"/>
      <c r="H2858" s="14"/>
      <c r="I2858" s="4"/>
      <c r="J2858" s="6"/>
      <c r="K2858" s="7"/>
      <c r="L2858" s="8"/>
      <c r="O2858" s="10"/>
    </row>
    <row r="2859" ht="14.25" customHeight="1">
      <c r="A2859" s="1"/>
      <c r="B2859" s="2"/>
      <c r="C2859" s="2"/>
      <c r="D2859" s="2"/>
      <c r="E2859" s="3"/>
      <c r="F2859" s="4"/>
      <c r="G2859" s="4"/>
      <c r="H2859" s="4"/>
      <c r="I2859" s="4"/>
      <c r="J2859" s="6"/>
      <c r="K2859" s="7"/>
      <c r="L2859" s="8"/>
      <c r="O2859" s="10"/>
    </row>
    <row r="2860" ht="14.25" customHeight="1">
      <c r="A2860" s="1"/>
      <c r="B2860" s="2"/>
      <c r="C2860" s="2"/>
      <c r="D2860" s="2"/>
      <c r="E2860" s="3"/>
      <c r="F2860" s="4"/>
      <c r="G2860" s="4"/>
      <c r="H2860" s="14"/>
      <c r="I2860" s="4"/>
      <c r="J2860" s="6"/>
      <c r="K2860" s="7"/>
      <c r="L2860" s="8"/>
      <c r="O2860" s="10"/>
    </row>
    <row r="2861" ht="14.25" customHeight="1">
      <c r="A2861" s="1"/>
      <c r="B2861" s="2"/>
      <c r="C2861" s="2"/>
      <c r="D2861" s="2"/>
      <c r="E2861" s="3"/>
      <c r="F2861" s="4"/>
      <c r="G2861" s="4"/>
      <c r="H2861" s="14"/>
      <c r="I2861" s="4"/>
      <c r="J2861" s="6"/>
      <c r="K2861" s="7"/>
      <c r="L2861" s="8"/>
      <c r="O2861" s="10"/>
    </row>
    <row r="2862" ht="14.25" customHeight="1">
      <c r="A2862" s="1"/>
      <c r="B2862" s="2"/>
      <c r="C2862" s="2"/>
      <c r="D2862" s="2"/>
      <c r="E2862" s="3"/>
      <c r="F2862" s="4"/>
      <c r="G2862" s="4"/>
      <c r="H2862" s="14"/>
      <c r="I2862" s="4"/>
      <c r="J2862" s="6"/>
      <c r="K2862" s="7"/>
      <c r="L2862" s="8"/>
      <c r="O2862" s="10"/>
    </row>
    <row r="2863" ht="14.25" customHeight="1">
      <c r="A2863" s="1"/>
      <c r="B2863" s="2"/>
      <c r="C2863" s="2"/>
      <c r="D2863" s="2"/>
      <c r="E2863" s="3"/>
      <c r="F2863" s="4"/>
      <c r="G2863" s="4"/>
      <c r="H2863" s="14"/>
      <c r="I2863" s="4"/>
      <c r="J2863" s="6"/>
      <c r="K2863" s="7"/>
      <c r="L2863" s="8"/>
      <c r="O2863" s="10"/>
    </row>
    <row r="2864" ht="14.25" customHeight="1">
      <c r="A2864" s="1"/>
      <c r="B2864" s="2"/>
      <c r="C2864" s="2"/>
      <c r="D2864" s="2"/>
      <c r="E2864" s="3"/>
      <c r="F2864" s="4"/>
      <c r="G2864" s="4"/>
      <c r="H2864" s="14"/>
      <c r="I2864" s="4"/>
      <c r="J2864" s="6"/>
      <c r="K2864" s="7"/>
      <c r="L2864" s="8"/>
      <c r="O2864" s="10"/>
    </row>
    <row r="2865" ht="14.25" customHeight="1">
      <c r="A2865" s="1"/>
      <c r="B2865" s="2"/>
      <c r="C2865" s="2"/>
      <c r="D2865" s="2"/>
      <c r="E2865" s="3"/>
      <c r="F2865" s="4"/>
      <c r="G2865" s="4"/>
      <c r="H2865" s="14"/>
      <c r="I2865" s="4"/>
      <c r="J2865" s="6"/>
      <c r="K2865" s="7"/>
      <c r="L2865" s="8"/>
      <c r="O2865" s="10"/>
    </row>
    <row r="2866" ht="14.25" customHeight="1">
      <c r="A2866" s="1"/>
      <c r="B2866" s="2"/>
      <c r="C2866" s="2"/>
      <c r="D2866" s="2"/>
      <c r="E2866" s="3"/>
      <c r="F2866" s="4"/>
      <c r="G2866" s="4"/>
      <c r="H2866" s="14"/>
      <c r="I2866" s="4"/>
      <c r="J2866" s="6"/>
      <c r="K2866" s="7"/>
      <c r="L2866" s="8"/>
      <c r="O2866" s="10"/>
    </row>
    <row r="2867" ht="14.25" customHeight="1">
      <c r="A2867" s="1"/>
      <c r="B2867" s="2"/>
      <c r="C2867" s="2"/>
      <c r="D2867" s="2"/>
      <c r="E2867" s="3"/>
      <c r="F2867" s="4"/>
      <c r="G2867" s="4"/>
      <c r="H2867" s="4"/>
      <c r="I2867" s="4"/>
      <c r="J2867" s="6"/>
      <c r="K2867" s="7"/>
      <c r="L2867" s="8"/>
      <c r="O2867" s="10"/>
    </row>
    <row r="2868" ht="14.25" customHeight="1">
      <c r="A2868" s="1"/>
      <c r="B2868" s="2"/>
      <c r="C2868" s="2"/>
      <c r="D2868" s="2"/>
      <c r="E2868" s="3"/>
      <c r="F2868" s="4"/>
      <c r="G2868" s="4"/>
      <c r="H2868" s="4"/>
      <c r="I2868" s="4"/>
      <c r="J2868" s="6"/>
      <c r="K2868" s="7"/>
      <c r="L2868" s="8"/>
      <c r="O2868" s="10"/>
    </row>
    <row r="2869" ht="14.25" customHeight="1">
      <c r="A2869" s="1"/>
      <c r="B2869" s="2"/>
      <c r="C2869" s="2"/>
      <c r="D2869" s="2"/>
      <c r="E2869" s="3"/>
      <c r="F2869" s="4"/>
      <c r="G2869" s="4"/>
      <c r="H2869" s="4"/>
      <c r="I2869" s="4"/>
      <c r="J2869" s="6"/>
      <c r="K2869" s="7"/>
      <c r="L2869" s="8"/>
      <c r="O2869" s="10"/>
    </row>
    <row r="2870" ht="14.25" customHeight="1">
      <c r="A2870" s="1"/>
      <c r="B2870" s="2"/>
      <c r="C2870" s="2"/>
      <c r="D2870" s="2"/>
      <c r="E2870" s="3"/>
      <c r="F2870" s="4"/>
      <c r="G2870" s="4"/>
      <c r="H2870" s="14"/>
      <c r="I2870" s="4"/>
      <c r="J2870" s="6"/>
      <c r="K2870" s="7"/>
      <c r="L2870" s="8"/>
      <c r="O2870" s="10"/>
    </row>
    <row r="2871" ht="14.25" customHeight="1">
      <c r="A2871" s="1"/>
      <c r="B2871" s="2"/>
      <c r="C2871" s="2"/>
      <c r="D2871" s="2"/>
      <c r="E2871" s="3"/>
      <c r="F2871" s="4"/>
      <c r="G2871" s="4"/>
      <c r="H2871" s="14"/>
      <c r="I2871" s="4"/>
      <c r="J2871" s="6"/>
      <c r="K2871" s="7"/>
      <c r="L2871" s="8"/>
      <c r="O2871" s="10"/>
    </row>
    <row r="2872" ht="14.25" customHeight="1">
      <c r="A2872" s="1"/>
      <c r="B2872" s="2"/>
      <c r="C2872" s="2"/>
      <c r="D2872" s="2"/>
      <c r="E2872" s="3"/>
      <c r="F2872" s="4"/>
      <c r="G2872" s="4"/>
      <c r="H2872" s="14"/>
      <c r="I2872" s="4"/>
      <c r="J2872" s="6"/>
      <c r="K2872" s="7"/>
      <c r="L2872" s="8"/>
      <c r="O2872" s="10"/>
    </row>
    <row r="2873" ht="14.25" customHeight="1">
      <c r="A2873" s="1"/>
      <c r="B2873" s="2"/>
      <c r="C2873" s="2"/>
      <c r="D2873" s="2"/>
      <c r="E2873" s="3"/>
      <c r="F2873" s="4"/>
      <c r="G2873" s="4"/>
      <c r="H2873" s="14"/>
      <c r="I2873" s="4"/>
      <c r="J2873" s="6"/>
      <c r="K2873" s="7"/>
      <c r="L2873" s="8"/>
      <c r="O2873" s="10"/>
    </row>
    <row r="2874" ht="14.25" customHeight="1">
      <c r="A2874" s="1"/>
      <c r="B2874" s="2"/>
      <c r="C2874" s="2"/>
      <c r="D2874" s="2"/>
      <c r="E2874" s="3"/>
      <c r="F2874" s="4"/>
      <c r="G2874" s="4"/>
      <c r="H2874" s="14"/>
      <c r="I2874" s="4"/>
      <c r="J2874" s="6"/>
      <c r="K2874" s="7"/>
      <c r="L2874" s="8"/>
      <c r="O2874" s="10"/>
    </row>
    <row r="2875" ht="14.25" customHeight="1">
      <c r="A2875" s="1"/>
      <c r="B2875" s="2"/>
      <c r="C2875" s="2"/>
      <c r="D2875" s="2"/>
      <c r="E2875" s="3"/>
      <c r="F2875" s="4"/>
      <c r="G2875" s="4"/>
      <c r="H2875" s="14"/>
      <c r="I2875" s="4"/>
      <c r="J2875" s="6"/>
      <c r="K2875" s="7"/>
      <c r="L2875" s="8"/>
      <c r="O2875" s="10"/>
    </row>
    <row r="2876" ht="14.25" customHeight="1">
      <c r="A2876" s="1"/>
      <c r="B2876" s="2"/>
      <c r="C2876" s="2"/>
      <c r="D2876" s="2"/>
      <c r="E2876" s="3"/>
      <c r="F2876" s="4"/>
      <c r="G2876" s="4"/>
      <c r="H2876" s="14"/>
      <c r="I2876" s="4"/>
      <c r="J2876" s="6"/>
      <c r="K2876" s="7"/>
      <c r="L2876" s="8"/>
      <c r="O2876" s="10"/>
    </row>
    <row r="2877" ht="14.25" customHeight="1">
      <c r="A2877" s="1"/>
      <c r="B2877" s="2"/>
      <c r="C2877" s="2"/>
      <c r="D2877" s="2"/>
      <c r="E2877" s="3"/>
      <c r="F2877" s="4"/>
      <c r="G2877" s="4"/>
      <c r="H2877" s="4"/>
      <c r="I2877" s="4"/>
      <c r="J2877" s="6"/>
      <c r="K2877" s="7"/>
      <c r="L2877" s="8"/>
      <c r="O2877" s="10"/>
    </row>
    <row r="2878" ht="14.25" customHeight="1">
      <c r="A2878" s="1"/>
      <c r="B2878" s="2"/>
      <c r="C2878" s="2"/>
      <c r="D2878" s="2"/>
      <c r="E2878" s="3"/>
      <c r="F2878" s="4"/>
      <c r="G2878" s="4"/>
      <c r="H2878" s="14"/>
      <c r="I2878" s="4"/>
      <c r="J2878" s="6"/>
      <c r="K2878" s="7"/>
      <c r="L2878" s="8"/>
      <c r="O2878" s="10"/>
    </row>
    <row r="2879" ht="14.25" customHeight="1">
      <c r="A2879" s="1"/>
      <c r="B2879" s="2"/>
      <c r="C2879" s="2"/>
      <c r="D2879" s="2"/>
      <c r="E2879" s="3"/>
      <c r="F2879" s="4"/>
      <c r="G2879" s="4"/>
      <c r="H2879" s="14"/>
      <c r="I2879" s="4"/>
      <c r="J2879" s="6"/>
      <c r="K2879" s="7"/>
      <c r="L2879" s="8"/>
      <c r="O2879" s="10"/>
    </row>
    <row r="2880" ht="14.25" customHeight="1">
      <c r="A2880" s="1"/>
      <c r="B2880" s="2"/>
      <c r="C2880" s="2"/>
      <c r="D2880" s="2"/>
      <c r="E2880" s="3"/>
      <c r="F2880" s="4"/>
      <c r="G2880" s="4"/>
      <c r="H2880" s="14"/>
      <c r="I2880" s="4"/>
      <c r="J2880" s="6"/>
      <c r="K2880" s="7"/>
      <c r="L2880" s="8"/>
      <c r="O2880" s="10"/>
    </row>
    <row r="2881" ht="14.25" customHeight="1">
      <c r="A2881" s="1"/>
      <c r="B2881" s="2"/>
      <c r="C2881" s="2"/>
      <c r="D2881" s="2"/>
      <c r="E2881" s="3"/>
      <c r="F2881" s="4"/>
      <c r="G2881" s="4"/>
      <c r="H2881" s="14"/>
      <c r="I2881" s="4"/>
      <c r="J2881" s="6"/>
      <c r="K2881" s="7"/>
      <c r="L2881" s="8"/>
      <c r="O2881" s="10"/>
    </row>
    <row r="2882" ht="14.25" customHeight="1">
      <c r="A2882" s="1"/>
      <c r="B2882" s="2"/>
      <c r="C2882" s="2"/>
      <c r="D2882" s="2"/>
      <c r="E2882" s="3"/>
      <c r="F2882" s="4"/>
      <c r="G2882" s="4"/>
      <c r="H2882" s="4"/>
      <c r="I2882" s="4"/>
      <c r="J2882" s="6"/>
      <c r="K2882" s="7"/>
      <c r="L2882" s="8"/>
      <c r="O2882" s="10"/>
    </row>
    <row r="2883" ht="14.25" customHeight="1">
      <c r="A2883" s="1"/>
      <c r="B2883" s="2"/>
      <c r="C2883" s="2"/>
      <c r="D2883" s="2"/>
      <c r="E2883" s="3"/>
      <c r="F2883" s="4"/>
      <c r="G2883" s="4"/>
      <c r="H2883" s="14"/>
      <c r="I2883" s="4"/>
      <c r="J2883" s="6"/>
      <c r="K2883" s="7"/>
      <c r="L2883" s="8"/>
      <c r="O2883" s="10"/>
    </row>
    <row r="2884" ht="14.25" customHeight="1">
      <c r="A2884" s="1"/>
      <c r="B2884" s="2"/>
      <c r="C2884" s="2"/>
      <c r="D2884" s="2"/>
      <c r="E2884" s="3"/>
      <c r="F2884" s="4"/>
      <c r="G2884" s="4"/>
      <c r="H2884" s="14"/>
      <c r="I2884" s="4"/>
      <c r="J2884" s="6"/>
      <c r="K2884" s="7"/>
      <c r="L2884" s="8"/>
      <c r="O2884" s="10"/>
    </row>
    <row r="2885" ht="14.25" customHeight="1">
      <c r="A2885" s="1"/>
      <c r="B2885" s="2"/>
      <c r="C2885" s="2"/>
      <c r="D2885" s="2"/>
      <c r="E2885" s="3"/>
      <c r="F2885" s="4"/>
      <c r="G2885" s="4"/>
      <c r="H2885" s="14"/>
      <c r="I2885" s="4"/>
      <c r="J2885" s="6"/>
      <c r="K2885" s="7"/>
      <c r="L2885" s="8"/>
      <c r="O2885" s="10"/>
    </row>
    <row r="2886" ht="14.25" customHeight="1">
      <c r="A2886" s="1"/>
      <c r="B2886" s="2"/>
      <c r="C2886" s="2"/>
      <c r="D2886" s="2"/>
      <c r="E2886" s="3"/>
      <c r="F2886" s="4"/>
      <c r="G2886" s="4"/>
      <c r="H2886" s="4"/>
      <c r="I2886" s="4"/>
      <c r="J2886" s="6"/>
      <c r="K2886" s="7"/>
      <c r="L2886" s="8"/>
      <c r="O2886" s="10"/>
    </row>
    <row r="2887" ht="14.25" customHeight="1">
      <c r="A2887" s="1"/>
      <c r="B2887" s="2"/>
      <c r="C2887" s="2"/>
      <c r="D2887" s="2"/>
      <c r="E2887" s="3"/>
      <c r="F2887" s="4"/>
      <c r="G2887" s="4"/>
      <c r="H2887" s="4"/>
      <c r="I2887" s="4"/>
      <c r="J2887" s="6"/>
      <c r="K2887" s="7"/>
      <c r="L2887" s="8"/>
      <c r="O2887" s="10"/>
    </row>
    <row r="2888" ht="14.25" customHeight="1">
      <c r="A2888" s="1"/>
      <c r="B2888" s="2"/>
      <c r="C2888" s="2"/>
      <c r="D2888" s="2"/>
      <c r="E2888" s="3"/>
      <c r="F2888" s="4"/>
      <c r="G2888" s="4"/>
      <c r="H2888" s="14"/>
      <c r="I2888" s="4"/>
      <c r="J2888" s="6"/>
      <c r="K2888" s="7"/>
      <c r="L2888" s="8"/>
      <c r="O2888" s="10"/>
    </row>
    <row r="2889" ht="14.25" customHeight="1">
      <c r="A2889" s="1"/>
      <c r="B2889" s="2"/>
      <c r="C2889" s="2"/>
      <c r="D2889" s="2"/>
      <c r="E2889" s="3"/>
      <c r="F2889" s="4"/>
      <c r="G2889" s="4"/>
      <c r="H2889" s="14"/>
      <c r="I2889" s="4"/>
      <c r="J2889" s="6"/>
      <c r="K2889" s="7"/>
      <c r="L2889" s="8"/>
      <c r="O2889" s="10"/>
    </row>
    <row r="2890" ht="14.25" customHeight="1">
      <c r="A2890" s="1"/>
      <c r="B2890" s="2"/>
      <c r="C2890" s="2"/>
      <c r="D2890" s="2"/>
      <c r="E2890" s="3"/>
      <c r="F2890" s="4"/>
      <c r="G2890" s="4"/>
      <c r="H2890" s="14"/>
      <c r="I2890" s="4"/>
      <c r="J2890" s="6"/>
      <c r="K2890" s="7"/>
      <c r="L2890" s="8"/>
      <c r="O2890" s="10"/>
    </row>
    <row r="2891" ht="14.25" customHeight="1">
      <c r="A2891" s="1"/>
      <c r="B2891" s="2"/>
      <c r="C2891" s="2"/>
      <c r="D2891" s="2"/>
      <c r="E2891" s="3"/>
      <c r="F2891" s="4"/>
      <c r="G2891" s="4"/>
      <c r="H2891" s="14"/>
      <c r="I2891" s="4"/>
      <c r="J2891" s="6"/>
      <c r="K2891" s="7"/>
      <c r="L2891" s="8"/>
      <c r="O2891" s="10"/>
    </row>
    <row r="2892" ht="14.25" customHeight="1">
      <c r="A2892" s="1"/>
      <c r="B2892" s="2"/>
      <c r="C2892" s="2"/>
      <c r="D2892" s="2"/>
      <c r="E2892" s="3"/>
      <c r="F2892" s="4"/>
      <c r="G2892" s="4"/>
      <c r="H2892" s="14"/>
      <c r="I2892" s="4"/>
      <c r="J2892" s="6"/>
      <c r="K2892" s="7"/>
      <c r="L2892" s="8"/>
      <c r="O2892" s="10"/>
    </row>
    <row r="2893" ht="14.25" customHeight="1">
      <c r="A2893" s="1"/>
      <c r="B2893" s="2"/>
      <c r="C2893" s="2"/>
      <c r="D2893" s="2"/>
      <c r="E2893" s="3"/>
      <c r="F2893" s="4"/>
      <c r="G2893" s="4"/>
      <c r="H2893" s="14"/>
      <c r="I2893" s="4"/>
      <c r="J2893" s="6"/>
      <c r="K2893" s="7"/>
      <c r="L2893" s="8"/>
      <c r="O2893" s="10"/>
    </row>
    <row r="2894" ht="14.25" customHeight="1">
      <c r="A2894" s="1"/>
      <c r="B2894" s="2"/>
      <c r="C2894" s="2"/>
      <c r="D2894" s="2"/>
      <c r="E2894" s="3"/>
      <c r="F2894" s="4"/>
      <c r="G2894" s="4"/>
      <c r="H2894" s="4"/>
      <c r="I2894" s="4"/>
      <c r="J2894" s="6"/>
      <c r="K2894" s="7"/>
      <c r="L2894" s="8"/>
      <c r="O2894" s="10"/>
    </row>
    <row r="2895" ht="14.25" customHeight="1">
      <c r="A2895" s="1"/>
      <c r="B2895" s="2"/>
      <c r="C2895" s="2"/>
      <c r="D2895" s="2"/>
      <c r="E2895" s="3"/>
      <c r="F2895" s="4"/>
      <c r="G2895" s="4"/>
      <c r="H2895" s="14"/>
      <c r="I2895" s="4"/>
      <c r="J2895" s="6"/>
      <c r="K2895" s="7"/>
      <c r="L2895" s="8"/>
      <c r="O2895" s="10"/>
    </row>
    <row r="2896" ht="14.25" customHeight="1">
      <c r="A2896" s="1"/>
      <c r="B2896" s="2"/>
      <c r="C2896" s="2"/>
      <c r="D2896" s="2"/>
      <c r="E2896" s="3"/>
      <c r="F2896" s="4"/>
      <c r="G2896" s="4"/>
      <c r="H2896" s="4"/>
      <c r="I2896" s="4"/>
      <c r="J2896" s="6"/>
      <c r="K2896" s="7"/>
      <c r="L2896" s="8"/>
      <c r="O2896" s="10"/>
    </row>
    <row r="2897" ht="14.25" customHeight="1">
      <c r="A2897" s="1"/>
      <c r="B2897" s="2"/>
      <c r="C2897" s="2"/>
      <c r="D2897" s="2"/>
      <c r="E2897" s="3"/>
      <c r="F2897" s="4"/>
      <c r="G2897" s="4"/>
      <c r="H2897" s="14"/>
      <c r="I2897" s="4"/>
      <c r="J2897" s="6"/>
      <c r="K2897" s="7"/>
      <c r="L2897" s="8"/>
      <c r="O2897" s="10"/>
    </row>
    <row r="2898" ht="14.25" customHeight="1">
      <c r="A2898" s="1"/>
      <c r="B2898" s="2"/>
      <c r="C2898" s="2"/>
      <c r="D2898" s="2"/>
      <c r="E2898" s="3"/>
      <c r="F2898" s="4"/>
      <c r="G2898" s="4"/>
      <c r="H2898" s="14"/>
      <c r="I2898" s="4"/>
      <c r="J2898" s="6"/>
      <c r="K2898" s="7"/>
      <c r="L2898" s="8"/>
      <c r="O2898" s="10"/>
    </row>
    <row r="2899" ht="14.25" customHeight="1">
      <c r="A2899" s="1"/>
      <c r="B2899" s="2"/>
      <c r="C2899" s="2"/>
      <c r="D2899" s="2"/>
      <c r="E2899" s="3"/>
      <c r="F2899" s="4"/>
      <c r="G2899" s="4"/>
      <c r="H2899" s="4"/>
      <c r="I2899" s="4"/>
      <c r="J2899" s="6"/>
      <c r="K2899" s="7"/>
      <c r="L2899" s="8"/>
      <c r="O2899" s="10"/>
    </row>
    <row r="2900" ht="14.25" customHeight="1">
      <c r="A2900" s="1"/>
      <c r="B2900" s="2"/>
      <c r="C2900" s="2"/>
      <c r="D2900" s="2"/>
      <c r="E2900" s="3"/>
      <c r="F2900" s="4"/>
      <c r="G2900" s="4"/>
      <c r="H2900" s="4"/>
      <c r="I2900" s="4"/>
      <c r="J2900" s="6"/>
      <c r="K2900" s="7"/>
      <c r="L2900" s="8"/>
      <c r="O2900" s="10"/>
    </row>
    <row r="2901" ht="14.25" customHeight="1">
      <c r="A2901" s="1"/>
      <c r="B2901" s="2"/>
      <c r="C2901" s="2"/>
      <c r="D2901" s="2"/>
      <c r="E2901" s="3"/>
      <c r="F2901" s="4"/>
      <c r="G2901" s="4"/>
      <c r="H2901" s="14"/>
      <c r="I2901" s="4"/>
      <c r="J2901" s="6"/>
      <c r="K2901" s="7"/>
      <c r="L2901" s="8"/>
      <c r="O2901" s="10"/>
    </row>
    <row r="2902" ht="14.25" customHeight="1">
      <c r="A2902" s="1"/>
      <c r="B2902" s="2"/>
      <c r="C2902" s="2"/>
      <c r="D2902" s="2"/>
      <c r="E2902" s="3"/>
      <c r="F2902" s="4"/>
      <c r="G2902" s="4"/>
      <c r="H2902" s="14"/>
      <c r="I2902" s="4"/>
      <c r="J2902" s="6"/>
      <c r="K2902" s="7"/>
      <c r="L2902" s="8"/>
      <c r="O2902" s="10"/>
    </row>
    <row r="2903" ht="14.25" customHeight="1">
      <c r="A2903" s="1"/>
      <c r="B2903" s="2"/>
      <c r="C2903" s="2"/>
      <c r="D2903" s="2"/>
      <c r="E2903" s="3"/>
      <c r="F2903" s="4"/>
      <c r="G2903" s="4"/>
      <c r="H2903" s="14"/>
      <c r="I2903" s="4"/>
      <c r="J2903" s="6"/>
      <c r="K2903" s="7"/>
      <c r="L2903" s="8"/>
      <c r="O2903" s="10"/>
    </row>
    <row r="2904" ht="14.25" customHeight="1">
      <c r="A2904" s="1"/>
      <c r="B2904" s="2"/>
      <c r="C2904" s="2"/>
      <c r="D2904" s="2"/>
      <c r="E2904" s="3"/>
      <c r="F2904" s="4"/>
      <c r="G2904" s="4"/>
      <c r="H2904" s="14"/>
      <c r="I2904" s="4"/>
      <c r="J2904" s="6"/>
      <c r="K2904" s="7"/>
      <c r="L2904" s="8"/>
      <c r="O2904" s="10"/>
    </row>
    <row r="2905" ht="14.25" customHeight="1">
      <c r="A2905" s="1"/>
      <c r="B2905" s="2"/>
      <c r="C2905" s="2"/>
      <c r="D2905" s="2"/>
      <c r="E2905" s="3"/>
      <c r="F2905" s="4"/>
      <c r="G2905" s="4"/>
      <c r="H2905" s="14"/>
      <c r="I2905" s="4"/>
      <c r="J2905" s="6"/>
      <c r="K2905" s="7"/>
      <c r="L2905" s="8"/>
      <c r="O2905" s="10"/>
    </row>
    <row r="2906" ht="14.25" customHeight="1">
      <c r="A2906" s="1"/>
      <c r="B2906" s="2"/>
      <c r="C2906" s="2"/>
      <c r="D2906" s="2"/>
      <c r="E2906" s="3"/>
      <c r="F2906" s="4"/>
      <c r="G2906" s="4"/>
      <c r="H2906" s="14"/>
      <c r="I2906" s="4"/>
      <c r="J2906" s="6"/>
      <c r="K2906" s="7"/>
      <c r="L2906" s="8"/>
      <c r="O2906" s="10"/>
    </row>
    <row r="2907" ht="14.25" customHeight="1">
      <c r="A2907" s="1"/>
      <c r="B2907" s="2"/>
      <c r="C2907" s="2"/>
      <c r="D2907" s="2"/>
      <c r="E2907" s="3"/>
      <c r="F2907" s="4"/>
      <c r="G2907" s="4"/>
      <c r="H2907" s="14"/>
      <c r="I2907" s="4"/>
      <c r="J2907" s="6"/>
      <c r="K2907" s="7"/>
      <c r="L2907" s="8"/>
      <c r="O2907" s="10"/>
    </row>
    <row r="2908" ht="14.25" customHeight="1">
      <c r="A2908" s="1"/>
      <c r="B2908" s="2"/>
      <c r="C2908" s="2"/>
      <c r="D2908" s="2"/>
      <c r="E2908" s="3"/>
      <c r="F2908" s="4"/>
      <c r="G2908" s="4"/>
      <c r="H2908" s="14"/>
      <c r="I2908" s="4"/>
      <c r="J2908" s="6"/>
      <c r="K2908" s="7"/>
      <c r="L2908" s="8"/>
      <c r="O2908" s="10"/>
    </row>
    <row r="2909" ht="14.25" customHeight="1">
      <c r="A2909" s="1"/>
      <c r="B2909" s="2"/>
      <c r="C2909" s="2"/>
      <c r="D2909" s="2"/>
      <c r="E2909" s="3"/>
      <c r="F2909" s="4"/>
      <c r="G2909" s="4"/>
      <c r="H2909" s="14"/>
      <c r="I2909" s="4"/>
      <c r="J2909" s="6"/>
      <c r="K2909" s="7"/>
      <c r="L2909" s="8"/>
      <c r="O2909" s="10"/>
    </row>
    <row r="2910" ht="14.25" customHeight="1">
      <c r="A2910" s="1"/>
      <c r="B2910" s="2"/>
      <c r="C2910" s="2"/>
      <c r="D2910" s="2"/>
      <c r="E2910" s="3"/>
      <c r="F2910" s="4"/>
      <c r="G2910" s="4"/>
      <c r="H2910" s="14"/>
      <c r="I2910" s="4"/>
      <c r="J2910" s="6"/>
      <c r="K2910" s="7"/>
      <c r="L2910" s="8"/>
      <c r="O2910" s="10"/>
    </row>
    <row r="2911" ht="14.25" customHeight="1">
      <c r="A2911" s="1"/>
      <c r="B2911" s="2"/>
      <c r="C2911" s="2"/>
      <c r="D2911" s="2"/>
      <c r="E2911" s="3"/>
      <c r="F2911" s="4"/>
      <c r="G2911" s="4"/>
      <c r="H2911" s="4"/>
      <c r="I2911" s="4"/>
      <c r="J2911" s="6"/>
      <c r="K2911" s="7"/>
      <c r="L2911" s="8"/>
      <c r="O2911" s="10"/>
    </row>
    <row r="2912" ht="14.25" customHeight="1">
      <c r="A2912" s="1"/>
      <c r="B2912" s="2"/>
      <c r="C2912" s="2"/>
      <c r="D2912" s="2"/>
      <c r="E2912" s="3"/>
      <c r="F2912" s="4"/>
      <c r="G2912" s="4"/>
      <c r="H2912" s="14"/>
      <c r="I2912" s="4"/>
      <c r="J2912" s="6"/>
      <c r="K2912" s="7"/>
      <c r="L2912" s="8"/>
      <c r="O2912" s="10"/>
    </row>
    <row r="2913" ht="14.25" customHeight="1">
      <c r="A2913" s="1"/>
      <c r="B2913" s="2"/>
      <c r="C2913" s="2"/>
      <c r="D2913" s="2"/>
      <c r="E2913" s="3"/>
      <c r="F2913" s="4"/>
      <c r="G2913" s="4"/>
      <c r="H2913" s="4"/>
      <c r="I2913" s="4"/>
      <c r="J2913" s="6"/>
      <c r="K2913" s="7"/>
      <c r="L2913" s="8"/>
      <c r="O2913" s="10"/>
    </row>
    <row r="2914" ht="14.25" customHeight="1">
      <c r="A2914" s="1"/>
      <c r="B2914" s="2"/>
      <c r="C2914" s="2"/>
      <c r="D2914" s="2"/>
      <c r="E2914" s="3"/>
      <c r="F2914" s="4"/>
      <c r="G2914" s="4"/>
      <c r="H2914" s="14"/>
      <c r="I2914" s="4"/>
      <c r="J2914" s="6"/>
      <c r="K2914" s="7"/>
      <c r="L2914" s="8"/>
      <c r="O2914" s="10"/>
    </row>
    <row r="2915" ht="14.25" customHeight="1">
      <c r="A2915" s="1"/>
      <c r="B2915" s="2"/>
      <c r="C2915" s="2"/>
      <c r="D2915" s="2"/>
      <c r="E2915" s="3"/>
      <c r="F2915" s="4"/>
      <c r="G2915" s="4"/>
      <c r="H2915" s="14"/>
      <c r="I2915" s="4"/>
      <c r="J2915" s="6"/>
      <c r="K2915" s="7"/>
      <c r="L2915" s="8"/>
      <c r="O2915" s="10"/>
    </row>
    <row r="2916" ht="14.25" customHeight="1">
      <c r="A2916" s="1"/>
      <c r="B2916" s="2"/>
      <c r="C2916" s="2"/>
      <c r="D2916" s="2"/>
      <c r="E2916" s="3"/>
      <c r="F2916" s="4"/>
      <c r="G2916" s="4"/>
      <c r="H2916" s="14"/>
      <c r="I2916" s="4"/>
      <c r="J2916" s="6"/>
      <c r="K2916" s="7"/>
      <c r="L2916" s="8"/>
      <c r="O2916" s="10"/>
    </row>
    <row r="2917" ht="14.25" customHeight="1">
      <c r="A2917" s="1"/>
      <c r="B2917" s="2"/>
      <c r="C2917" s="2"/>
      <c r="D2917" s="2"/>
      <c r="E2917" s="3"/>
      <c r="F2917" s="4"/>
      <c r="G2917" s="4"/>
      <c r="H2917" s="4"/>
      <c r="I2917" s="4"/>
      <c r="J2917" s="6"/>
      <c r="K2917" s="7"/>
      <c r="L2917" s="8"/>
      <c r="O2917" s="10"/>
    </row>
    <row r="2918" ht="14.25" customHeight="1">
      <c r="A2918" s="1"/>
      <c r="B2918" s="2"/>
      <c r="C2918" s="2"/>
      <c r="D2918" s="2"/>
      <c r="E2918" s="3"/>
      <c r="F2918" s="4"/>
      <c r="G2918" s="4"/>
      <c r="H2918" s="14"/>
      <c r="I2918" s="4"/>
      <c r="J2918" s="6"/>
      <c r="K2918" s="7"/>
      <c r="L2918" s="8"/>
      <c r="O2918" s="10"/>
    </row>
    <row r="2919" ht="14.25" customHeight="1">
      <c r="A2919" s="1"/>
      <c r="B2919" s="2"/>
      <c r="C2919" s="2"/>
      <c r="D2919" s="2"/>
      <c r="E2919" s="3"/>
      <c r="F2919" s="4"/>
      <c r="G2919" s="4"/>
      <c r="H2919" s="14"/>
      <c r="I2919" s="4"/>
      <c r="J2919" s="6"/>
      <c r="K2919" s="7"/>
      <c r="L2919" s="8"/>
      <c r="O2919" s="10"/>
    </row>
    <row r="2920" ht="14.25" customHeight="1">
      <c r="A2920" s="1"/>
      <c r="B2920" s="2"/>
      <c r="C2920" s="2"/>
      <c r="D2920" s="2"/>
      <c r="E2920" s="3"/>
      <c r="F2920" s="4"/>
      <c r="G2920" s="4"/>
      <c r="H2920" s="14"/>
      <c r="I2920" s="4"/>
      <c r="J2920" s="6"/>
      <c r="K2920" s="7"/>
      <c r="L2920" s="8"/>
      <c r="O2920" s="10"/>
    </row>
    <row r="2921" ht="14.25" customHeight="1">
      <c r="A2921" s="1"/>
      <c r="B2921" s="2"/>
      <c r="C2921" s="2"/>
      <c r="D2921" s="2"/>
      <c r="E2921" s="3"/>
      <c r="F2921" s="4"/>
      <c r="G2921" s="4"/>
      <c r="H2921" s="4"/>
      <c r="I2921" s="4"/>
      <c r="J2921" s="6"/>
      <c r="K2921" s="7"/>
      <c r="L2921" s="8"/>
      <c r="O2921" s="10"/>
    </row>
    <row r="2922" ht="14.25" customHeight="1">
      <c r="A2922" s="1"/>
      <c r="B2922" s="2"/>
      <c r="C2922" s="2"/>
      <c r="D2922" s="2"/>
      <c r="E2922" s="3"/>
      <c r="F2922" s="4"/>
      <c r="G2922" s="4"/>
      <c r="H2922" s="14"/>
      <c r="I2922" s="4"/>
      <c r="J2922" s="6"/>
      <c r="K2922" s="7"/>
      <c r="L2922" s="8"/>
      <c r="O2922" s="10"/>
    </row>
    <row r="2923" ht="14.25" customHeight="1">
      <c r="A2923" s="1"/>
      <c r="B2923" s="2"/>
      <c r="C2923" s="2"/>
      <c r="D2923" s="2"/>
      <c r="E2923" s="3"/>
      <c r="F2923" s="4"/>
      <c r="G2923" s="4"/>
      <c r="H2923" s="14"/>
      <c r="I2923" s="4"/>
      <c r="J2923" s="6"/>
      <c r="K2923" s="7"/>
      <c r="L2923" s="8"/>
      <c r="O2923" s="10"/>
    </row>
    <row r="2924" ht="14.25" customHeight="1">
      <c r="A2924" s="1"/>
      <c r="B2924" s="2"/>
      <c r="C2924" s="2"/>
      <c r="D2924" s="2"/>
      <c r="E2924" s="3"/>
      <c r="F2924" s="4"/>
      <c r="G2924" s="4"/>
      <c r="H2924" s="14"/>
      <c r="I2924" s="4"/>
      <c r="J2924" s="6"/>
      <c r="K2924" s="7"/>
      <c r="L2924" s="8"/>
      <c r="O2924" s="10"/>
    </row>
    <row r="2925" ht="14.25" customHeight="1">
      <c r="A2925" s="1"/>
      <c r="B2925" s="2"/>
      <c r="C2925" s="2"/>
      <c r="D2925" s="2"/>
      <c r="E2925" s="3"/>
      <c r="F2925" s="4"/>
      <c r="G2925" s="4"/>
      <c r="H2925" s="14"/>
      <c r="I2925" s="4"/>
      <c r="J2925" s="6"/>
      <c r="K2925" s="7"/>
      <c r="L2925" s="8"/>
      <c r="O2925" s="10"/>
    </row>
    <row r="2926" ht="14.25" customHeight="1">
      <c r="A2926" s="1"/>
      <c r="B2926" s="2"/>
      <c r="C2926" s="2"/>
      <c r="D2926" s="2"/>
      <c r="E2926" s="3"/>
      <c r="F2926" s="4"/>
      <c r="G2926" s="4"/>
      <c r="H2926" s="14"/>
      <c r="I2926" s="4"/>
      <c r="J2926" s="6"/>
      <c r="K2926" s="7"/>
      <c r="L2926" s="8"/>
      <c r="O2926" s="10"/>
    </row>
    <row r="2927" ht="14.25" customHeight="1">
      <c r="A2927" s="1"/>
      <c r="B2927" s="2"/>
      <c r="C2927" s="2"/>
      <c r="D2927" s="2"/>
      <c r="E2927" s="3"/>
      <c r="F2927" s="4"/>
      <c r="G2927" s="4"/>
      <c r="H2927" s="14"/>
      <c r="I2927" s="4"/>
      <c r="J2927" s="6"/>
      <c r="K2927" s="7"/>
      <c r="L2927" s="8"/>
      <c r="O2927" s="10"/>
    </row>
    <row r="2928" ht="14.25" customHeight="1">
      <c r="A2928" s="1"/>
      <c r="B2928" s="2"/>
      <c r="C2928" s="2"/>
      <c r="D2928" s="2"/>
      <c r="E2928" s="3"/>
      <c r="F2928" s="4"/>
      <c r="G2928" s="4"/>
      <c r="H2928" s="14"/>
      <c r="I2928" s="4"/>
      <c r="J2928" s="6"/>
      <c r="K2928" s="7"/>
      <c r="L2928" s="8"/>
      <c r="O2928" s="10"/>
    </row>
    <row r="2929" ht="14.25" customHeight="1">
      <c r="A2929" s="1"/>
      <c r="B2929" s="2"/>
      <c r="C2929" s="2"/>
      <c r="D2929" s="2"/>
      <c r="E2929" s="3"/>
      <c r="F2929" s="4"/>
      <c r="G2929" s="4"/>
      <c r="H2929" s="14"/>
      <c r="I2929" s="4"/>
      <c r="J2929" s="6"/>
      <c r="K2929" s="7"/>
      <c r="L2929" s="8"/>
      <c r="O2929" s="10"/>
    </row>
    <row r="2930" ht="14.25" customHeight="1">
      <c r="A2930" s="1"/>
      <c r="B2930" s="2"/>
      <c r="C2930" s="2"/>
      <c r="D2930" s="2"/>
      <c r="E2930" s="3"/>
      <c r="F2930" s="4"/>
      <c r="G2930" s="4"/>
      <c r="H2930" s="14"/>
      <c r="I2930" s="4"/>
      <c r="J2930" s="6"/>
      <c r="K2930" s="7"/>
      <c r="L2930" s="8"/>
      <c r="O2930" s="10"/>
    </row>
    <row r="2931" ht="14.25" customHeight="1">
      <c r="A2931" s="1"/>
      <c r="B2931" s="2"/>
      <c r="C2931" s="2"/>
      <c r="D2931" s="2"/>
      <c r="E2931" s="3"/>
      <c r="F2931" s="4"/>
      <c r="G2931" s="4"/>
      <c r="H2931" s="4"/>
      <c r="I2931" s="4"/>
      <c r="J2931" s="6"/>
      <c r="K2931" s="7"/>
      <c r="L2931" s="8"/>
      <c r="O2931" s="10"/>
    </row>
    <row r="2932" ht="14.25" customHeight="1">
      <c r="A2932" s="1"/>
      <c r="B2932" s="2"/>
      <c r="C2932" s="2"/>
      <c r="D2932" s="2"/>
      <c r="E2932" s="3"/>
      <c r="F2932" s="4"/>
      <c r="G2932" s="4"/>
      <c r="H2932" s="14"/>
      <c r="I2932" s="4"/>
      <c r="J2932" s="6"/>
      <c r="K2932" s="7"/>
      <c r="L2932" s="8"/>
      <c r="O2932" s="10"/>
    </row>
    <row r="2933" ht="14.25" customHeight="1">
      <c r="A2933" s="1"/>
      <c r="B2933" s="2"/>
      <c r="C2933" s="2"/>
      <c r="D2933" s="2"/>
      <c r="E2933" s="3"/>
      <c r="F2933" s="4"/>
      <c r="G2933" s="4"/>
      <c r="H2933" s="4"/>
      <c r="I2933" s="4"/>
      <c r="J2933" s="6"/>
      <c r="K2933" s="7"/>
      <c r="L2933" s="8"/>
      <c r="O2933" s="10"/>
    </row>
    <row r="2934" ht="14.25" customHeight="1">
      <c r="A2934" s="1"/>
      <c r="B2934" s="2"/>
      <c r="C2934" s="2"/>
      <c r="D2934" s="2"/>
      <c r="E2934" s="3"/>
      <c r="F2934" s="4"/>
      <c r="G2934" s="4"/>
      <c r="H2934" s="14"/>
      <c r="I2934" s="4"/>
      <c r="J2934" s="6"/>
      <c r="K2934" s="7"/>
      <c r="L2934" s="8"/>
      <c r="O2934" s="10"/>
    </row>
    <row r="2935" ht="14.25" customHeight="1">
      <c r="A2935" s="1"/>
      <c r="B2935" s="2"/>
      <c r="C2935" s="2"/>
      <c r="D2935" s="2"/>
      <c r="E2935" s="3"/>
      <c r="F2935" s="4"/>
      <c r="G2935" s="4"/>
      <c r="H2935" s="14"/>
      <c r="I2935" s="4"/>
      <c r="J2935" s="6"/>
      <c r="K2935" s="7"/>
      <c r="L2935" s="8"/>
      <c r="O2935" s="10"/>
    </row>
    <row r="2936" ht="14.25" customHeight="1">
      <c r="A2936" s="1"/>
      <c r="B2936" s="2"/>
      <c r="C2936" s="2"/>
      <c r="D2936" s="2"/>
      <c r="E2936" s="3"/>
      <c r="F2936" s="4"/>
      <c r="G2936" s="4"/>
      <c r="H2936" s="14"/>
      <c r="I2936" s="4"/>
      <c r="J2936" s="6"/>
      <c r="K2936" s="7"/>
      <c r="L2936" s="8"/>
      <c r="O2936" s="10"/>
    </row>
    <row r="2937" ht="14.25" customHeight="1">
      <c r="A2937" s="1"/>
      <c r="B2937" s="2"/>
      <c r="C2937" s="2"/>
      <c r="D2937" s="2"/>
      <c r="E2937" s="3"/>
      <c r="F2937" s="4"/>
      <c r="G2937" s="4"/>
      <c r="H2937" s="14"/>
      <c r="I2937" s="4"/>
      <c r="J2937" s="6"/>
      <c r="K2937" s="7"/>
      <c r="L2937" s="8"/>
      <c r="O2937" s="10"/>
    </row>
    <row r="2938" ht="14.25" customHeight="1">
      <c r="A2938" s="1"/>
      <c r="B2938" s="2"/>
      <c r="C2938" s="2"/>
      <c r="D2938" s="2"/>
      <c r="E2938" s="3"/>
      <c r="F2938" s="4"/>
      <c r="G2938" s="4"/>
      <c r="H2938" s="14"/>
      <c r="I2938" s="4"/>
      <c r="J2938" s="6"/>
      <c r="K2938" s="7"/>
      <c r="L2938" s="8"/>
      <c r="O2938" s="10"/>
    </row>
    <row r="2939" ht="14.25" customHeight="1">
      <c r="A2939" s="1"/>
      <c r="B2939" s="2"/>
      <c r="C2939" s="2"/>
      <c r="D2939" s="2"/>
      <c r="E2939" s="3"/>
      <c r="F2939" s="4"/>
      <c r="G2939" s="4"/>
      <c r="H2939" s="14"/>
      <c r="I2939" s="4"/>
      <c r="J2939" s="6"/>
      <c r="K2939" s="7"/>
      <c r="L2939" s="8"/>
      <c r="O2939" s="10"/>
    </row>
    <row r="2940" ht="14.25" customHeight="1">
      <c r="A2940" s="1"/>
      <c r="B2940" s="2"/>
      <c r="C2940" s="2"/>
      <c r="D2940" s="2"/>
      <c r="E2940" s="3"/>
      <c r="F2940" s="4"/>
      <c r="G2940" s="4"/>
      <c r="H2940" s="4"/>
      <c r="I2940" s="4"/>
      <c r="J2940" s="6"/>
      <c r="K2940" s="7"/>
      <c r="L2940" s="8"/>
      <c r="O2940" s="10"/>
    </row>
    <row r="2941" ht="14.25" customHeight="1">
      <c r="A2941" s="1"/>
      <c r="B2941" s="2"/>
      <c r="C2941" s="2"/>
      <c r="D2941" s="2"/>
      <c r="E2941" s="3"/>
      <c r="F2941" s="4"/>
      <c r="G2941" s="4"/>
      <c r="H2941" s="4"/>
      <c r="I2941" s="4"/>
      <c r="J2941" s="6"/>
      <c r="K2941" s="7"/>
      <c r="L2941" s="8"/>
      <c r="O2941" s="10"/>
    </row>
    <row r="2942" ht="14.25" customHeight="1">
      <c r="A2942" s="1"/>
      <c r="B2942" s="2"/>
      <c r="C2942" s="2"/>
      <c r="D2942" s="2"/>
      <c r="E2942" s="3"/>
      <c r="F2942" s="4"/>
      <c r="G2942" s="4"/>
      <c r="H2942" s="14"/>
      <c r="I2942" s="4"/>
      <c r="J2942" s="6"/>
      <c r="K2942" s="7"/>
      <c r="L2942" s="8"/>
      <c r="O2942" s="10"/>
    </row>
    <row r="2943" ht="14.25" customHeight="1">
      <c r="A2943" s="1"/>
      <c r="B2943" s="2"/>
      <c r="C2943" s="2"/>
      <c r="D2943" s="2"/>
      <c r="E2943" s="3"/>
      <c r="F2943" s="4"/>
      <c r="G2943" s="4"/>
      <c r="H2943" s="4"/>
      <c r="I2943" s="4"/>
      <c r="J2943" s="6"/>
      <c r="K2943" s="7"/>
      <c r="L2943" s="8"/>
      <c r="O2943" s="10"/>
    </row>
    <row r="2944" ht="14.25" customHeight="1">
      <c r="A2944" s="1"/>
      <c r="B2944" s="2"/>
      <c r="C2944" s="2"/>
      <c r="D2944" s="2"/>
      <c r="E2944" s="3"/>
      <c r="F2944" s="4"/>
      <c r="G2944" s="4"/>
      <c r="H2944" s="14"/>
      <c r="I2944" s="4"/>
      <c r="J2944" s="6"/>
      <c r="K2944" s="7"/>
      <c r="L2944" s="8"/>
      <c r="O2944" s="10"/>
    </row>
    <row r="2945" ht="14.25" customHeight="1">
      <c r="A2945" s="1"/>
      <c r="B2945" s="2"/>
      <c r="C2945" s="2"/>
      <c r="D2945" s="2"/>
      <c r="E2945" s="3"/>
      <c r="F2945" s="4"/>
      <c r="G2945" s="4"/>
      <c r="H2945" s="14"/>
      <c r="I2945" s="4"/>
      <c r="J2945" s="6"/>
      <c r="K2945" s="7"/>
      <c r="L2945" s="8"/>
      <c r="O2945" s="10"/>
    </row>
    <row r="2946" ht="14.25" customHeight="1">
      <c r="A2946" s="1"/>
      <c r="B2946" s="2"/>
      <c r="C2946" s="2"/>
      <c r="D2946" s="2"/>
      <c r="E2946" s="3"/>
      <c r="F2946" s="4"/>
      <c r="G2946" s="4"/>
      <c r="H2946" s="4"/>
      <c r="I2946" s="4"/>
      <c r="J2946" s="6"/>
      <c r="K2946" s="7"/>
      <c r="L2946" s="8"/>
      <c r="O2946" s="10"/>
    </row>
    <row r="2947" ht="14.25" customHeight="1">
      <c r="A2947" s="1"/>
      <c r="B2947" s="2"/>
      <c r="C2947" s="2"/>
      <c r="D2947" s="2"/>
      <c r="E2947" s="3"/>
      <c r="F2947" s="4"/>
      <c r="G2947" s="4"/>
      <c r="H2947" s="4"/>
      <c r="I2947" s="4"/>
      <c r="J2947" s="6"/>
      <c r="K2947" s="7"/>
      <c r="L2947" s="8"/>
      <c r="O2947" s="10"/>
    </row>
    <row r="2948" ht="14.25" customHeight="1">
      <c r="A2948" s="1"/>
      <c r="B2948" s="2"/>
      <c r="C2948" s="2"/>
      <c r="D2948" s="2"/>
      <c r="E2948" s="3"/>
      <c r="F2948" s="4"/>
      <c r="G2948" s="4"/>
      <c r="H2948" s="14"/>
      <c r="I2948" s="4"/>
      <c r="J2948" s="6"/>
      <c r="K2948" s="7"/>
      <c r="L2948" s="8"/>
      <c r="O2948" s="10"/>
    </row>
    <row r="2949" ht="14.25" customHeight="1">
      <c r="A2949" s="1"/>
      <c r="B2949" s="2"/>
      <c r="C2949" s="2"/>
      <c r="D2949" s="2"/>
      <c r="E2949" s="3"/>
      <c r="F2949" s="4"/>
      <c r="G2949" s="4"/>
      <c r="H2949" s="14"/>
      <c r="I2949" s="4"/>
      <c r="J2949" s="6"/>
      <c r="K2949" s="7"/>
      <c r="L2949" s="8"/>
      <c r="O2949" s="10"/>
    </row>
    <row r="2950" ht="14.25" customHeight="1">
      <c r="A2950" s="1"/>
      <c r="B2950" s="2"/>
      <c r="C2950" s="2"/>
      <c r="D2950" s="2"/>
      <c r="E2950" s="3"/>
      <c r="F2950" s="4"/>
      <c r="G2950" s="4"/>
      <c r="H2950" s="4"/>
      <c r="I2950" s="4"/>
      <c r="J2950" s="6"/>
      <c r="K2950" s="7"/>
      <c r="L2950" s="8"/>
      <c r="O2950" s="10"/>
    </row>
    <row r="2951" ht="14.25" customHeight="1">
      <c r="A2951" s="1"/>
      <c r="B2951" s="2"/>
      <c r="C2951" s="2"/>
      <c r="D2951" s="2"/>
      <c r="E2951" s="3"/>
      <c r="F2951" s="4"/>
      <c r="G2951" s="4"/>
      <c r="H2951" s="14"/>
      <c r="I2951" s="4"/>
      <c r="J2951" s="6"/>
      <c r="K2951" s="7"/>
      <c r="L2951" s="8"/>
      <c r="O2951" s="10"/>
    </row>
    <row r="2952" ht="14.25" customHeight="1">
      <c r="A2952" s="1"/>
      <c r="B2952" s="2"/>
      <c r="C2952" s="2"/>
      <c r="D2952" s="2"/>
      <c r="E2952" s="3"/>
      <c r="F2952" s="4"/>
      <c r="G2952" s="4"/>
      <c r="H2952" s="4"/>
      <c r="I2952" s="4"/>
      <c r="J2952" s="6"/>
      <c r="K2952" s="7"/>
      <c r="L2952" s="8"/>
      <c r="O2952" s="10"/>
    </row>
    <row r="2953" ht="14.25" customHeight="1">
      <c r="A2953" s="1"/>
      <c r="B2953" s="2"/>
      <c r="C2953" s="2"/>
      <c r="D2953" s="2"/>
      <c r="E2953" s="3"/>
      <c r="F2953" s="4"/>
      <c r="G2953" s="4"/>
      <c r="H2953" s="14"/>
      <c r="I2953" s="4"/>
      <c r="J2953" s="6"/>
      <c r="K2953" s="7"/>
      <c r="L2953" s="8"/>
      <c r="O2953" s="10"/>
    </row>
    <row r="2954" ht="14.25" customHeight="1">
      <c r="A2954" s="1"/>
      <c r="B2954" s="2"/>
      <c r="C2954" s="2"/>
      <c r="D2954" s="2"/>
      <c r="E2954" s="3"/>
      <c r="F2954" s="4"/>
      <c r="G2954" s="4"/>
      <c r="H2954" s="14"/>
      <c r="I2954" s="4"/>
      <c r="J2954" s="6"/>
      <c r="K2954" s="7"/>
      <c r="L2954" s="8"/>
      <c r="O2954" s="10"/>
    </row>
    <row r="2955" ht="14.25" customHeight="1">
      <c r="A2955" s="1"/>
      <c r="B2955" s="2"/>
      <c r="C2955" s="2"/>
      <c r="D2955" s="2"/>
      <c r="E2955" s="3"/>
      <c r="F2955" s="4"/>
      <c r="G2955" s="4"/>
      <c r="H2955" s="14"/>
      <c r="I2955" s="4"/>
      <c r="J2955" s="6"/>
      <c r="K2955" s="7"/>
      <c r="L2955" s="8"/>
      <c r="O2955" s="10"/>
    </row>
    <row r="2956" ht="14.25" customHeight="1">
      <c r="A2956" s="1"/>
      <c r="B2956" s="2"/>
      <c r="C2956" s="2"/>
      <c r="D2956" s="2"/>
      <c r="E2956" s="3"/>
      <c r="F2956" s="4"/>
      <c r="G2956" s="4"/>
      <c r="H2956" s="14"/>
      <c r="I2956" s="4"/>
      <c r="J2956" s="6"/>
      <c r="K2956" s="7"/>
      <c r="L2956" s="8"/>
      <c r="O2956" s="10"/>
    </row>
    <row r="2957" ht="14.25" customHeight="1">
      <c r="A2957" s="1"/>
      <c r="B2957" s="2"/>
      <c r="C2957" s="2"/>
      <c r="D2957" s="2"/>
      <c r="E2957" s="3"/>
      <c r="F2957" s="4"/>
      <c r="G2957" s="4"/>
      <c r="H2957" s="14"/>
      <c r="I2957" s="4"/>
      <c r="J2957" s="6"/>
      <c r="K2957" s="7"/>
      <c r="L2957" s="8"/>
      <c r="O2957" s="10"/>
    </row>
    <row r="2958" ht="14.25" customHeight="1">
      <c r="A2958" s="1"/>
      <c r="B2958" s="2"/>
      <c r="C2958" s="2"/>
      <c r="D2958" s="2"/>
      <c r="E2958" s="3"/>
      <c r="F2958" s="4"/>
      <c r="G2958" s="4"/>
      <c r="H2958" s="14"/>
      <c r="I2958" s="4"/>
      <c r="J2958" s="6"/>
      <c r="K2958" s="7"/>
      <c r="L2958" s="8"/>
      <c r="O2958" s="10"/>
    </row>
    <row r="2959" ht="14.25" customHeight="1">
      <c r="A2959" s="1"/>
      <c r="B2959" s="2"/>
      <c r="C2959" s="2"/>
      <c r="D2959" s="2"/>
      <c r="E2959" s="3"/>
      <c r="F2959" s="4"/>
      <c r="G2959" s="4"/>
      <c r="H2959" s="14"/>
      <c r="I2959" s="4"/>
      <c r="J2959" s="6"/>
      <c r="K2959" s="7"/>
      <c r="L2959" s="8"/>
      <c r="O2959" s="10"/>
    </row>
    <row r="2960" ht="14.25" customHeight="1">
      <c r="A2960" s="1"/>
      <c r="B2960" s="2"/>
      <c r="C2960" s="2"/>
      <c r="D2960" s="2"/>
      <c r="E2960" s="3"/>
      <c r="F2960" s="4"/>
      <c r="G2960" s="4"/>
      <c r="H2960" s="14"/>
      <c r="I2960" s="4"/>
      <c r="J2960" s="6"/>
      <c r="K2960" s="7"/>
      <c r="L2960" s="8"/>
      <c r="O2960" s="10"/>
    </row>
    <row r="2961" ht="14.25" customHeight="1">
      <c r="A2961" s="1"/>
      <c r="B2961" s="2"/>
      <c r="C2961" s="2"/>
      <c r="D2961" s="2"/>
      <c r="E2961" s="3"/>
      <c r="F2961" s="4"/>
      <c r="G2961" s="4"/>
      <c r="H2961" s="14"/>
      <c r="I2961" s="4"/>
      <c r="J2961" s="6"/>
      <c r="K2961" s="7"/>
      <c r="L2961" s="8"/>
      <c r="O2961" s="10"/>
    </row>
    <row r="2962" ht="14.25" customHeight="1">
      <c r="A2962" s="1"/>
      <c r="B2962" s="2"/>
      <c r="C2962" s="2"/>
      <c r="D2962" s="2"/>
      <c r="E2962" s="3"/>
      <c r="F2962" s="4"/>
      <c r="G2962" s="4"/>
      <c r="H2962" s="14"/>
      <c r="I2962" s="4"/>
      <c r="J2962" s="6"/>
      <c r="K2962" s="7"/>
      <c r="L2962" s="8"/>
      <c r="O2962" s="10"/>
    </row>
    <row r="2963" ht="14.25" customHeight="1">
      <c r="A2963" s="1"/>
      <c r="B2963" s="2"/>
      <c r="C2963" s="2"/>
      <c r="D2963" s="2"/>
      <c r="E2963" s="3"/>
      <c r="F2963" s="4"/>
      <c r="G2963" s="4"/>
      <c r="H2963" s="14"/>
      <c r="I2963" s="4"/>
      <c r="J2963" s="6"/>
      <c r="K2963" s="7"/>
      <c r="L2963" s="8"/>
      <c r="O2963" s="10"/>
    </row>
    <row r="2964" ht="14.25" customHeight="1">
      <c r="A2964" s="1"/>
      <c r="B2964" s="2"/>
      <c r="C2964" s="2"/>
      <c r="D2964" s="2"/>
      <c r="E2964" s="3"/>
      <c r="F2964" s="4"/>
      <c r="G2964" s="4"/>
      <c r="H2964" s="14"/>
      <c r="I2964" s="4"/>
      <c r="J2964" s="6"/>
      <c r="K2964" s="7"/>
      <c r="L2964" s="8"/>
      <c r="O2964" s="10"/>
    </row>
    <row r="2965" ht="14.25" customHeight="1">
      <c r="A2965" s="1"/>
      <c r="B2965" s="2"/>
      <c r="C2965" s="2"/>
      <c r="D2965" s="2"/>
      <c r="E2965" s="3"/>
      <c r="F2965" s="4"/>
      <c r="G2965" s="4"/>
      <c r="H2965" s="4"/>
      <c r="I2965" s="4"/>
      <c r="J2965" s="6"/>
      <c r="K2965" s="7"/>
      <c r="L2965" s="8"/>
      <c r="O2965" s="10"/>
    </row>
    <row r="2966" ht="14.25" customHeight="1">
      <c r="A2966" s="1"/>
      <c r="B2966" s="2"/>
      <c r="C2966" s="2"/>
      <c r="D2966" s="2"/>
      <c r="E2966" s="3"/>
      <c r="F2966" s="4"/>
      <c r="G2966" s="4"/>
      <c r="H2966" s="14"/>
      <c r="I2966" s="4"/>
      <c r="J2966" s="6"/>
      <c r="K2966" s="7"/>
      <c r="L2966" s="8"/>
      <c r="O2966" s="10"/>
    </row>
    <row r="2967" ht="14.25" customHeight="1">
      <c r="A2967" s="1"/>
      <c r="B2967" s="2"/>
      <c r="C2967" s="2"/>
      <c r="D2967" s="2"/>
      <c r="E2967" s="3"/>
      <c r="F2967" s="4"/>
      <c r="G2967" s="4"/>
      <c r="H2967" s="14"/>
      <c r="I2967" s="4"/>
      <c r="J2967" s="6"/>
      <c r="K2967" s="7"/>
      <c r="L2967" s="8"/>
      <c r="O2967" s="10"/>
    </row>
    <row r="2968" ht="14.25" customHeight="1">
      <c r="A2968" s="1"/>
      <c r="B2968" s="2"/>
      <c r="C2968" s="2"/>
      <c r="D2968" s="2"/>
      <c r="E2968" s="3"/>
      <c r="F2968" s="4"/>
      <c r="G2968" s="4"/>
      <c r="H2968" s="14"/>
      <c r="I2968" s="4"/>
      <c r="J2968" s="6"/>
      <c r="K2968" s="7"/>
      <c r="L2968" s="8"/>
      <c r="O2968" s="10"/>
    </row>
    <row r="2969" ht="14.25" customHeight="1">
      <c r="A2969" s="1"/>
      <c r="B2969" s="2"/>
      <c r="C2969" s="2"/>
      <c r="D2969" s="2"/>
      <c r="E2969" s="3"/>
      <c r="F2969" s="4"/>
      <c r="G2969" s="4"/>
      <c r="H2969" s="14"/>
      <c r="I2969" s="4"/>
      <c r="J2969" s="6"/>
      <c r="K2969" s="7"/>
      <c r="L2969" s="8"/>
      <c r="O2969" s="10"/>
    </row>
    <row r="2970" ht="14.25" customHeight="1">
      <c r="A2970" s="1"/>
      <c r="B2970" s="2"/>
      <c r="C2970" s="2"/>
      <c r="D2970" s="2"/>
      <c r="E2970" s="3"/>
      <c r="F2970" s="4"/>
      <c r="G2970" s="4"/>
      <c r="H2970" s="14"/>
      <c r="I2970" s="4"/>
      <c r="J2970" s="6"/>
      <c r="K2970" s="7"/>
      <c r="L2970" s="8"/>
      <c r="O2970" s="10"/>
    </row>
    <row r="2971" ht="14.25" customHeight="1">
      <c r="A2971" s="1"/>
      <c r="B2971" s="2"/>
      <c r="C2971" s="2"/>
      <c r="D2971" s="2"/>
      <c r="E2971" s="3"/>
      <c r="F2971" s="4"/>
      <c r="G2971" s="4"/>
      <c r="H2971" s="14"/>
      <c r="I2971" s="4"/>
      <c r="J2971" s="6"/>
      <c r="K2971" s="7"/>
      <c r="L2971" s="8"/>
      <c r="O2971" s="10"/>
    </row>
    <row r="2972" ht="14.25" customHeight="1">
      <c r="A2972" s="1"/>
      <c r="B2972" s="2"/>
      <c r="C2972" s="2"/>
      <c r="D2972" s="2"/>
      <c r="E2972" s="3"/>
      <c r="F2972" s="4"/>
      <c r="G2972" s="4"/>
      <c r="H2972" s="14"/>
      <c r="I2972" s="4"/>
      <c r="J2972" s="6"/>
      <c r="K2972" s="7"/>
      <c r="L2972" s="8"/>
      <c r="O2972" s="10"/>
    </row>
    <row r="2973" ht="14.25" customHeight="1">
      <c r="A2973" s="1"/>
      <c r="B2973" s="2"/>
      <c r="C2973" s="2"/>
      <c r="D2973" s="2"/>
      <c r="E2973" s="3"/>
      <c r="F2973" s="4"/>
      <c r="G2973" s="4"/>
      <c r="H2973" s="14"/>
      <c r="I2973" s="4"/>
      <c r="J2973" s="6"/>
      <c r="K2973" s="7"/>
      <c r="L2973" s="8"/>
      <c r="O2973" s="10"/>
    </row>
    <row r="2974" ht="14.25" customHeight="1">
      <c r="A2974" s="1"/>
      <c r="B2974" s="2"/>
      <c r="C2974" s="2"/>
      <c r="D2974" s="2"/>
      <c r="E2974" s="3"/>
      <c r="F2974" s="4"/>
      <c r="G2974" s="4"/>
      <c r="H2974" s="4"/>
      <c r="I2974" s="4"/>
      <c r="J2974" s="6"/>
      <c r="K2974" s="7"/>
      <c r="L2974" s="8"/>
      <c r="O2974" s="10"/>
    </row>
    <row r="2975" ht="14.25" customHeight="1">
      <c r="A2975" s="1"/>
      <c r="B2975" s="2"/>
      <c r="C2975" s="2"/>
      <c r="D2975" s="2"/>
      <c r="E2975" s="3"/>
      <c r="F2975" s="4"/>
      <c r="G2975" s="4"/>
      <c r="H2975" s="14"/>
      <c r="I2975" s="4"/>
      <c r="J2975" s="6"/>
      <c r="K2975" s="7"/>
      <c r="L2975" s="8"/>
      <c r="O2975" s="10"/>
    </row>
    <row r="2976" ht="14.25" customHeight="1">
      <c r="A2976" s="1"/>
      <c r="B2976" s="2"/>
      <c r="C2976" s="2"/>
      <c r="D2976" s="2"/>
      <c r="E2976" s="3"/>
      <c r="F2976" s="4"/>
      <c r="G2976" s="4"/>
      <c r="H2976" s="14"/>
      <c r="I2976" s="4"/>
      <c r="J2976" s="6"/>
      <c r="K2976" s="7"/>
      <c r="L2976" s="8"/>
      <c r="O2976" s="10"/>
    </row>
    <row r="2977" ht="14.25" customHeight="1">
      <c r="A2977" s="1"/>
      <c r="B2977" s="2"/>
      <c r="C2977" s="2"/>
      <c r="D2977" s="2"/>
      <c r="E2977" s="3"/>
      <c r="F2977" s="4"/>
      <c r="G2977" s="4"/>
      <c r="H2977" s="14"/>
      <c r="I2977" s="4"/>
      <c r="J2977" s="6"/>
      <c r="K2977" s="7"/>
      <c r="L2977" s="8"/>
      <c r="O2977" s="10"/>
    </row>
    <row r="2978" ht="14.25" customHeight="1">
      <c r="A2978" s="1"/>
      <c r="B2978" s="2"/>
      <c r="C2978" s="2"/>
      <c r="D2978" s="2"/>
      <c r="E2978" s="3"/>
      <c r="F2978" s="4"/>
      <c r="G2978" s="4"/>
      <c r="H2978" s="14"/>
      <c r="I2978" s="4"/>
      <c r="J2978" s="6"/>
      <c r="K2978" s="7"/>
      <c r="L2978" s="8"/>
      <c r="O2978" s="10"/>
    </row>
    <row r="2979" ht="14.25" customHeight="1">
      <c r="A2979" s="1"/>
      <c r="B2979" s="2"/>
      <c r="C2979" s="2"/>
      <c r="D2979" s="2"/>
      <c r="E2979" s="3"/>
      <c r="F2979" s="4"/>
      <c r="G2979" s="4"/>
      <c r="H2979" s="14"/>
      <c r="I2979" s="4"/>
      <c r="J2979" s="6"/>
      <c r="K2979" s="7"/>
      <c r="L2979" s="8"/>
      <c r="O2979" s="10"/>
    </row>
    <row r="2980" ht="14.25" customHeight="1">
      <c r="A2980" s="1"/>
      <c r="B2980" s="2"/>
      <c r="C2980" s="2"/>
      <c r="D2980" s="2"/>
      <c r="E2980" s="3"/>
      <c r="F2980" s="4"/>
      <c r="G2980" s="4"/>
      <c r="H2980" s="14"/>
      <c r="I2980" s="4"/>
      <c r="J2980" s="6"/>
      <c r="K2980" s="7"/>
      <c r="L2980" s="8"/>
      <c r="O2980" s="10"/>
    </row>
    <row r="2981" ht="14.25" customHeight="1">
      <c r="A2981" s="1"/>
      <c r="B2981" s="2"/>
      <c r="C2981" s="2"/>
      <c r="D2981" s="2"/>
      <c r="E2981" s="3"/>
      <c r="F2981" s="4"/>
      <c r="G2981" s="4"/>
      <c r="H2981" s="14"/>
      <c r="I2981" s="4"/>
      <c r="J2981" s="6"/>
      <c r="K2981" s="7"/>
      <c r="L2981" s="8"/>
      <c r="O2981" s="10"/>
    </row>
    <row r="2982" ht="14.25" customHeight="1">
      <c r="A2982" s="1"/>
      <c r="B2982" s="2"/>
      <c r="C2982" s="2"/>
      <c r="D2982" s="2"/>
      <c r="E2982" s="3"/>
      <c r="F2982" s="4"/>
      <c r="G2982" s="4"/>
      <c r="H2982" s="14"/>
      <c r="I2982" s="4"/>
      <c r="J2982" s="6"/>
      <c r="K2982" s="7"/>
      <c r="L2982" s="8"/>
      <c r="O2982" s="10"/>
    </row>
    <row r="2983" ht="14.25" customHeight="1">
      <c r="A2983" s="1"/>
      <c r="B2983" s="2"/>
      <c r="C2983" s="2"/>
      <c r="D2983" s="2"/>
      <c r="E2983" s="3"/>
      <c r="F2983" s="4"/>
      <c r="G2983" s="4"/>
      <c r="H2983" s="14"/>
      <c r="I2983" s="4"/>
      <c r="J2983" s="6"/>
      <c r="K2983" s="7"/>
      <c r="L2983" s="8"/>
      <c r="O2983" s="10"/>
    </row>
    <row r="2984" ht="14.25" customHeight="1">
      <c r="A2984" s="1"/>
      <c r="B2984" s="2"/>
      <c r="C2984" s="2"/>
      <c r="D2984" s="2"/>
      <c r="E2984" s="3"/>
      <c r="F2984" s="4"/>
      <c r="G2984" s="4"/>
      <c r="H2984" s="14"/>
      <c r="I2984" s="4"/>
      <c r="J2984" s="6"/>
      <c r="K2984" s="7"/>
      <c r="L2984" s="8"/>
      <c r="O2984" s="10"/>
    </row>
    <row r="2985" ht="14.25" customHeight="1">
      <c r="A2985" s="1"/>
      <c r="B2985" s="2"/>
      <c r="C2985" s="2"/>
      <c r="D2985" s="2"/>
      <c r="E2985" s="3"/>
      <c r="F2985" s="4"/>
      <c r="G2985" s="4"/>
      <c r="H2985" s="14"/>
      <c r="I2985" s="4"/>
      <c r="J2985" s="6"/>
      <c r="K2985" s="7"/>
      <c r="L2985" s="8"/>
      <c r="O2985" s="10"/>
    </row>
    <row r="2986" ht="14.25" customHeight="1">
      <c r="A2986" s="1"/>
      <c r="B2986" s="2"/>
      <c r="C2986" s="2"/>
      <c r="D2986" s="2"/>
      <c r="E2986" s="3"/>
      <c r="F2986" s="4"/>
      <c r="G2986" s="4"/>
      <c r="H2986" s="14"/>
      <c r="I2986" s="4"/>
      <c r="J2986" s="6"/>
      <c r="K2986" s="7"/>
      <c r="L2986" s="8"/>
      <c r="O2986" s="10"/>
    </row>
    <row r="2987" ht="14.25" customHeight="1">
      <c r="A2987" s="1"/>
      <c r="B2987" s="2"/>
      <c r="C2987" s="2"/>
      <c r="D2987" s="2"/>
      <c r="E2987" s="3"/>
      <c r="F2987" s="4"/>
      <c r="G2987" s="4"/>
      <c r="H2987" s="4"/>
      <c r="I2987" s="4"/>
      <c r="J2987" s="6"/>
      <c r="K2987" s="7"/>
      <c r="L2987" s="8"/>
      <c r="O2987" s="10"/>
    </row>
    <row r="2988" ht="14.25" customHeight="1">
      <c r="A2988" s="1"/>
      <c r="B2988" s="2"/>
      <c r="C2988" s="2"/>
      <c r="D2988" s="2"/>
      <c r="E2988" s="3"/>
      <c r="F2988" s="4"/>
      <c r="G2988" s="4"/>
      <c r="H2988" s="14"/>
      <c r="I2988" s="4"/>
      <c r="J2988" s="6"/>
      <c r="K2988" s="7"/>
      <c r="L2988" s="8"/>
      <c r="O2988" s="10"/>
    </row>
    <row r="2989" ht="14.25" customHeight="1">
      <c r="A2989" s="1"/>
      <c r="B2989" s="2"/>
      <c r="C2989" s="2"/>
      <c r="D2989" s="2"/>
      <c r="E2989" s="3"/>
      <c r="F2989" s="4"/>
      <c r="G2989" s="4"/>
      <c r="H2989" s="14"/>
      <c r="I2989" s="4"/>
      <c r="J2989" s="6"/>
      <c r="K2989" s="7"/>
      <c r="L2989" s="8"/>
      <c r="O2989" s="10"/>
    </row>
    <row r="2990" ht="14.25" customHeight="1">
      <c r="A2990" s="1"/>
      <c r="B2990" s="2"/>
      <c r="C2990" s="2"/>
      <c r="D2990" s="2"/>
      <c r="E2990" s="3"/>
      <c r="F2990" s="4"/>
      <c r="G2990" s="4"/>
      <c r="H2990" s="4"/>
      <c r="I2990" s="4"/>
      <c r="J2990" s="6"/>
      <c r="K2990" s="7"/>
      <c r="L2990" s="8"/>
      <c r="O2990" s="10"/>
    </row>
    <row r="2991" ht="14.25" customHeight="1">
      <c r="A2991" s="1"/>
      <c r="B2991" s="2"/>
      <c r="C2991" s="2"/>
      <c r="D2991" s="2"/>
      <c r="E2991" s="3"/>
      <c r="F2991" s="4"/>
      <c r="G2991" s="4"/>
      <c r="H2991" s="14"/>
      <c r="I2991" s="4"/>
      <c r="J2991" s="6"/>
      <c r="K2991" s="7"/>
      <c r="L2991" s="8"/>
      <c r="O2991" s="10"/>
    </row>
    <row r="2992" ht="14.25" customHeight="1">
      <c r="A2992" s="1"/>
      <c r="B2992" s="2"/>
      <c r="C2992" s="2"/>
      <c r="D2992" s="2"/>
      <c r="E2992" s="3"/>
      <c r="F2992" s="4"/>
      <c r="G2992" s="4"/>
      <c r="H2992" s="14"/>
      <c r="I2992" s="4"/>
      <c r="J2992" s="6"/>
      <c r="K2992" s="7"/>
      <c r="L2992" s="8"/>
      <c r="O2992" s="10"/>
    </row>
    <row r="2993" ht="14.25" customHeight="1">
      <c r="A2993" s="1"/>
      <c r="B2993" s="2"/>
      <c r="C2993" s="2"/>
      <c r="D2993" s="2"/>
      <c r="E2993" s="3"/>
      <c r="F2993" s="4"/>
      <c r="G2993" s="4"/>
      <c r="H2993" s="4"/>
      <c r="I2993" s="4"/>
      <c r="J2993" s="6"/>
      <c r="K2993" s="7"/>
      <c r="L2993" s="8"/>
      <c r="O2993" s="10"/>
    </row>
    <row r="2994" ht="14.25" customHeight="1">
      <c r="A2994" s="1"/>
      <c r="B2994" s="2"/>
      <c r="C2994" s="2"/>
      <c r="D2994" s="2"/>
      <c r="E2994" s="3"/>
      <c r="F2994" s="4"/>
      <c r="G2994" s="4"/>
      <c r="H2994" s="14"/>
      <c r="I2994" s="4"/>
      <c r="J2994" s="6"/>
      <c r="K2994" s="7"/>
      <c r="L2994" s="8"/>
      <c r="O2994" s="10"/>
    </row>
    <row r="2995" ht="14.25" customHeight="1">
      <c r="A2995" s="1"/>
      <c r="B2995" s="2"/>
      <c r="C2995" s="2"/>
      <c r="D2995" s="2"/>
      <c r="E2995" s="3"/>
      <c r="F2995" s="4"/>
      <c r="G2995" s="4"/>
      <c r="H2995" s="14"/>
      <c r="I2995" s="4"/>
      <c r="J2995" s="6"/>
      <c r="K2995" s="7"/>
      <c r="L2995" s="8"/>
      <c r="O2995" s="10"/>
    </row>
    <row r="2996" ht="14.25" customHeight="1">
      <c r="A2996" s="1"/>
      <c r="B2996" s="2"/>
      <c r="C2996" s="2"/>
      <c r="D2996" s="2"/>
      <c r="E2996" s="3"/>
      <c r="F2996" s="4"/>
      <c r="G2996" s="4"/>
      <c r="H2996" s="14"/>
      <c r="I2996" s="4"/>
      <c r="J2996" s="6"/>
      <c r="K2996" s="7"/>
      <c r="L2996" s="8"/>
      <c r="O2996" s="10"/>
    </row>
    <row r="2997" ht="14.25" customHeight="1">
      <c r="A2997" s="1"/>
      <c r="B2997" s="2"/>
      <c r="C2997" s="2"/>
      <c r="D2997" s="2"/>
      <c r="E2997" s="3"/>
      <c r="F2997" s="4"/>
      <c r="G2997" s="4"/>
      <c r="H2997" s="14"/>
      <c r="I2997" s="4"/>
      <c r="J2997" s="6"/>
      <c r="K2997" s="7"/>
      <c r="L2997" s="8"/>
      <c r="O2997" s="10"/>
    </row>
    <row r="2998" ht="14.25" customHeight="1">
      <c r="A2998" s="1"/>
      <c r="B2998" s="2"/>
      <c r="C2998" s="2"/>
      <c r="D2998" s="2"/>
      <c r="E2998" s="3"/>
      <c r="F2998" s="4"/>
      <c r="G2998" s="4"/>
      <c r="H2998" s="14"/>
      <c r="I2998" s="4"/>
      <c r="J2998" s="6"/>
      <c r="K2998" s="7"/>
      <c r="L2998" s="8"/>
      <c r="O2998" s="10"/>
    </row>
    <row r="2999" ht="14.25" customHeight="1">
      <c r="A2999" s="1"/>
      <c r="B2999" s="2"/>
      <c r="C2999" s="2"/>
      <c r="D2999" s="2"/>
      <c r="E2999" s="3"/>
      <c r="F2999" s="4"/>
      <c r="G2999" s="4"/>
      <c r="H2999" s="4"/>
      <c r="I2999" s="4"/>
      <c r="J2999" s="6"/>
      <c r="K2999" s="7"/>
      <c r="L2999" s="8"/>
      <c r="O2999" s="10"/>
    </row>
    <row r="3000" ht="14.25" customHeight="1">
      <c r="A3000" s="1"/>
      <c r="B3000" s="2"/>
      <c r="C3000" s="2"/>
      <c r="D3000" s="2"/>
      <c r="E3000" s="3"/>
      <c r="F3000" s="4"/>
      <c r="G3000" s="4"/>
      <c r="H3000" s="14"/>
      <c r="I3000" s="4"/>
      <c r="J3000" s="6"/>
      <c r="K3000" s="7"/>
      <c r="L3000" s="8"/>
      <c r="O3000" s="10"/>
    </row>
    <row r="3001" ht="14.25" customHeight="1">
      <c r="A3001" s="1"/>
      <c r="B3001" s="2"/>
      <c r="C3001" s="2"/>
      <c r="D3001" s="2"/>
      <c r="E3001" s="3"/>
      <c r="F3001" s="4"/>
      <c r="G3001" s="4"/>
      <c r="H3001" s="4"/>
      <c r="I3001" s="4"/>
      <c r="J3001" s="6"/>
      <c r="K3001" s="7"/>
      <c r="L3001" s="8"/>
      <c r="O3001" s="10"/>
    </row>
    <row r="3002" ht="14.25" customHeight="1">
      <c r="A3002" s="1"/>
      <c r="B3002" s="2"/>
      <c r="C3002" s="2"/>
      <c r="D3002" s="2"/>
      <c r="E3002" s="3"/>
      <c r="F3002" s="4"/>
      <c r="G3002" s="4"/>
      <c r="H3002" s="14"/>
      <c r="I3002" s="4"/>
      <c r="J3002" s="6"/>
      <c r="K3002" s="7"/>
      <c r="L3002" s="8"/>
      <c r="O3002" s="10"/>
    </row>
    <row r="3003" ht="14.25" customHeight="1">
      <c r="A3003" s="1"/>
      <c r="B3003" s="2"/>
      <c r="C3003" s="2"/>
      <c r="D3003" s="2"/>
      <c r="E3003" s="3"/>
      <c r="F3003" s="4"/>
      <c r="G3003" s="4"/>
      <c r="H3003" s="14"/>
      <c r="I3003" s="4"/>
      <c r="J3003" s="6"/>
      <c r="K3003" s="7"/>
      <c r="L3003" s="8"/>
      <c r="O3003" s="10"/>
    </row>
    <row r="3004" ht="14.25" customHeight="1">
      <c r="A3004" s="1"/>
      <c r="B3004" s="2"/>
      <c r="C3004" s="2"/>
      <c r="D3004" s="2"/>
      <c r="E3004" s="3"/>
      <c r="F3004" s="4"/>
      <c r="G3004" s="4"/>
      <c r="H3004" s="14"/>
      <c r="I3004" s="4"/>
      <c r="J3004" s="6"/>
      <c r="K3004" s="7"/>
      <c r="L3004" s="8"/>
      <c r="O3004" s="10"/>
    </row>
    <row r="3005" ht="14.25" customHeight="1">
      <c r="A3005" s="1"/>
      <c r="B3005" s="2"/>
      <c r="C3005" s="2"/>
      <c r="D3005" s="2"/>
      <c r="E3005" s="3"/>
      <c r="F3005" s="4"/>
      <c r="G3005" s="4"/>
      <c r="H3005" s="4"/>
      <c r="I3005" s="4"/>
      <c r="J3005" s="6"/>
      <c r="K3005" s="7"/>
      <c r="L3005" s="8"/>
      <c r="O3005" s="10"/>
    </row>
    <row r="3006" ht="14.25" customHeight="1">
      <c r="A3006" s="1"/>
      <c r="B3006" s="2"/>
      <c r="C3006" s="2"/>
      <c r="D3006" s="2"/>
      <c r="E3006" s="3"/>
      <c r="F3006" s="4"/>
      <c r="G3006" s="4"/>
      <c r="H3006" s="4"/>
      <c r="I3006" s="4"/>
      <c r="J3006" s="6"/>
      <c r="K3006" s="7"/>
      <c r="L3006" s="8"/>
      <c r="O3006" s="10"/>
    </row>
    <row r="3007" ht="14.25" customHeight="1">
      <c r="A3007" s="1"/>
      <c r="B3007" s="2"/>
      <c r="C3007" s="2"/>
      <c r="D3007" s="2"/>
      <c r="E3007" s="3"/>
      <c r="F3007" s="4"/>
      <c r="G3007" s="4"/>
      <c r="H3007" s="14"/>
      <c r="I3007" s="4"/>
      <c r="J3007" s="6"/>
      <c r="K3007" s="7"/>
      <c r="L3007" s="8"/>
      <c r="O3007" s="10"/>
    </row>
    <row r="3008" ht="14.25" customHeight="1">
      <c r="A3008" s="1"/>
      <c r="B3008" s="2"/>
      <c r="C3008" s="2"/>
      <c r="D3008" s="2"/>
      <c r="E3008" s="3"/>
      <c r="F3008" s="4"/>
      <c r="G3008" s="4"/>
      <c r="H3008" s="4"/>
      <c r="I3008" s="4"/>
      <c r="J3008" s="6"/>
      <c r="K3008" s="7"/>
      <c r="L3008" s="8"/>
      <c r="O3008" s="10"/>
    </row>
    <row r="3009" ht="14.25" customHeight="1">
      <c r="A3009" s="1"/>
      <c r="B3009" s="2"/>
      <c r="C3009" s="2"/>
      <c r="D3009" s="2"/>
      <c r="E3009" s="3"/>
      <c r="F3009" s="4"/>
      <c r="G3009" s="4"/>
      <c r="H3009" s="14"/>
      <c r="I3009" s="4"/>
      <c r="J3009" s="6"/>
      <c r="K3009" s="7"/>
      <c r="L3009" s="8"/>
      <c r="O3009" s="10"/>
    </row>
    <row r="3010" ht="14.25" customHeight="1">
      <c r="A3010" s="1"/>
      <c r="B3010" s="2"/>
      <c r="C3010" s="2"/>
      <c r="D3010" s="2"/>
      <c r="E3010" s="3"/>
      <c r="F3010" s="4"/>
      <c r="G3010" s="4"/>
      <c r="H3010" s="14"/>
      <c r="I3010" s="4"/>
      <c r="J3010" s="6"/>
      <c r="K3010" s="7"/>
      <c r="L3010" s="8"/>
      <c r="O3010" s="10"/>
    </row>
    <row r="3011" ht="14.25" customHeight="1">
      <c r="A3011" s="1"/>
      <c r="B3011" s="2"/>
      <c r="C3011" s="2"/>
      <c r="D3011" s="2"/>
      <c r="E3011" s="3"/>
      <c r="F3011" s="4"/>
      <c r="G3011" s="4"/>
      <c r="H3011" s="4"/>
      <c r="I3011" s="4"/>
      <c r="J3011" s="6"/>
      <c r="K3011" s="7"/>
      <c r="L3011" s="8"/>
      <c r="O3011" s="10"/>
    </row>
    <row r="3012" ht="14.25" customHeight="1">
      <c r="A3012" s="1"/>
      <c r="B3012" s="2"/>
      <c r="C3012" s="2"/>
      <c r="D3012" s="2"/>
      <c r="E3012" s="3"/>
      <c r="F3012" s="4"/>
      <c r="G3012" s="4"/>
      <c r="H3012" s="14"/>
      <c r="I3012" s="4"/>
      <c r="J3012" s="6"/>
      <c r="K3012" s="7"/>
      <c r="L3012" s="8"/>
      <c r="O3012" s="10"/>
    </row>
    <row r="3013" ht="14.25" customHeight="1">
      <c r="A3013" s="1"/>
      <c r="B3013" s="2"/>
      <c r="C3013" s="2"/>
      <c r="D3013" s="2"/>
      <c r="E3013" s="3"/>
      <c r="F3013" s="4"/>
      <c r="G3013" s="4"/>
      <c r="H3013" s="14"/>
      <c r="I3013" s="4"/>
      <c r="J3013" s="6"/>
      <c r="K3013" s="7"/>
      <c r="L3013" s="8"/>
      <c r="O3013" s="10"/>
    </row>
    <row r="3014" ht="14.25" customHeight="1">
      <c r="A3014" s="1"/>
      <c r="B3014" s="2"/>
      <c r="C3014" s="2"/>
      <c r="D3014" s="2"/>
      <c r="E3014" s="3"/>
      <c r="F3014" s="4"/>
      <c r="G3014" s="4"/>
      <c r="H3014" s="14"/>
      <c r="I3014" s="4"/>
      <c r="J3014" s="6"/>
      <c r="K3014" s="7"/>
      <c r="L3014" s="8"/>
      <c r="O3014" s="10"/>
    </row>
    <row r="3015" ht="14.25" customHeight="1">
      <c r="A3015" s="1"/>
      <c r="B3015" s="2"/>
      <c r="C3015" s="2"/>
      <c r="D3015" s="2"/>
      <c r="E3015" s="3"/>
      <c r="F3015" s="4"/>
      <c r="G3015" s="4"/>
      <c r="H3015" s="4"/>
      <c r="I3015" s="4"/>
      <c r="J3015" s="6"/>
      <c r="K3015" s="7"/>
      <c r="L3015" s="8"/>
      <c r="O3015" s="10"/>
    </row>
    <row r="3016" ht="14.25" customHeight="1">
      <c r="A3016" s="1"/>
      <c r="B3016" s="2"/>
      <c r="C3016" s="2"/>
      <c r="D3016" s="2"/>
      <c r="E3016" s="3"/>
      <c r="F3016" s="4"/>
      <c r="G3016" s="4"/>
      <c r="H3016" s="14"/>
      <c r="I3016" s="4"/>
      <c r="J3016" s="6"/>
      <c r="K3016" s="7"/>
      <c r="L3016" s="8"/>
      <c r="O3016" s="10"/>
    </row>
    <row r="3017" ht="14.25" customHeight="1">
      <c r="A3017" s="1"/>
      <c r="B3017" s="2"/>
      <c r="C3017" s="2"/>
      <c r="D3017" s="2"/>
      <c r="E3017" s="3"/>
      <c r="F3017" s="4"/>
      <c r="G3017" s="4"/>
      <c r="H3017" s="14"/>
      <c r="I3017" s="4"/>
      <c r="J3017" s="6"/>
      <c r="K3017" s="7"/>
      <c r="L3017" s="8"/>
      <c r="O3017" s="10"/>
    </row>
    <row r="3018" ht="14.25" customHeight="1">
      <c r="A3018" s="1"/>
      <c r="B3018" s="2"/>
      <c r="C3018" s="2"/>
      <c r="D3018" s="2"/>
      <c r="E3018" s="3"/>
      <c r="F3018" s="4"/>
      <c r="G3018" s="4"/>
      <c r="H3018" s="14"/>
      <c r="I3018" s="4"/>
      <c r="J3018" s="6"/>
      <c r="K3018" s="7"/>
      <c r="L3018" s="8"/>
      <c r="O3018" s="10"/>
    </row>
    <row r="3019" ht="14.25" customHeight="1">
      <c r="A3019" s="1"/>
      <c r="B3019" s="2"/>
      <c r="C3019" s="2"/>
      <c r="D3019" s="2"/>
      <c r="E3019" s="3"/>
      <c r="F3019" s="4"/>
      <c r="G3019" s="4"/>
      <c r="H3019" s="14"/>
      <c r="I3019" s="4"/>
      <c r="J3019" s="6"/>
      <c r="K3019" s="7"/>
      <c r="L3019" s="8"/>
      <c r="O3019" s="10"/>
    </row>
    <row r="3020" ht="14.25" customHeight="1">
      <c r="A3020" s="1"/>
      <c r="B3020" s="2"/>
      <c r="C3020" s="2"/>
      <c r="D3020" s="2"/>
      <c r="E3020" s="3"/>
      <c r="F3020" s="4"/>
      <c r="G3020" s="4"/>
      <c r="H3020" s="14"/>
      <c r="I3020" s="4"/>
      <c r="J3020" s="6"/>
      <c r="K3020" s="7"/>
      <c r="L3020" s="8"/>
      <c r="O3020" s="10"/>
    </row>
    <row r="3021" ht="14.25" customHeight="1">
      <c r="A3021" s="1"/>
      <c r="B3021" s="2"/>
      <c r="C3021" s="2"/>
      <c r="D3021" s="2"/>
      <c r="E3021" s="3"/>
      <c r="F3021" s="4"/>
      <c r="G3021" s="4"/>
      <c r="H3021" s="14"/>
      <c r="I3021" s="4"/>
      <c r="J3021" s="6"/>
      <c r="K3021" s="7"/>
      <c r="L3021" s="8"/>
      <c r="O3021" s="10"/>
    </row>
    <row r="3022" ht="14.25" customHeight="1">
      <c r="A3022" s="1"/>
      <c r="B3022" s="2"/>
      <c r="C3022" s="2"/>
      <c r="D3022" s="2"/>
      <c r="E3022" s="3"/>
      <c r="F3022" s="4"/>
      <c r="G3022" s="4"/>
      <c r="H3022" s="14"/>
      <c r="I3022" s="4"/>
      <c r="J3022" s="6"/>
      <c r="K3022" s="7"/>
      <c r="L3022" s="8"/>
      <c r="O3022" s="10"/>
    </row>
    <row r="3023" ht="14.25" customHeight="1">
      <c r="A3023" s="1"/>
      <c r="B3023" s="2"/>
      <c r="C3023" s="2"/>
      <c r="D3023" s="2"/>
      <c r="E3023" s="3"/>
      <c r="F3023" s="4"/>
      <c r="G3023" s="4"/>
      <c r="H3023" s="14"/>
      <c r="I3023" s="4"/>
      <c r="J3023" s="6"/>
      <c r="K3023" s="7"/>
      <c r="L3023" s="8"/>
      <c r="O3023" s="10"/>
    </row>
    <row r="3024" ht="14.25" customHeight="1">
      <c r="A3024" s="1"/>
      <c r="B3024" s="2"/>
      <c r="C3024" s="2"/>
      <c r="D3024" s="2"/>
      <c r="E3024" s="3"/>
      <c r="F3024" s="4"/>
      <c r="G3024" s="4"/>
      <c r="H3024" s="14"/>
      <c r="I3024" s="4"/>
      <c r="J3024" s="6"/>
      <c r="K3024" s="7"/>
      <c r="L3024" s="8"/>
      <c r="O3024" s="10"/>
    </row>
    <row r="3025" ht="14.25" customHeight="1">
      <c r="A3025" s="1"/>
      <c r="B3025" s="2"/>
      <c r="C3025" s="2"/>
      <c r="D3025" s="2"/>
      <c r="E3025" s="3"/>
      <c r="F3025" s="4"/>
      <c r="G3025" s="4"/>
      <c r="H3025" s="14"/>
      <c r="I3025" s="4"/>
      <c r="J3025" s="6"/>
      <c r="K3025" s="7"/>
      <c r="L3025" s="8"/>
      <c r="O3025" s="10"/>
    </row>
    <row r="3026" ht="14.25" customHeight="1">
      <c r="A3026" s="1"/>
      <c r="B3026" s="2"/>
      <c r="C3026" s="2"/>
      <c r="D3026" s="2"/>
      <c r="E3026" s="3"/>
      <c r="F3026" s="4"/>
      <c r="G3026" s="4"/>
      <c r="H3026" s="14"/>
      <c r="I3026" s="4"/>
      <c r="J3026" s="6"/>
      <c r="K3026" s="7"/>
      <c r="L3026" s="8"/>
      <c r="O3026" s="10"/>
    </row>
    <row r="3027" ht="14.25" customHeight="1">
      <c r="A3027" s="1"/>
      <c r="B3027" s="2"/>
      <c r="C3027" s="2"/>
      <c r="D3027" s="2"/>
      <c r="E3027" s="3"/>
      <c r="F3027" s="4"/>
      <c r="G3027" s="4"/>
      <c r="H3027" s="14"/>
      <c r="I3027" s="4"/>
      <c r="J3027" s="6"/>
      <c r="K3027" s="7"/>
      <c r="L3027" s="8"/>
      <c r="O3027" s="10"/>
    </row>
    <row r="3028" ht="14.25" customHeight="1">
      <c r="A3028" s="1"/>
      <c r="B3028" s="2"/>
      <c r="C3028" s="2"/>
      <c r="D3028" s="2"/>
      <c r="E3028" s="3"/>
      <c r="F3028" s="4"/>
      <c r="G3028" s="4"/>
      <c r="H3028" s="14"/>
      <c r="I3028" s="4"/>
      <c r="J3028" s="6"/>
      <c r="K3028" s="7"/>
      <c r="L3028" s="8"/>
      <c r="O3028" s="10"/>
    </row>
    <row r="3029" ht="14.25" customHeight="1">
      <c r="A3029" s="1"/>
      <c r="B3029" s="2"/>
      <c r="C3029" s="2"/>
      <c r="D3029" s="2"/>
      <c r="E3029" s="3"/>
      <c r="F3029" s="4"/>
      <c r="G3029" s="4"/>
      <c r="H3029" s="14"/>
      <c r="I3029" s="4"/>
      <c r="J3029" s="6"/>
      <c r="K3029" s="7"/>
      <c r="L3029" s="8"/>
      <c r="O3029" s="10"/>
    </row>
    <row r="3030" ht="14.25" customHeight="1">
      <c r="A3030" s="1"/>
      <c r="B3030" s="2"/>
      <c r="C3030" s="2"/>
      <c r="D3030" s="2"/>
      <c r="E3030" s="3"/>
      <c r="F3030" s="4"/>
      <c r="G3030" s="4"/>
      <c r="H3030" s="14"/>
      <c r="I3030" s="4"/>
      <c r="J3030" s="6"/>
      <c r="K3030" s="7"/>
      <c r="L3030" s="8"/>
      <c r="O3030" s="10"/>
    </row>
    <row r="3031" ht="14.25" customHeight="1">
      <c r="A3031" s="1"/>
      <c r="B3031" s="2"/>
      <c r="C3031" s="2"/>
      <c r="D3031" s="2"/>
      <c r="E3031" s="3"/>
      <c r="F3031" s="4"/>
      <c r="G3031" s="4"/>
      <c r="H3031" s="4"/>
      <c r="I3031" s="4"/>
      <c r="J3031" s="6"/>
      <c r="K3031" s="7"/>
      <c r="L3031" s="8"/>
      <c r="O3031" s="10"/>
    </row>
    <row r="3032" ht="14.25" customHeight="1">
      <c r="A3032" s="1"/>
      <c r="B3032" s="2"/>
      <c r="C3032" s="2"/>
      <c r="D3032" s="2"/>
      <c r="E3032" s="3"/>
      <c r="F3032" s="4"/>
      <c r="G3032" s="4"/>
      <c r="H3032" s="14"/>
      <c r="I3032" s="4"/>
      <c r="J3032" s="6"/>
      <c r="K3032" s="7"/>
      <c r="L3032" s="8"/>
      <c r="O3032" s="10"/>
    </row>
    <row r="3033" ht="14.25" customHeight="1">
      <c r="A3033" s="1"/>
      <c r="B3033" s="2"/>
      <c r="C3033" s="2"/>
      <c r="D3033" s="2"/>
      <c r="E3033" s="3"/>
      <c r="F3033" s="4"/>
      <c r="G3033" s="4"/>
      <c r="H3033" s="4"/>
      <c r="I3033" s="4"/>
      <c r="J3033" s="6"/>
      <c r="K3033" s="7"/>
      <c r="L3033" s="8"/>
      <c r="O3033" s="10"/>
    </row>
    <row r="3034" ht="14.25" customHeight="1">
      <c r="A3034" s="1"/>
      <c r="B3034" s="2"/>
      <c r="C3034" s="2"/>
      <c r="D3034" s="2"/>
      <c r="E3034" s="3"/>
      <c r="F3034" s="4"/>
      <c r="G3034" s="4"/>
      <c r="H3034" s="14"/>
      <c r="I3034" s="4"/>
      <c r="J3034" s="6"/>
      <c r="K3034" s="7"/>
      <c r="L3034" s="8"/>
      <c r="O3034" s="10"/>
    </row>
    <row r="3035" ht="14.25" customHeight="1">
      <c r="A3035" s="1"/>
      <c r="B3035" s="2"/>
      <c r="C3035" s="2"/>
      <c r="D3035" s="2"/>
      <c r="E3035" s="3"/>
      <c r="F3035" s="4"/>
      <c r="G3035" s="4"/>
      <c r="H3035" s="14"/>
      <c r="I3035" s="4"/>
      <c r="J3035" s="6"/>
      <c r="K3035" s="7"/>
      <c r="L3035" s="8"/>
      <c r="O3035" s="10"/>
    </row>
    <row r="3036" ht="14.25" customHeight="1">
      <c r="A3036" s="1"/>
      <c r="B3036" s="2"/>
      <c r="C3036" s="2"/>
      <c r="D3036" s="2"/>
      <c r="E3036" s="3"/>
      <c r="F3036" s="4"/>
      <c r="G3036" s="4"/>
      <c r="H3036" s="14"/>
      <c r="I3036" s="4"/>
      <c r="J3036" s="6"/>
      <c r="K3036" s="7"/>
      <c r="L3036" s="8"/>
      <c r="O3036" s="10"/>
    </row>
    <row r="3037" ht="14.25" customHeight="1">
      <c r="A3037" s="1"/>
      <c r="B3037" s="2"/>
      <c r="C3037" s="2"/>
      <c r="D3037" s="2"/>
      <c r="E3037" s="3"/>
      <c r="F3037" s="4"/>
      <c r="G3037" s="4"/>
      <c r="H3037" s="14"/>
      <c r="I3037" s="4"/>
      <c r="J3037" s="6"/>
      <c r="K3037" s="7"/>
      <c r="L3037" s="8"/>
      <c r="O3037" s="10"/>
    </row>
    <row r="3038" ht="14.25" customHeight="1">
      <c r="A3038" s="1"/>
      <c r="B3038" s="2"/>
      <c r="C3038" s="2"/>
      <c r="D3038" s="2"/>
      <c r="E3038" s="3"/>
      <c r="F3038" s="4"/>
      <c r="G3038" s="4"/>
      <c r="H3038" s="4"/>
      <c r="I3038" s="4"/>
      <c r="J3038" s="6"/>
      <c r="K3038" s="7"/>
      <c r="L3038" s="8"/>
      <c r="O3038" s="10"/>
    </row>
    <row r="3039" ht="14.25" customHeight="1">
      <c r="A3039" s="1"/>
      <c r="B3039" s="2"/>
      <c r="C3039" s="2"/>
      <c r="D3039" s="2"/>
      <c r="E3039" s="3"/>
      <c r="F3039" s="4"/>
      <c r="G3039" s="4"/>
      <c r="H3039" s="4"/>
      <c r="I3039" s="4"/>
      <c r="J3039" s="6"/>
      <c r="K3039" s="7"/>
      <c r="L3039" s="8"/>
      <c r="O3039" s="10"/>
    </row>
    <row r="3040" ht="14.25" customHeight="1">
      <c r="A3040" s="1"/>
      <c r="B3040" s="2"/>
      <c r="C3040" s="2"/>
      <c r="D3040" s="2"/>
      <c r="E3040" s="3"/>
      <c r="F3040" s="4"/>
      <c r="G3040" s="4"/>
      <c r="H3040" s="14"/>
      <c r="I3040" s="4"/>
      <c r="J3040" s="6"/>
      <c r="K3040" s="7"/>
      <c r="L3040" s="8"/>
      <c r="O3040" s="10"/>
    </row>
    <row r="3041" ht="14.25" customHeight="1">
      <c r="A3041" s="1"/>
      <c r="B3041" s="2"/>
      <c r="C3041" s="2"/>
      <c r="D3041" s="2"/>
      <c r="E3041" s="3"/>
      <c r="F3041" s="4"/>
      <c r="G3041" s="4"/>
      <c r="H3041" s="14"/>
      <c r="I3041" s="4"/>
      <c r="J3041" s="6"/>
      <c r="K3041" s="7"/>
      <c r="L3041" s="8"/>
      <c r="O3041" s="10"/>
    </row>
    <row r="3042" ht="14.25" customHeight="1">
      <c r="A3042" s="1"/>
      <c r="B3042" s="2"/>
      <c r="C3042" s="2"/>
      <c r="D3042" s="2"/>
      <c r="E3042" s="3"/>
      <c r="F3042" s="4"/>
      <c r="G3042" s="4"/>
      <c r="H3042" s="14"/>
      <c r="I3042" s="4"/>
      <c r="J3042" s="6"/>
      <c r="K3042" s="7"/>
      <c r="L3042" s="8"/>
      <c r="O3042" s="10"/>
    </row>
    <row r="3043" ht="14.25" customHeight="1">
      <c r="A3043" s="1"/>
      <c r="B3043" s="2"/>
      <c r="C3043" s="2"/>
      <c r="D3043" s="2"/>
      <c r="E3043" s="3"/>
      <c r="F3043" s="4"/>
      <c r="G3043" s="4"/>
      <c r="H3043" s="14"/>
      <c r="I3043" s="4"/>
      <c r="J3043" s="6"/>
      <c r="K3043" s="7"/>
      <c r="L3043" s="8"/>
      <c r="O3043" s="10"/>
    </row>
    <row r="3044" ht="14.25" customHeight="1">
      <c r="A3044" s="1"/>
      <c r="B3044" s="2"/>
      <c r="C3044" s="2"/>
      <c r="D3044" s="2"/>
      <c r="E3044" s="3"/>
      <c r="F3044" s="4"/>
      <c r="G3044" s="4"/>
      <c r="H3044" s="14"/>
      <c r="I3044" s="4"/>
      <c r="J3044" s="6"/>
      <c r="K3044" s="7"/>
      <c r="L3044" s="8"/>
      <c r="O3044" s="10"/>
    </row>
    <row r="3045" ht="14.25" customHeight="1">
      <c r="A3045" s="1"/>
      <c r="B3045" s="2"/>
      <c r="C3045" s="2"/>
      <c r="D3045" s="2"/>
      <c r="E3045" s="3"/>
      <c r="F3045" s="4"/>
      <c r="G3045" s="4"/>
      <c r="H3045" s="14"/>
      <c r="I3045" s="4"/>
      <c r="J3045" s="6"/>
      <c r="K3045" s="7"/>
      <c r="L3045" s="8"/>
      <c r="O3045" s="10"/>
    </row>
    <row r="3046" ht="14.25" customHeight="1">
      <c r="A3046" s="1"/>
      <c r="B3046" s="2"/>
      <c r="C3046" s="2"/>
      <c r="D3046" s="2"/>
      <c r="E3046" s="3"/>
      <c r="F3046" s="4"/>
      <c r="G3046" s="4"/>
      <c r="H3046" s="14"/>
      <c r="I3046" s="4"/>
      <c r="J3046" s="6"/>
      <c r="K3046" s="7"/>
      <c r="L3046" s="8"/>
      <c r="O3046" s="10"/>
    </row>
    <row r="3047" ht="14.25" customHeight="1">
      <c r="A3047" s="1"/>
      <c r="B3047" s="2"/>
      <c r="C3047" s="2"/>
      <c r="D3047" s="2"/>
      <c r="E3047" s="3"/>
      <c r="F3047" s="4"/>
      <c r="G3047" s="4"/>
      <c r="H3047" s="14"/>
      <c r="I3047" s="4"/>
      <c r="J3047" s="6"/>
      <c r="K3047" s="7"/>
      <c r="L3047" s="8"/>
      <c r="O3047" s="10"/>
    </row>
    <row r="3048" ht="14.25" customHeight="1">
      <c r="A3048" s="1"/>
      <c r="B3048" s="2"/>
      <c r="C3048" s="2"/>
      <c r="D3048" s="2"/>
      <c r="E3048" s="3"/>
      <c r="F3048" s="4"/>
      <c r="G3048" s="4"/>
      <c r="H3048" s="14"/>
      <c r="I3048" s="4"/>
      <c r="J3048" s="6"/>
      <c r="K3048" s="7"/>
      <c r="L3048" s="8"/>
      <c r="O3048" s="10"/>
    </row>
    <row r="3049" ht="14.25" customHeight="1">
      <c r="A3049" s="1"/>
      <c r="B3049" s="2"/>
      <c r="C3049" s="2"/>
      <c r="D3049" s="2"/>
      <c r="E3049" s="3"/>
      <c r="F3049" s="4"/>
      <c r="G3049" s="4"/>
      <c r="H3049" s="14"/>
      <c r="I3049" s="4"/>
      <c r="J3049" s="6"/>
      <c r="K3049" s="7"/>
      <c r="L3049" s="8"/>
      <c r="O3049" s="10"/>
    </row>
    <row r="3050" ht="14.25" customHeight="1">
      <c r="A3050" s="1"/>
      <c r="B3050" s="2"/>
      <c r="C3050" s="2"/>
      <c r="D3050" s="2"/>
      <c r="E3050" s="3"/>
      <c r="F3050" s="4"/>
      <c r="G3050" s="4"/>
      <c r="H3050" s="14"/>
      <c r="I3050" s="4"/>
      <c r="J3050" s="6"/>
      <c r="K3050" s="7"/>
      <c r="L3050" s="8"/>
      <c r="O3050" s="10"/>
    </row>
    <row r="3051" ht="14.25" customHeight="1">
      <c r="A3051" s="1"/>
      <c r="B3051" s="2"/>
      <c r="C3051" s="2"/>
      <c r="D3051" s="2"/>
      <c r="E3051" s="3"/>
      <c r="F3051" s="4"/>
      <c r="G3051" s="4"/>
      <c r="H3051" s="14"/>
      <c r="I3051" s="4"/>
      <c r="J3051" s="6"/>
      <c r="K3051" s="7"/>
      <c r="L3051" s="8"/>
      <c r="O3051" s="10"/>
    </row>
    <row r="3052" ht="14.25" customHeight="1">
      <c r="A3052" s="1"/>
      <c r="B3052" s="2"/>
      <c r="C3052" s="2"/>
      <c r="D3052" s="2"/>
      <c r="E3052" s="3"/>
      <c r="F3052" s="4"/>
      <c r="G3052" s="4"/>
      <c r="H3052" s="14"/>
      <c r="I3052" s="4"/>
      <c r="J3052" s="6"/>
      <c r="K3052" s="7"/>
      <c r="L3052" s="8"/>
      <c r="O3052" s="10"/>
    </row>
    <row r="3053" ht="14.25" customHeight="1">
      <c r="A3053" s="1"/>
      <c r="B3053" s="2"/>
      <c r="C3053" s="2"/>
      <c r="D3053" s="2"/>
      <c r="E3053" s="3"/>
      <c r="F3053" s="4"/>
      <c r="G3053" s="4"/>
      <c r="H3053" s="14"/>
      <c r="I3053" s="4"/>
      <c r="J3053" s="6"/>
      <c r="K3053" s="7"/>
      <c r="L3053" s="8"/>
      <c r="O3053" s="10"/>
    </row>
    <row r="3054" ht="14.25" customHeight="1">
      <c r="A3054" s="1"/>
      <c r="B3054" s="2"/>
      <c r="C3054" s="2"/>
      <c r="D3054" s="2"/>
      <c r="E3054" s="3"/>
      <c r="F3054" s="4"/>
      <c r="G3054" s="4"/>
      <c r="H3054" s="14"/>
      <c r="I3054" s="4"/>
      <c r="J3054" s="6"/>
      <c r="K3054" s="7"/>
      <c r="L3054" s="8"/>
      <c r="O3054" s="10"/>
    </row>
    <row r="3055" ht="14.25" customHeight="1">
      <c r="A3055" s="1"/>
      <c r="B3055" s="2"/>
      <c r="C3055" s="2"/>
      <c r="D3055" s="2"/>
      <c r="E3055" s="3"/>
      <c r="F3055" s="4"/>
      <c r="G3055" s="4"/>
      <c r="H3055" s="14"/>
      <c r="I3055" s="4"/>
      <c r="J3055" s="6"/>
      <c r="K3055" s="7"/>
      <c r="L3055" s="8"/>
      <c r="O3055" s="10"/>
    </row>
    <row r="3056" ht="14.25" customHeight="1">
      <c r="A3056" s="1"/>
      <c r="B3056" s="2"/>
      <c r="C3056" s="2"/>
      <c r="D3056" s="2"/>
      <c r="E3056" s="3"/>
      <c r="F3056" s="4"/>
      <c r="G3056" s="4"/>
      <c r="H3056" s="4"/>
      <c r="I3056" s="4"/>
      <c r="J3056" s="6"/>
      <c r="K3056" s="7"/>
      <c r="L3056" s="8"/>
      <c r="O3056" s="10"/>
    </row>
    <row r="3057" ht="14.25" customHeight="1">
      <c r="A3057" s="1"/>
      <c r="B3057" s="2"/>
      <c r="C3057" s="2"/>
      <c r="D3057" s="2"/>
      <c r="E3057" s="3"/>
      <c r="F3057" s="4"/>
      <c r="G3057" s="4"/>
      <c r="H3057" s="14"/>
      <c r="I3057" s="4"/>
      <c r="J3057" s="6"/>
      <c r="K3057" s="7"/>
      <c r="L3057" s="8"/>
      <c r="O3057" s="10"/>
    </row>
    <row r="3058" ht="14.25" customHeight="1">
      <c r="A3058" s="1"/>
      <c r="B3058" s="2"/>
      <c r="C3058" s="2"/>
      <c r="D3058" s="2"/>
      <c r="E3058" s="3"/>
      <c r="F3058" s="4"/>
      <c r="G3058" s="4"/>
      <c r="H3058" s="14"/>
      <c r="I3058" s="4"/>
      <c r="J3058" s="6"/>
      <c r="K3058" s="7"/>
      <c r="L3058" s="8"/>
      <c r="O3058" s="10"/>
    </row>
    <row r="3059" ht="14.25" customHeight="1">
      <c r="A3059" s="1"/>
      <c r="B3059" s="2"/>
      <c r="C3059" s="2"/>
      <c r="D3059" s="2"/>
      <c r="E3059" s="3"/>
      <c r="F3059" s="4"/>
      <c r="G3059" s="4"/>
      <c r="H3059" s="14"/>
      <c r="I3059" s="4"/>
      <c r="J3059" s="6"/>
      <c r="K3059" s="7"/>
      <c r="L3059" s="8"/>
      <c r="O3059" s="10"/>
    </row>
    <row r="3060" ht="14.25" customHeight="1">
      <c r="A3060" s="1"/>
      <c r="B3060" s="2"/>
      <c r="C3060" s="2"/>
      <c r="D3060" s="2"/>
      <c r="E3060" s="3"/>
      <c r="F3060" s="4"/>
      <c r="G3060" s="4"/>
      <c r="H3060" s="14"/>
      <c r="I3060" s="4"/>
      <c r="J3060" s="6"/>
      <c r="K3060" s="7"/>
      <c r="L3060" s="8"/>
      <c r="O3060" s="10"/>
    </row>
    <row r="3061" ht="14.25" customHeight="1">
      <c r="A3061" s="1"/>
      <c r="B3061" s="2"/>
      <c r="C3061" s="2"/>
      <c r="D3061" s="2"/>
      <c r="E3061" s="3"/>
      <c r="F3061" s="4"/>
      <c r="G3061" s="4"/>
      <c r="H3061" s="4"/>
      <c r="I3061" s="4"/>
      <c r="J3061" s="6"/>
      <c r="K3061" s="7"/>
      <c r="L3061" s="8"/>
      <c r="O3061" s="10"/>
    </row>
    <row r="3062" ht="14.25" customHeight="1">
      <c r="A3062" s="1"/>
      <c r="B3062" s="2"/>
      <c r="C3062" s="2"/>
      <c r="D3062" s="2"/>
      <c r="E3062" s="3"/>
      <c r="F3062" s="4"/>
      <c r="G3062" s="4"/>
      <c r="H3062" s="14"/>
      <c r="I3062" s="4"/>
      <c r="J3062" s="6"/>
      <c r="K3062" s="7"/>
      <c r="L3062" s="8"/>
      <c r="O3062" s="10"/>
    </row>
    <row r="3063" ht="14.25" customHeight="1">
      <c r="A3063" s="1"/>
      <c r="B3063" s="2"/>
      <c r="C3063" s="2"/>
      <c r="D3063" s="2"/>
      <c r="E3063" s="3"/>
      <c r="F3063" s="4"/>
      <c r="G3063" s="4"/>
      <c r="H3063" s="4"/>
      <c r="I3063" s="4"/>
      <c r="J3063" s="6"/>
      <c r="K3063" s="7"/>
      <c r="L3063" s="8"/>
      <c r="O3063" s="10"/>
    </row>
    <row r="3064" ht="14.25" customHeight="1">
      <c r="A3064" s="1"/>
      <c r="B3064" s="2"/>
      <c r="C3064" s="2"/>
      <c r="D3064" s="2"/>
      <c r="E3064" s="3"/>
      <c r="F3064" s="4"/>
      <c r="G3064" s="4"/>
      <c r="H3064" s="4"/>
      <c r="I3064" s="4"/>
      <c r="J3064" s="6"/>
      <c r="K3064" s="7"/>
      <c r="L3064" s="8"/>
      <c r="O3064" s="10"/>
    </row>
    <row r="3065" ht="14.25" customHeight="1">
      <c r="A3065" s="1"/>
      <c r="B3065" s="2"/>
      <c r="C3065" s="2"/>
      <c r="D3065" s="2"/>
      <c r="E3065" s="3"/>
      <c r="F3065" s="4"/>
      <c r="G3065" s="4"/>
      <c r="H3065" s="4"/>
      <c r="I3065" s="4"/>
      <c r="J3065" s="6"/>
      <c r="K3065" s="7"/>
      <c r="L3065" s="8"/>
      <c r="O3065" s="10"/>
    </row>
    <row r="3066" ht="14.25" customHeight="1">
      <c r="A3066" s="1"/>
      <c r="B3066" s="2"/>
      <c r="C3066" s="2"/>
      <c r="D3066" s="2"/>
      <c r="E3066" s="3"/>
      <c r="F3066" s="4"/>
      <c r="G3066" s="4"/>
      <c r="H3066" s="14"/>
      <c r="I3066" s="4"/>
      <c r="J3066" s="6"/>
      <c r="K3066" s="7"/>
      <c r="L3066" s="8"/>
      <c r="O3066" s="10"/>
    </row>
    <row r="3067" ht="14.25" customHeight="1">
      <c r="A3067" s="1"/>
      <c r="B3067" s="2"/>
      <c r="C3067" s="2"/>
      <c r="D3067" s="2"/>
      <c r="E3067" s="3"/>
      <c r="F3067" s="4"/>
      <c r="G3067" s="4"/>
      <c r="H3067" s="14"/>
      <c r="I3067" s="4"/>
      <c r="J3067" s="6"/>
      <c r="K3067" s="7"/>
      <c r="L3067" s="8"/>
      <c r="O3067" s="10"/>
    </row>
    <row r="3068" ht="14.25" customHeight="1">
      <c r="A3068" s="1"/>
      <c r="B3068" s="2"/>
      <c r="C3068" s="2"/>
      <c r="D3068" s="2"/>
      <c r="E3068" s="3"/>
      <c r="F3068" s="4"/>
      <c r="G3068" s="4"/>
      <c r="H3068" s="14"/>
      <c r="I3068" s="4"/>
      <c r="J3068" s="6"/>
      <c r="K3068" s="7"/>
      <c r="L3068" s="8"/>
      <c r="O3068" s="10"/>
    </row>
    <row r="3069" ht="14.25" customHeight="1">
      <c r="A3069" s="1"/>
      <c r="B3069" s="2"/>
      <c r="C3069" s="2"/>
      <c r="D3069" s="2"/>
      <c r="E3069" s="3"/>
      <c r="F3069" s="4"/>
      <c r="G3069" s="4"/>
      <c r="H3069" s="14"/>
      <c r="I3069" s="4"/>
      <c r="J3069" s="6"/>
      <c r="K3069" s="7"/>
      <c r="L3069" s="8"/>
      <c r="O3069" s="10"/>
    </row>
    <row r="3070" ht="14.25" customHeight="1">
      <c r="A3070" s="1"/>
      <c r="B3070" s="2"/>
      <c r="C3070" s="2"/>
      <c r="D3070" s="2"/>
      <c r="E3070" s="3"/>
      <c r="F3070" s="4"/>
      <c r="G3070" s="4"/>
      <c r="H3070" s="14"/>
      <c r="I3070" s="4"/>
      <c r="J3070" s="6"/>
      <c r="K3070" s="7"/>
      <c r="L3070" s="8"/>
      <c r="O3070" s="10"/>
    </row>
    <row r="3071" ht="14.25" customHeight="1">
      <c r="A3071" s="1"/>
      <c r="B3071" s="2"/>
      <c r="C3071" s="2"/>
      <c r="D3071" s="2"/>
      <c r="E3071" s="3"/>
      <c r="F3071" s="4"/>
      <c r="G3071" s="4"/>
      <c r="H3071" s="4"/>
      <c r="I3071" s="4"/>
      <c r="J3071" s="6"/>
      <c r="K3071" s="7"/>
      <c r="L3071" s="8"/>
      <c r="O3071" s="10"/>
    </row>
    <row r="3072" ht="14.25" customHeight="1">
      <c r="A3072" s="1"/>
      <c r="B3072" s="2"/>
      <c r="C3072" s="2"/>
      <c r="D3072" s="2"/>
      <c r="E3072" s="3"/>
      <c r="F3072" s="4"/>
      <c r="G3072" s="4"/>
      <c r="H3072" s="14"/>
      <c r="I3072" s="4"/>
      <c r="J3072" s="6"/>
      <c r="K3072" s="7"/>
      <c r="L3072" s="8"/>
      <c r="O3072" s="10"/>
    </row>
    <row r="3073" ht="14.25" customHeight="1">
      <c r="A3073" s="1"/>
      <c r="B3073" s="2"/>
      <c r="C3073" s="2"/>
      <c r="D3073" s="2"/>
      <c r="E3073" s="3"/>
      <c r="F3073" s="4"/>
      <c r="G3073" s="4"/>
      <c r="H3073" s="14"/>
      <c r="I3073" s="4"/>
      <c r="J3073" s="6"/>
      <c r="K3073" s="7"/>
      <c r="L3073" s="8"/>
      <c r="O3073" s="10"/>
    </row>
    <row r="3074" ht="14.25" customHeight="1">
      <c r="A3074" s="1"/>
      <c r="B3074" s="2"/>
      <c r="C3074" s="2"/>
      <c r="D3074" s="2"/>
      <c r="E3074" s="3"/>
      <c r="F3074" s="4"/>
      <c r="G3074" s="4"/>
      <c r="H3074" s="4"/>
      <c r="I3074" s="4"/>
      <c r="J3074" s="6"/>
      <c r="K3074" s="7"/>
      <c r="L3074" s="8"/>
      <c r="O3074" s="10"/>
    </row>
    <row r="3075" ht="14.25" customHeight="1">
      <c r="A3075" s="1"/>
      <c r="B3075" s="2"/>
      <c r="C3075" s="2"/>
      <c r="D3075" s="2"/>
      <c r="E3075" s="3"/>
      <c r="F3075" s="4"/>
      <c r="G3075" s="4"/>
      <c r="H3075" s="14"/>
      <c r="I3075" s="4"/>
      <c r="J3075" s="6"/>
      <c r="K3075" s="7"/>
      <c r="L3075" s="8"/>
      <c r="O3075" s="10"/>
    </row>
    <row r="3076" ht="14.25" customHeight="1">
      <c r="A3076" s="1"/>
      <c r="B3076" s="2"/>
      <c r="C3076" s="2"/>
      <c r="D3076" s="2"/>
      <c r="E3076" s="3"/>
      <c r="F3076" s="4"/>
      <c r="G3076" s="4"/>
      <c r="H3076" s="14"/>
      <c r="I3076" s="4"/>
      <c r="J3076" s="6"/>
      <c r="K3076" s="7"/>
      <c r="L3076" s="8"/>
      <c r="O3076" s="10"/>
    </row>
    <row r="3077" ht="14.25" customHeight="1">
      <c r="A3077" s="1"/>
      <c r="B3077" s="2"/>
      <c r="C3077" s="2"/>
      <c r="D3077" s="2"/>
      <c r="E3077" s="3"/>
      <c r="F3077" s="4"/>
      <c r="G3077" s="4"/>
      <c r="H3077" s="14"/>
      <c r="I3077" s="4"/>
      <c r="J3077" s="6"/>
      <c r="K3077" s="7"/>
      <c r="L3077" s="8"/>
      <c r="O3077" s="10"/>
    </row>
    <row r="3078" ht="14.25" customHeight="1">
      <c r="A3078" s="1"/>
      <c r="B3078" s="2"/>
      <c r="C3078" s="2"/>
      <c r="D3078" s="2"/>
      <c r="E3078" s="3"/>
      <c r="F3078" s="4"/>
      <c r="G3078" s="4"/>
      <c r="H3078" s="14"/>
      <c r="I3078" s="4"/>
      <c r="J3078" s="6"/>
      <c r="K3078" s="7"/>
      <c r="L3078" s="8"/>
      <c r="O3078" s="10"/>
    </row>
    <row r="3079" ht="14.25" customHeight="1">
      <c r="A3079" s="1"/>
      <c r="B3079" s="2"/>
      <c r="C3079" s="2"/>
      <c r="D3079" s="2"/>
      <c r="E3079" s="3"/>
      <c r="F3079" s="4"/>
      <c r="G3079" s="4"/>
      <c r="H3079" s="14"/>
      <c r="I3079" s="4"/>
      <c r="J3079" s="6"/>
      <c r="K3079" s="7"/>
      <c r="L3079" s="8"/>
      <c r="O3079" s="10"/>
    </row>
    <row r="3080" ht="14.25" customHeight="1">
      <c r="A3080" s="1"/>
      <c r="B3080" s="2"/>
      <c r="C3080" s="2"/>
      <c r="D3080" s="2"/>
      <c r="E3080" s="3"/>
      <c r="F3080" s="4"/>
      <c r="G3080" s="4"/>
      <c r="H3080" s="14"/>
      <c r="I3080" s="4"/>
      <c r="J3080" s="6"/>
      <c r="K3080" s="7"/>
      <c r="L3080" s="8"/>
      <c r="O3080" s="10"/>
    </row>
    <row r="3081" ht="14.25" customHeight="1">
      <c r="A3081" s="1"/>
      <c r="B3081" s="2"/>
      <c r="C3081" s="2"/>
      <c r="D3081" s="2"/>
      <c r="E3081" s="3"/>
      <c r="F3081" s="4"/>
      <c r="G3081" s="4"/>
      <c r="H3081" s="14"/>
      <c r="I3081" s="4"/>
      <c r="J3081" s="6"/>
      <c r="K3081" s="7"/>
      <c r="L3081" s="8"/>
      <c r="O3081" s="10"/>
    </row>
    <row r="3082" ht="14.25" customHeight="1">
      <c r="A3082" s="1"/>
      <c r="B3082" s="2"/>
      <c r="C3082" s="2"/>
      <c r="D3082" s="2"/>
      <c r="E3082" s="3"/>
      <c r="F3082" s="4"/>
      <c r="G3082" s="4"/>
      <c r="H3082" s="14"/>
      <c r="I3082" s="4"/>
      <c r="J3082" s="6"/>
      <c r="K3082" s="7"/>
      <c r="L3082" s="8"/>
      <c r="O3082" s="10"/>
    </row>
    <row r="3083" ht="14.25" customHeight="1">
      <c r="A3083" s="1"/>
      <c r="B3083" s="2"/>
      <c r="C3083" s="2"/>
      <c r="D3083" s="2"/>
      <c r="E3083" s="3"/>
      <c r="F3083" s="4"/>
      <c r="G3083" s="4"/>
      <c r="H3083" s="4"/>
      <c r="I3083" s="4"/>
      <c r="J3083" s="6"/>
      <c r="K3083" s="7"/>
      <c r="L3083" s="8"/>
      <c r="O3083" s="10"/>
    </row>
    <row r="3084" ht="14.25" customHeight="1">
      <c r="A3084" s="1"/>
      <c r="B3084" s="2"/>
      <c r="C3084" s="2"/>
      <c r="D3084" s="2"/>
      <c r="E3084" s="3"/>
      <c r="F3084" s="4"/>
      <c r="G3084" s="4"/>
      <c r="H3084" s="14"/>
      <c r="I3084" s="4"/>
      <c r="J3084" s="6"/>
      <c r="K3084" s="7"/>
      <c r="L3084" s="8"/>
      <c r="O3084" s="10"/>
    </row>
    <row r="3085" ht="14.25" customHeight="1">
      <c r="A3085" s="1"/>
      <c r="B3085" s="2"/>
      <c r="C3085" s="2"/>
      <c r="D3085" s="2"/>
      <c r="E3085" s="3"/>
      <c r="F3085" s="4"/>
      <c r="G3085" s="4"/>
      <c r="H3085" s="4"/>
      <c r="I3085" s="4"/>
      <c r="J3085" s="6"/>
      <c r="K3085" s="7"/>
      <c r="L3085" s="8"/>
      <c r="O3085" s="10"/>
    </row>
    <row r="3086" ht="14.25" customHeight="1">
      <c r="A3086" s="1"/>
      <c r="B3086" s="2"/>
      <c r="C3086" s="2"/>
      <c r="D3086" s="2"/>
      <c r="E3086" s="3"/>
      <c r="F3086" s="4"/>
      <c r="G3086" s="4"/>
      <c r="H3086" s="14"/>
      <c r="I3086" s="4"/>
      <c r="J3086" s="6"/>
      <c r="K3086" s="7"/>
      <c r="L3086" s="8"/>
      <c r="O3086" s="10"/>
    </row>
    <row r="3087" ht="14.25" customHeight="1">
      <c r="A3087" s="1"/>
      <c r="B3087" s="2"/>
      <c r="C3087" s="2"/>
      <c r="D3087" s="2"/>
      <c r="E3087" s="3"/>
      <c r="F3087" s="4"/>
      <c r="G3087" s="4"/>
      <c r="H3087" s="14"/>
      <c r="I3087" s="4"/>
      <c r="J3087" s="6"/>
      <c r="K3087" s="7"/>
      <c r="L3087" s="8"/>
      <c r="O3087" s="10"/>
    </row>
    <row r="3088" ht="14.25" customHeight="1">
      <c r="A3088" s="1"/>
      <c r="B3088" s="2"/>
      <c r="C3088" s="2"/>
      <c r="D3088" s="2"/>
      <c r="E3088" s="3"/>
      <c r="F3088" s="4"/>
      <c r="G3088" s="4"/>
      <c r="H3088" s="4"/>
      <c r="I3088" s="4"/>
      <c r="J3088" s="6"/>
      <c r="K3088" s="7"/>
      <c r="L3088" s="8"/>
      <c r="O3088" s="10"/>
    </row>
    <row r="3089" ht="14.25" customHeight="1">
      <c r="A3089" s="1"/>
      <c r="B3089" s="2"/>
      <c r="C3089" s="2"/>
      <c r="D3089" s="2"/>
      <c r="E3089" s="3"/>
      <c r="F3089" s="4"/>
      <c r="G3089" s="4"/>
      <c r="H3089" s="14"/>
      <c r="I3089" s="4"/>
      <c r="J3089" s="6"/>
      <c r="K3089" s="7"/>
      <c r="L3089" s="8"/>
      <c r="O3089" s="10"/>
    </row>
    <row r="3090" ht="14.25" customHeight="1">
      <c r="A3090" s="1"/>
      <c r="B3090" s="2"/>
      <c r="C3090" s="2"/>
      <c r="D3090" s="2"/>
      <c r="E3090" s="3"/>
      <c r="F3090" s="4"/>
      <c r="G3090" s="4"/>
      <c r="H3090" s="14"/>
      <c r="I3090" s="4"/>
      <c r="J3090" s="6"/>
      <c r="K3090" s="7"/>
      <c r="L3090" s="8"/>
      <c r="O3090" s="10"/>
    </row>
    <row r="3091" ht="14.25" customHeight="1">
      <c r="A3091" s="1"/>
      <c r="B3091" s="2"/>
      <c r="C3091" s="2"/>
      <c r="D3091" s="2"/>
      <c r="E3091" s="3"/>
      <c r="F3091" s="4"/>
      <c r="G3091" s="4"/>
      <c r="H3091" s="14"/>
      <c r="I3091" s="4"/>
      <c r="J3091" s="6"/>
      <c r="K3091" s="7"/>
      <c r="L3091" s="8"/>
      <c r="O3091" s="10"/>
    </row>
    <row r="3092" ht="14.25" customHeight="1">
      <c r="A3092" s="1"/>
      <c r="B3092" s="2"/>
      <c r="C3092" s="2"/>
      <c r="D3092" s="2"/>
      <c r="E3092" s="3"/>
      <c r="F3092" s="4"/>
      <c r="G3092" s="4"/>
      <c r="H3092" s="14"/>
      <c r="I3092" s="4"/>
      <c r="J3092" s="6"/>
      <c r="K3092" s="7"/>
      <c r="L3092" s="8"/>
      <c r="O3092" s="10"/>
    </row>
    <row r="3093" ht="14.25" customHeight="1">
      <c r="A3093" s="1"/>
      <c r="B3093" s="2"/>
      <c r="C3093" s="2"/>
      <c r="D3093" s="2"/>
      <c r="E3093" s="3"/>
      <c r="F3093" s="4"/>
      <c r="G3093" s="4"/>
      <c r="H3093" s="14"/>
      <c r="I3093" s="4"/>
      <c r="J3093" s="6"/>
      <c r="K3093" s="7"/>
      <c r="L3093" s="8"/>
      <c r="O3093" s="10"/>
    </row>
    <row r="3094" ht="14.25" customHeight="1">
      <c r="A3094" s="1"/>
      <c r="B3094" s="2"/>
      <c r="C3094" s="2"/>
      <c r="D3094" s="2"/>
      <c r="E3094" s="3"/>
      <c r="F3094" s="4"/>
      <c r="G3094" s="4"/>
      <c r="H3094" s="14"/>
      <c r="I3094" s="4"/>
      <c r="J3094" s="6"/>
      <c r="K3094" s="7"/>
      <c r="L3094" s="8"/>
      <c r="O3094" s="10"/>
    </row>
    <row r="3095" ht="14.25" customHeight="1">
      <c r="A3095" s="1"/>
      <c r="B3095" s="2"/>
      <c r="C3095" s="2"/>
      <c r="D3095" s="2"/>
      <c r="E3095" s="3"/>
      <c r="F3095" s="4"/>
      <c r="G3095" s="4"/>
      <c r="H3095" s="14"/>
      <c r="I3095" s="4"/>
      <c r="J3095" s="6"/>
      <c r="K3095" s="7"/>
      <c r="L3095" s="8"/>
      <c r="O3095" s="10"/>
    </row>
    <row r="3096" ht="14.25" customHeight="1">
      <c r="A3096" s="1"/>
      <c r="B3096" s="2"/>
      <c r="C3096" s="2"/>
      <c r="D3096" s="2"/>
      <c r="E3096" s="3"/>
      <c r="F3096" s="4"/>
      <c r="G3096" s="4"/>
      <c r="H3096" s="14"/>
      <c r="I3096" s="4"/>
      <c r="J3096" s="6"/>
      <c r="K3096" s="7"/>
      <c r="L3096" s="8"/>
      <c r="O3096" s="10"/>
    </row>
    <row r="3097" ht="14.25" customHeight="1">
      <c r="A3097" s="1"/>
      <c r="B3097" s="2"/>
      <c r="C3097" s="2"/>
      <c r="D3097" s="2"/>
      <c r="E3097" s="3"/>
      <c r="F3097" s="4"/>
      <c r="G3097" s="4"/>
      <c r="H3097" s="14"/>
      <c r="I3097" s="4"/>
      <c r="J3097" s="6"/>
      <c r="K3097" s="7"/>
      <c r="L3097" s="8"/>
      <c r="O3097" s="10"/>
    </row>
    <row r="3098" ht="14.25" customHeight="1">
      <c r="A3098" s="1"/>
      <c r="B3098" s="2"/>
      <c r="C3098" s="2"/>
      <c r="D3098" s="2"/>
      <c r="E3098" s="3"/>
      <c r="F3098" s="4"/>
      <c r="G3098" s="4"/>
      <c r="H3098" s="4"/>
      <c r="I3098" s="4"/>
      <c r="J3098" s="6"/>
      <c r="K3098" s="7"/>
      <c r="L3098" s="8"/>
      <c r="O3098" s="10"/>
    </row>
    <row r="3099" ht="14.25" customHeight="1">
      <c r="A3099" s="1"/>
      <c r="B3099" s="2"/>
      <c r="C3099" s="2"/>
      <c r="D3099" s="2"/>
      <c r="E3099" s="3"/>
      <c r="F3099" s="4"/>
      <c r="G3099" s="4"/>
      <c r="H3099" s="14"/>
      <c r="I3099" s="4"/>
      <c r="J3099" s="6"/>
      <c r="K3099" s="7"/>
      <c r="L3099" s="8"/>
      <c r="O3099" s="10"/>
    </row>
    <row r="3100" ht="14.25" customHeight="1">
      <c r="A3100" s="1"/>
      <c r="B3100" s="2"/>
      <c r="C3100" s="2"/>
      <c r="D3100" s="2"/>
      <c r="E3100" s="3"/>
      <c r="F3100" s="4"/>
      <c r="G3100" s="4"/>
      <c r="H3100" s="14"/>
      <c r="I3100" s="4"/>
      <c r="J3100" s="6"/>
      <c r="K3100" s="7"/>
      <c r="L3100" s="8"/>
      <c r="O3100" s="10"/>
    </row>
    <row r="3101" ht="14.25" customHeight="1">
      <c r="A3101" s="1"/>
      <c r="B3101" s="2"/>
      <c r="C3101" s="2"/>
      <c r="D3101" s="2"/>
      <c r="E3101" s="3"/>
      <c r="F3101" s="4"/>
      <c r="G3101" s="4"/>
      <c r="H3101" s="14"/>
      <c r="I3101" s="4"/>
      <c r="J3101" s="6"/>
      <c r="K3101" s="7"/>
      <c r="L3101" s="8"/>
      <c r="O3101" s="10"/>
    </row>
    <row r="3102" ht="14.25" customHeight="1">
      <c r="A3102" s="1"/>
      <c r="B3102" s="2"/>
      <c r="C3102" s="2"/>
      <c r="D3102" s="2"/>
      <c r="E3102" s="3"/>
      <c r="F3102" s="4"/>
      <c r="G3102" s="4"/>
      <c r="H3102" s="14"/>
      <c r="I3102" s="4"/>
      <c r="J3102" s="6"/>
      <c r="K3102" s="7"/>
      <c r="L3102" s="8"/>
      <c r="O3102" s="10"/>
    </row>
    <row r="3103" ht="14.25" customHeight="1">
      <c r="A3103" s="1"/>
      <c r="B3103" s="2"/>
      <c r="C3103" s="2"/>
      <c r="D3103" s="2"/>
      <c r="E3103" s="3"/>
      <c r="F3103" s="4"/>
      <c r="G3103" s="4"/>
      <c r="H3103" s="4"/>
      <c r="I3103" s="4"/>
      <c r="J3103" s="6"/>
      <c r="K3103" s="7"/>
      <c r="L3103" s="8"/>
      <c r="O3103" s="10"/>
    </row>
    <row r="3104" ht="14.25" customHeight="1">
      <c r="A3104" s="1"/>
      <c r="B3104" s="2"/>
      <c r="C3104" s="2"/>
      <c r="D3104" s="2"/>
      <c r="E3104" s="3"/>
      <c r="F3104" s="4"/>
      <c r="G3104" s="4"/>
      <c r="H3104" s="14"/>
      <c r="I3104" s="4"/>
      <c r="J3104" s="6"/>
      <c r="K3104" s="7"/>
      <c r="L3104" s="8"/>
      <c r="O3104" s="10"/>
    </row>
    <row r="3105" ht="14.25" customHeight="1">
      <c r="A3105" s="1"/>
      <c r="B3105" s="2"/>
      <c r="C3105" s="2"/>
      <c r="D3105" s="2"/>
      <c r="E3105" s="3"/>
      <c r="F3105" s="4"/>
      <c r="G3105" s="4"/>
      <c r="H3105" s="14"/>
      <c r="I3105" s="4"/>
      <c r="J3105" s="6"/>
      <c r="K3105" s="7"/>
      <c r="L3105" s="8"/>
      <c r="O3105" s="10"/>
    </row>
    <row r="3106" ht="14.25" customHeight="1">
      <c r="A3106" s="1"/>
      <c r="B3106" s="2"/>
      <c r="C3106" s="2"/>
      <c r="D3106" s="2"/>
      <c r="E3106" s="3"/>
      <c r="F3106" s="4"/>
      <c r="G3106" s="4"/>
      <c r="H3106" s="14"/>
      <c r="I3106" s="4"/>
      <c r="J3106" s="6"/>
      <c r="K3106" s="7"/>
      <c r="L3106" s="8"/>
      <c r="O3106" s="10"/>
    </row>
    <row r="3107" ht="14.25" customHeight="1">
      <c r="A3107" s="1"/>
      <c r="B3107" s="2"/>
      <c r="C3107" s="2"/>
      <c r="D3107" s="2"/>
      <c r="E3107" s="3"/>
      <c r="F3107" s="4"/>
      <c r="G3107" s="4"/>
      <c r="H3107" s="14"/>
      <c r="I3107" s="4"/>
      <c r="J3107" s="6"/>
      <c r="K3107" s="7"/>
      <c r="L3107" s="8"/>
      <c r="O3107" s="10"/>
    </row>
    <row r="3108" ht="14.25" customHeight="1">
      <c r="A3108" s="1"/>
      <c r="B3108" s="2"/>
      <c r="C3108" s="2"/>
      <c r="D3108" s="2"/>
      <c r="E3108" s="3"/>
      <c r="F3108" s="4"/>
      <c r="G3108" s="4"/>
      <c r="H3108" s="14"/>
      <c r="I3108" s="4"/>
      <c r="J3108" s="6"/>
      <c r="K3108" s="7"/>
      <c r="L3108" s="8"/>
      <c r="O3108" s="10"/>
    </row>
    <row r="3109" ht="14.25" customHeight="1">
      <c r="A3109" s="1"/>
      <c r="B3109" s="2"/>
      <c r="C3109" s="2"/>
      <c r="D3109" s="2"/>
      <c r="E3109" s="3"/>
      <c r="F3109" s="4"/>
      <c r="G3109" s="4"/>
      <c r="H3109" s="4"/>
      <c r="I3109" s="4"/>
      <c r="J3109" s="6"/>
      <c r="K3109" s="7"/>
      <c r="L3109" s="8"/>
      <c r="O3109" s="10"/>
    </row>
    <row r="3110" ht="14.25" customHeight="1">
      <c r="A3110" s="1"/>
      <c r="B3110" s="2"/>
      <c r="C3110" s="2"/>
      <c r="D3110" s="2"/>
      <c r="E3110" s="3"/>
      <c r="F3110" s="4"/>
      <c r="G3110" s="4"/>
      <c r="H3110" s="4"/>
      <c r="I3110" s="4"/>
      <c r="J3110" s="6"/>
      <c r="K3110" s="7"/>
      <c r="L3110" s="8"/>
      <c r="O3110" s="10"/>
    </row>
    <row r="3111" ht="14.25" customHeight="1">
      <c r="A3111" s="1"/>
      <c r="B3111" s="2"/>
      <c r="C3111" s="2"/>
      <c r="D3111" s="2"/>
      <c r="E3111" s="3"/>
      <c r="F3111" s="4"/>
      <c r="G3111" s="4"/>
      <c r="H3111" s="14"/>
      <c r="I3111" s="4"/>
      <c r="J3111" s="6"/>
      <c r="K3111" s="7"/>
      <c r="L3111" s="8"/>
      <c r="O3111" s="10"/>
    </row>
    <row r="3112" ht="14.25" customHeight="1">
      <c r="A3112" s="1"/>
      <c r="B3112" s="2"/>
      <c r="C3112" s="2"/>
      <c r="D3112" s="2"/>
      <c r="E3112" s="3"/>
      <c r="F3112" s="4"/>
      <c r="G3112" s="4"/>
      <c r="H3112" s="14"/>
      <c r="I3112" s="4"/>
      <c r="J3112" s="6"/>
      <c r="K3112" s="7"/>
      <c r="L3112" s="8"/>
      <c r="O3112" s="10"/>
    </row>
    <row r="3113" ht="14.25" customHeight="1">
      <c r="A3113" s="1"/>
      <c r="B3113" s="2"/>
      <c r="C3113" s="2"/>
      <c r="D3113" s="2"/>
      <c r="E3113" s="3"/>
      <c r="F3113" s="4"/>
      <c r="G3113" s="4"/>
      <c r="H3113" s="4"/>
      <c r="I3113" s="4"/>
      <c r="J3113" s="6"/>
      <c r="K3113" s="7"/>
      <c r="L3113" s="8"/>
      <c r="O3113" s="10"/>
    </row>
    <row r="3114" ht="14.25" customHeight="1">
      <c r="A3114" s="1"/>
      <c r="B3114" s="2"/>
      <c r="C3114" s="2"/>
      <c r="D3114" s="2"/>
      <c r="E3114" s="3"/>
      <c r="F3114" s="4"/>
      <c r="G3114" s="4"/>
      <c r="H3114" s="4"/>
      <c r="I3114" s="4"/>
      <c r="J3114" s="6"/>
      <c r="K3114" s="7"/>
      <c r="L3114" s="8"/>
      <c r="O3114" s="10"/>
    </row>
    <row r="3115" ht="14.25" customHeight="1">
      <c r="A3115" s="1"/>
      <c r="B3115" s="2"/>
      <c r="C3115" s="2"/>
      <c r="D3115" s="2"/>
      <c r="E3115" s="3"/>
      <c r="F3115" s="4"/>
      <c r="G3115" s="4"/>
      <c r="H3115" s="14"/>
      <c r="I3115" s="4"/>
      <c r="J3115" s="6"/>
      <c r="K3115" s="7"/>
      <c r="L3115" s="8"/>
      <c r="O3115" s="10"/>
    </row>
    <row r="3116" ht="14.25" customHeight="1">
      <c r="A3116" s="1"/>
      <c r="B3116" s="2"/>
      <c r="C3116" s="2"/>
      <c r="D3116" s="2"/>
      <c r="E3116" s="3"/>
      <c r="F3116" s="4"/>
      <c r="G3116" s="4"/>
      <c r="H3116" s="4"/>
      <c r="I3116" s="4"/>
      <c r="J3116" s="6"/>
      <c r="K3116" s="7"/>
      <c r="L3116" s="8"/>
      <c r="O3116" s="10"/>
    </row>
    <row r="3117" ht="14.25" customHeight="1">
      <c r="A3117" s="1"/>
      <c r="B3117" s="2"/>
      <c r="C3117" s="2"/>
      <c r="D3117" s="2"/>
      <c r="E3117" s="3"/>
      <c r="F3117" s="4"/>
      <c r="G3117" s="4"/>
      <c r="H3117" s="4"/>
      <c r="I3117" s="4"/>
      <c r="J3117" s="6"/>
      <c r="K3117" s="7"/>
      <c r="L3117" s="8"/>
      <c r="O3117" s="10"/>
    </row>
    <row r="3118" ht="14.25" customHeight="1">
      <c r="A3118" s="1"/>
      <c r="B3118" s="2"/>
      <c r="C3118" s="2"/>
      <c r="D3118" s="2"/>
      <c r="E3118" s="3"/>
      <c r="F3118" s="4"/>
      <c r="G3118" s="4"/>
      <c r="H3118" s="4"/>
      <c r="I3118" s="4"/>
      <c r="J3118" s="6"/>
      <c r="K3118" s="7"/>
      <c r="L3118" s="8"/>
      <c r="O3118" s="10"/>
    </row>
    <row r="3119" ht="14.25" customHeight="1">
      <c r="A3119" s="1"/>
      <c r="B3119" s="2"/>
      <c r="C3119" s="2"/>
      <c r="D3119" s="2"/>
      <c r="E3119" s="3"/>
      <c r="F3119" s="4"/>
      <c r="G3119" s="4"/>
      <c r="H3119" s="14"/>
      <c r="I3119" s="4"/>
      <c r="J3119" s="6"/>
      <c r="K3119" s="7"/>
      <c r="L3119" s="8"/>
      <c r="O3119" s="10"/>
    </row>
    <row r="3120" ht="14.25" customHeight="1">
      <c r="A3120" s="1"/>
      <c r="B3120" s="2"/>
      <c r="C3120" s="2"/>
      <c r="D3120" s="2"/>
      <c r="E3120" s="3"/>
      <c r="F3120" s="4"/>
      <c r="G3120" s="4"/>
      <c r="H3120" s="14"/>
      <c r="I3120" s="4"/>
      <c r="J3120" s="6"/>
      <c r="K3120" s="7"/>
      <c r="L3120" s="8"/>
      <c r="O3120" s="10"/>
    </row>
    <row r="3121" ht="14.25" customHeight="1">
      <c r="A3121" s="1"/>
      <c r="B3121" s="2"/>
      <c r="C3121" s="2"/>
      <c r="D3121" s="2"/>
      <c r="E3121" s="3"/>
      <c r="F3121" s="4"/>
      <c r="G3121" s="4"/>
      <c r="H3121" s="14"/>
      <c r="I3121" s="4"/>
      <c r="J3121" s="6"/>
      <c r="K3121" s="7"/>
      <c r="L3121" s="8"/>
      <c r="O3121" s="10"/>
    </row>
    <row r="3122" ht="14.25" customHeight="1">
      <c r="A3122" s="1"/>
      <c r="B3122" s="2"/>
      <c r="C3122" s="2"/>
      <c r="D3122" s="2"/>
      <c r="E3122" s="3"/>
      <c r="F3122" s="4"/>
      <c r="G3122" s="4"/>
      <c r="H3122" s="14"/>
      <c r="I3122" s="4"/>
      <c r="J3122" s="6"/>
      <c r="K3122" s="7"/>
      <c r="L3122" s="8"/>
      <c r="O3122" s="10"/>
    </row>
    <row r="3123" ht="14.25" customHeight="1">
      <c r="A3123" s="1"/>
      <c r="B3123" s="2"/>
      <c r="C3123" s="2"/>
      <c r="D3123" s="2"/>
      <c r="E3123" s="3"/>
      <c r="F3123" s="4"/>
      <c r="G3123" s="4"/>
      <c r="H3123" s="14"/>
      <c r="I3123" s="4"/>
      <c r="J3123" s="6"/>
      <c r="K3123" s="7"/>
      <c r="L3123" s="8"/>
      <c r="O3123" s="10"/>
    </row>
    <row r="3124" ht="14.25" customHeight="1">
      <c r="A3124" s="1"/>
      <c r="B3124" s="2"/>
      <c r="C3124" s="2"/>
      <c r="D3124" s="2"/>
      <c r="E3124" s="3"/>
      <c r="F3124" s="4"/>
      <c r="G3124" s="4"/>
      <c r="H3124" s="14"/>
      <c r="I3124" s="4"/>
      <c r="J3124" s="6"/>
      <c r="K3124" s="7"/>
      <c r="L3124" s="8"/>
      <c r="O3124" s="10"/>
    </row>
    <row r="3125" ht="14.25" customHeight="1">
      <c r="A3125" s="1"/>
      <c r="B3125" s="2"/>
      <c r="C3125" s="2"/>
      <c r="D3125" s="2"/>
      <c r="E3125" s="3"/>
      <c r="F3125" s="4"/>
      <c r="G3125" s="4"/>
      <c r="H3125" s="14"/>
      <c r="I3125" s="4"/>
      <c r="J3125" s="6"/>
      <c r="K3125" s="7"/>
      <c r="L3125" s="8"/>
      <c r="O3125" s="10"/>
    </row>
    <row r="3126" ht="14.25" customHeight="1">
      <c r="A3126" s="1"/>
      <c r="B3126" s="2"/>
      <c r="C3126" s="2"/>
      <c r="D3126" s="2"/>
      <c r="E3126" s="3"/>
      <c r="F3126" s="4"/>
      <c r="G3126" s="4"/>
      <c r="H3126" s="14"/>
      <c r="I3126" s="4"/>
      <c r="J3126" s="6"/>
      <c r="K3126" s="7"/>
      <c r="L3126" s="8"/>
      <c r="O3126" s="10"/>
    </row>
    <row r="3127" ht="14.25" customHeight="1">
      <c r="A3127" s="1"/>
      <c r="B3127" s="2"/>
      <c r="C3127" s="2"/>
      <c r="D3127" s="2"/>
      <c r="E3127" s="3"/>
      <c r="F3127" s="4"/>
      <c r="G3127" s="4"/>
      <c r="H3127" s="14"/>
      <c r="I3127" s="4"/>
      <c r="J3127" s="6"/>
      <c r="K3127" s="7"/>
      <c r="L3127" s="8"/>
      <c r="O3127" s="10"/>
    </row>
    <row r="3128" ht="14.25" customHeight="1">
      <c r="A3128" s="1"/>
      <c r="B3128" s="2"/>
      <c r="C3128" s="2"/>
      <c r="D3128" s="2"/>
      <c r="E3128" s="3"/>
      <c r="F3128" s="4"/>
      <c r="G3128" s="4"/>
      <c r="H3128" s="14"/>
      <c r="I3128" s="4"/>
      <c r="J3128" s="6"/>
      <c r="K3128" s="7"/>
      <c r="L3128" s="8"/>
      <c r="O3128" s="10"/>
    </row>
    <row r="3129" ht="14.25" customHeight="1">
      <c r="A3129" s="1"/>
      <c r="B3129" s="2"/>
      <c r="C3129" s="2"/>
      <c r="D3129" s="2"/>
      <c r="E3129" s="3"/>
      <c r="F3129" s="4"/>
      <c r="G3129" s="4"/>
      <c r="H3129" s="14"/>
      <c r="I3129" s="4"/>
      <c r="J3129" s="6"/>
      <c r="K3129" s="7"/>
      <c r="L3129" s="8"/>
      <c r="O3129" s="10"/>
    </row>
    <row r="3130" ht="14.25" customHeight="1">
      <c r="A3130" s="1"/>
      <c r="B3130" s="2"/>
      <c r="C3130" s="2"/>
      <c r="D3130" s="2"/>
      <c r="E3130" s="3"/>
      <c r="F3130" s="4"/>
      <c r="G3130" s="4"/>
      <c r="H3130" s="14"/>
      <c r="I3130" s="4"/>
      <c r="J3130" s="6"/>
      <c r="K3130" s="7"/>
      <c r="L3130" s="8"/>
      <c r="O3130" s="10"/>
    </row>
    <row r="3131" ht="14.25" customHeight="1">
      <c r="A3131" s="1"/>
      <c r="B3131" s="2"/>
      <c r="C3131" s="2"/>
      <c r="D3131" s="2"/>
      <c r="E3131" s="3"/>
      <c r="F3131" s="4"/>
      <c r="G3131" s="4"/>
      <c r="H3131" s="14"/>
      <c r="I3131" s="4"/>
      <c r="J3131" s="6"/>
      <c r="K3131" s="7"/>
      <c r="L3131" s="8"/>
      <c r="O3131" s="10"/>
    </row>
    <row r="3132" ht="14.25" customHeight="1">
      <c r="A3132" s="1"/>
      <c r="B3132" s="2"/>
      <c r="C3132" s="2"/>
      <c r="D3132" s="2"/>
      <c r="E3132" s="3"/>
      <c r="F3132" s="4"/>
      <c r="G3132" s="4"/>
      <c r="H3132" s="14"/>
      <c r="I3132" s="4"/>
      <c r="J3132" s="6"/>
      <c r="K3132" s="7"/>
      <c r="L3132" s="8"/>
      <c r="O3132" s="10"/>
    </row>
    <row r="3133" ht="14.25" customHeight="1">
      <c r="A3133" s="1"/>
      <c r="B3133" s="2"/>
      <c r="C3133" s="2"/>
      <c r="D3133" s="2"/>
      <c r="E3133" s="3"/>
      <c r="F3133" s="4"/>
      <c r="G3133" s="4"/>
      <c r="H3133" s="14"/>
      <c r="I3133" s="4"/>
      <c r="J3133" s="6"/>
      <c r="K3133" s="7"/>
      <c r="L3133" s="8"/>
      <c r="O3133" s="10"/>
    </row>
    <row r="3134" ht="14.25" customHeight="1">
      <c r="A3134" s="1"/>
      <c r="B3134" s="2"/>
      <c r="C3134" s="2"/>
      <c r="D3134" s="2"/>
      <c r="E3134" s="3"/>
      <c r="F3134" s="4"/>
      <c r="G3134" s="4"/>
      <c r="H3134" s="4"/>
      <c r="I3134" s="4"/>
      <c r="J3134" s="6"/>
      <c r="K3134" s="7"/>
      <c r="L3134" s="8"/>
      <c r="O3134" s="10"/>
    </row>
    <row r="3135" ht="14.25" customHeight="1">
      <c r="A3135" s="1"/>
      <c r="B3135" s="2"/>
      <c r="C3135" s="2"/>
      <c r="D3135" s="2"/>
      <c r="E3135" s="3"/>
      <c r="F3135" s="4"/>
      <c r="G3135" s="4"/>
      <c r="H3135" s="14"/>
      <c r="I3135" s="4"/>
      <c r="J3135" s="6"/>
      <c r="K3135" s="7"/>
      <c r="L3135" s="8"/>
      <c r="O3135" s="10"/>
    </row>
    <row r="3136" ht="14.25" customHeight="1">
      <c r="A3136" s="1"/>
      <c r="B3136" s="2"/>
      <c r="C3136" s="2"/>
      <c r="D3136" s="2"/>
      <c r="E3136" s="3"/>
      <c r="F3136" s="4"/>
      <c r="G3136" s="4"/>
      <c r="H3136" s="14"/>
      <c r="I3136" s="4"/>
      <c r="J3136" s="6"/>
      <c r="K3136" s="7"/>
      <c r="L3136" s="8"/>
      <c r="O3136" s="10"/>
    </row>
    <row r="3137" ht="14.25" customHeight="1">
      <c r="A3137" s="1"/>
      <c r="B3137" s="2"/>
      <c r="C3137" s="2"/>
      <c r="D3137" s="2"/>
      <c r="E3137" s="3"/>
      <c r="F3137" s="4"/>
      <c r="G3137" s="4"/>
      <c r="H3137" s="4"/>
      <c r="I3137" s="4"/>
      <c r="J3137" s="6"/>
      <c r="K3137" s="7"/>
      <c r="L3137" s="8"/>
      <c r="O3137" s="10"/>
    </row>
    <row r="3138" ht="14.25" customHeight="1">
      <c r="A3138" s="1"/>
      <c r="B3138" s="2"/>
      <c r="C3138" s="2"/>
      <c r="D3138" s="2"/>
      <c r="E3138" s="3"/>
      <c r="F3138" s="4"/>
      <c r="G3138" s="4"/>
      <c r="H3138" s="14"/>
      <c r="I3138" s="4"/>
      <c r="J3138" s="6"/>
      <c r="K3138" s="7"/>
      <c r="L3138" s="8"/>
      <c r="O3138" s="10"/>
    </row>
    <row r="3139" ht="14.25" customHeight="1">
      <c r="A3139" s="1"/>
      <c r="B3139" s="2"/>
      <c r="C3139" s="2"/>
      <c r="D3139" s="2"/>
      <c r="E3139" s="3"/>
      <c r="F3139" s="4"/>
      <c r="G3139" s="4"/>
      <c r="H3139" s="14"/>
      <c r="I3139" s="4"/>
      <c r="J3139" s="6"/>
      <c r="K3139" s="7"/>
      <c r="L3139" s="8"/>
      <c r="O3139" s="10"/>
    </row>
    <row r="3140" ht="14.25" customHeight="1">
      <c r="A3140" s="1"/>
      <c r="B3140" s="2"/>
      <c r="C3140" s="2"/>
      <c r="D3140" s="2"/>
      <c r="E3140" s="3"/>
      <c r="F3140" s="4"/>
      <c r="G3140" s="4"/>
      <c r="H3140" s="14"/>
      <c r="I3140" s="4"/>
      <c r="J3140" s="6"/>
      <c r="K3140" s="7"/>
      <c r="L3140" s="8"/>
      <c r="O3140" s="10"/>
    </row>
    <row r="3141" ht="14.25" customHeight="1">
      <c r="A3141" s="1"/>
      <c r="B3141" s="2"/>
      <c r="C3141" s="2"/>
      <c r="D3141" s="2"/>
      <c r="E3141" s="3"/>
      <c r="F3141" s="4"/>
      <c r="G3141" s="4"/>
      <c r="H3141" s="4"/>
      <c r="I3141" s="4"/>
      <c r="J3141" s="6"/>
      <c r="K3141" s="7"/>
      <c r="L3141" s="8"/>
      <c r="O3141" s="10"/>
    </row>
    <row r="3142" ht="14.25" customHeight="1">
      <c r="A3142" s="1"/>
      <c r="B3142" s="2"/>
      <c r="C3142" s="2"/>
      <c r="D3142" s="2"/>
      <c r="E3142" s="3"/>
      <c r="F3142" s="4"/>
      <c r="G3142" s="4"/>
      <c r="H3142" s="14"/>
      <c r="I3142" s="4"/>
      <c r="J3142" s="6"/>
      <c r="K3142" s="7"/>
      <c r="L3142" s="8"/>
      <c r="O3142" s="10"/>
    </row>
    <row r="3143" ht="14.25" customHeight="1">
      <c r="A3143" s="1"/>
      <c r="B3143" s="2"/>
      <c r="C3143" s="2"/>
      <c r="D3143" s="2"/>
      <c r="E3143" s="3"/>
      <c r="F3143" s="4"/>
      <c r="G3143" s="4"/>
      <c r="H3143" s="14"/>
      <c r="I3143" s="4"/>
      <c r="J3143" s="6"/>
      <c r="K3143" s="7"/>
      <c r="L3143" s="8"/>
      <c r="O3143" s="10"/>
    </row>
    <row r="3144" ht="14.25" customHeight="1">
      <c r="A3144" s="1"/>
      <c r="B3144" s="2"/>
      <c r="C3144" s="2"/>
      <c r="D3144" s="2"/>
      <c r="E3144" s="3"/>
      <c r="F3144" s="4"/>
      <c r="G3144" s="4"/>
      <c r="H3144" s="14"/>
      <c r="I3144" s="4"/>
      <c r="J3144" s="6"/>
      <c r="K3144" s="7"/>
      <c r="L3144" s="8"/>
      <c r="O3144" s="10"/>
    </row>
    <row r="3145" ht="14.25" customHeight="1">
      <c r="A3145" s="1"/>
      <c r="B3145" s="2"/>
      <c r="C3145" s="2"/>
      <c r="D3145" s="2"/>
      <c r="E3145" s="3"/>
      <c r="F3145" s="4"/>
      <c r="G3145" s="4"/>
      <c r="H3145" s="14"/>
      <c r="I3145" s="4"/>
      <c r="J3145" s="6"/>
      <c r="K3145" s="7"/>
      <c r="L3145" s="8"/>
      <c r="O3145" s="10"/>
    </row>
    <row r="3146" ht="14.25" customHeight="1">
      <c r="A3146" s="1"/>
      <c r="B3146" s="2"/>
      <c r="C3146" s="2"/>
      <c r="D3146" s="2"/>
      <c r="E3146" s="3"/>
      <c r="F3146" s="4"/>
      <c r="G3146" s="4"/>
      <c r="H3146" s="4"/>
      <c r="I3146" s="4"/>
      <c r="J3146" s="6"/>
      <c r="K3146" s="7"/>
      <c r="L3146" s="8"/>
      <c r="O3146" s="10"/>
    </row>
    <row r="3147" ht="14.25" customHeight="1">
      <c r="A3147" s="1"/>
      <c r="B3147" s="2"/>
      <c r="C3147" s="2"/>
      <c r="D3147" s="2"/>
      <c r="E3147" s="3"/>
      <c r="F3147" s="4"/>
      <c r="G3147" s="4"/>
      <c r="H3147" s="14"/>
      <c r="I3147" s="4"/>
      <c r="J3147" s="6"/>
      <c r="K3147" s="7"/>
      <c r="L3147" s="8"/>
      <c r="O3147" s="10"/>
    </row>
    <row r="3148" ht="14.25" customHeight="1">
      <c r="A3148" s="1"/>
      <c r="B3148" s="2"/>
      <c r="C3148" s="2"/>
      <c r="D3148" s="2"/>
      <c r="E3148" s="3"/>
      <c r="F3148" s="4"/>
      <c r="G3148" s="4"/>
      <c r="H3148" s="14"/>
      <c r="I3148" s="4"/>
      <c r="J3148" s="6"/>
      <c r="K3148" s="7"/>
      <c r="L3148" s="8"/>
      <c r="O3148" s="10"/>
    </row>
    <row r="3149" ht="14.25" customHeight="1">
      <c r="A3149" s="1"/>
      <c r="B3149" s="2"/>
      <c r="C3149" s="2"/>
      <c r="D3149" s="2"/>
      <c r="E3149" s="3"/>
      <c r="F3149" s="4"/>
      <c r="G3149" s="4"/>
      <c r="H3149" s="14"/>
      <c r="I3149" s="4"/>
      <c r="J3149" s="6"/>
      <c r="K3149" s="7"/>
      <c r="L3149" s="8"/>
      <c r="O3149" s="10"/>
    </row>
    <row r="3150" ht="14.25" customHeight="1">
      <c r="A3150" s="1"/>
      <c r="B3150" s="2"/>
      <c r="C3150" s="2"/>
      <c r="D3150" s="2"/>
      <c r="E3150" s="3"/>
      <c r="F3150" s="4"/>
      <c r="G3150" s="4"/>
      <c r="H3150" s="14"/>
      <c r="I3150" s="4"/>
      <c r="J3150" s="6"/>
      <c r="K3150" s="7"/>
      <c r="L3150" s="8"/>
      <c r="O3150" s="10"/>
    </row>
    <row r="3151" ht="14.25" customHeight="1">
      <c r="A3151" s="1"/>
      <c r="B3151" s="2"/>
      <c r="C3151" s="2"/>
      <c r="D3151" s="2"/>
      <c r="E3151" s="3"/>
      <c r="F3151" s="4"/>
      <c r="G3151" s="4"/>
      <c r="H3151" s="14"/>
      <c r="I3151" s="4"/>
      <c r="J3151" s="6"/>
      <c r="K3151" s="7"/>
      <c r="L3151" s="8"/>
      <c r="O3151" s="10"/>
    </row>
    <row r="3152" ht="14.25" customHeight="1">
      <c r="A3152" s="1"/>
      <c r="B3152" s="2"/>
      <c r="C3152" s="2"/>
      <c r="D3152" s="2"/>
      <c r="E3152" s="3"/>
      <c r="F3152" s="4"/>
      <c r="G3152" s="4"/>
      <c r="H3152" s="14"/>
      <c r="I3152" s="4"/>
      <c r="J3152" s="6"/>
      <c r="K3152" s="7"/>
      <c r="L3152" s="8"/>
      <c r="O3152" s="10"/>
    </row>
    <row r="3153" ht="14.25" customHeight="1">
      <c r="A3153" s="1"/>
      <c r="B3153" s="2"/>
      <c r="C3153" s="2"/>
      <c r="D3153" s="2"/>
      <c r="E3153" s="3"/>
      <c r="F3153" s="4"/>
      <c r="G3153" s="4"/>
      <c r="H3153" s="14"/>
      <c r="I3153" s="4"/>
      <c r="J3153" s="6"/>
      <c r="K3153" s="7"/>
      <c r="L3153" s="8"/>
      <c r="O3153" s="10"/>
    </row>
    <row r="3154" ht="14.25" customHeight="1">
      <c r="A3154" s="1"/>
      <c r="B3154" s="2"/>
      <c r="C3154" s="2"/>
      <c r="D3154" s="2"/>
      <c r="E3154" s="3"/>
      <c r="F3154" s="4"/>
      <c r="G3154" s="4"/>
      <c r="H3154" s="14"/>
      <c r="I3154" s="4"/>
      <c r="J3154" s="6"/>
      <c r="K3154" s="7"/>
      <c r="L3154" s="8"/>
      <c r="O3154" s="10"/>
    </row>
    <row r="3155" ht="14.25" customHeight="1">
      <c r="A3155" s="1"/>
      <c r="B3155" s="2"/>
      <c r="C3155" s="2"/>
      <c r="D3155" s="2"/>
      <c r="E3155" s="3"/>
      <c r="F3155" s="4"/>
      <c r="G3155" s="4"/>
      <c r="H3155" s="14"/>
      <c r="I3155" s="4"/>
      <c r="J3155" s="6"/>
      <c r="K3155" s="7"/>
      <c r="L3155" s="8"/>
      <c r="O3155" s="10"/>
    </row>
    <row r="3156" ht="14.25" customHeight="1">
      <c r="A3156" s="1"/>
      <c r="B3156" s="2"/>
      <c r="C3156" s="2"/>
      <c r="D3156" s="2"/>
      <c r="E3156" s="3"/>
      <c r="F3156" s="4"/>
      <c r="G3156" s="4"/>
      <c r="H3156" s="4"/>
      <c r="I3156" s="4"/>
      <c r="J3156" s="6"/>
      <c r="K3156" s="7"/>
      <c r="L3156" s="8"/>
      <c r="O3156" s="10"/>
    </row>
    <row r="3157" ht="14.25" customHeight="1">
      <c r="A3157" s="1"/>
      <c r="B3157" s="2"/>
      <c r="C3157" s="2"/>
      <c r="D3157" s="2"/>
      <c r="E3157" s="3"/>
      <c r="F3157" s="4"/>
      <c r="G3157" s="4"/>
      <c r="H3157" s="14"/>
      <c r="I3157" s="4"/>
      <c r="J3157" s="6"/>
      <c r="K3157" s="7"/>
      <c r="L3157" s="8"/>
      <c r="O3157" s="10"/>
    </row>
    <row r="3158" ht="14.25" customHeight="1">
      <c r="A3158" s="1"/>
      <c r="B3158" s="2"/>
      <c r="C3158" s="2"/>
      <c r="D3158" s="2"/>
      <c r="E3158" s="3"/>
      <c r="F3158" s="4"/>
      <c r="G3158" s="4"/>
      <c r="H3158" s="4"/>
      <c r="I3158" s="4"/>
      <c r="J3158" s="6"/>
      <c r="K3158" s="7"/>
      <c r="L3158" s="8"/>
      <c r="O3158" s="10"/>
    </row>
    <row r="3159" ht="14.25" customHeight="1">
      <c r="A3159" s="1"/>
      <c r="B3159" s="2"/>
      <c r="C3159" s="2"/>
      <c r="D3159" s="2"/>
      <c r="E3159" s="3"/>
      <c r="F3159" s="4"/>
      <c r="G3159" s="4"/>
      <c r="H3159" s="14"/>
      <c r="I3159" s="4"/>
      <c r="J3159" s="6"/>
      <c r="K3159" s="7"/>
      <c r="L3159" s="8"/>
      <c r="O3159" s="10"/>
    </row>
    <row r="3160" ht="14.25" customHeight="1">
      <c r="A3160" s="1"/>
      <c r="B3160" s="2"/>
      <c r="C3160" s="2"/>
      <c r="D3160" s="2"/>
      <c r="E3160" s="3"/>
      <c r="F3160" s="4"/>
      <c r="G3160" s="4"/>
      <c r="H3160" s="4"/>
      <c r="I3160" s="4"/>
      <c r="J3160" s="6"/>
      <c r="K3160" s="7"/>
      <c r="L3160" s="8"/>
      <c r="O3160" s="10"/>
    </row>
    <row r="3161" ht="14.25" customHeight="1">
      <c r="A3161" s="1"/>
      <c r="B3161" s="2"/>
      <c r="C3161" s="2"/>
      <c r="D3161" s="2"/>
      <c r="E3161" s="3"/>
      <c r="F3161" s="4"/>
      <c r="G3161" s="4"/>
      <c r="H3161" s="14"/>
      <c r="I3161" s="4"/>
      <c r="J3161" s="6"/>
      <c r="K3161" s="7"/>
      <c r="L3161" s="8"/>
      <c r="O3161" s="10"/>
    </row>
    <row r="3162" ht="14.25" customHeight="1">
      <c r="A3162" s="1"/>
      <c r="B3162" s="2"/>
      <c r="C3162" s="2"/>
      <c r="D3162" s="2"/>
      <c r="E3162" s="3"/>
      <c r="F3162" s="4"/>
      <c r="G3162" s="4"/>
      <c r="H3162" s="14"/>
      <c r="I3162" s="4"/>
      <c r="J3162" s="6"/>
      <c r="K3162" s="7"/>
      <c r="L3162" s="8"/>
      <c r="O3162" s="10"/>
    </row>
    <row r="3163" ht="14.25" customHeight="1">
      <c r="A3163" s="1"/>
      <c r="B3163" s="2"/>
      <c r="C3163" s="2"/>
      <c r="D3163" s="2"/>
      <c r="E3163" s="3"/>
      <c r="F3163" s="4"/>
      <c r="G3163" s="4"/>
      <c r="H3163" s="4"/>
      <c r="I3163" s="4"/>
      <c r="J3163" s="6"/>
      <c r="K3163" s="7"/>
      <c r="L3163" s="8"/>
      <c r="O3163" s="10"/>
    </row>
    <row r="3164" ht="14.25" customHeight="1">
      <c r="A3164" s="1"/>
      <c r="B3164" s="2"/>
      <c r="C3164" s="2"/>
      <c r="D3164" s="2"/>
      <c r="E3164" s="3"/>
      <c r="F3164" s="4"/>
      <c r="G3164" s="4"/>
      <c r="H3164" s="4"/>
      <c r="I3164" s="4"/>
      <c r="J3164" s="6"/>
      <c r="K3164" s="7"/>
      <c r="L3164" s="8"/>
      <c r="O3164" s="10"/>
    </row>
    <row r="3165" ht="14.25" customHeight="1">
      <c r="A3165" s="1"/>
      <c r="B3165" s="2"/>
      <c r="C3165" s="2"/>
      <c r="D3165" s="2"/>
      <c r="E3165" s="3"/>
      <c r="F3165" s="4"/>
      <c r="G3165" s="4"/>
      <c r="H3165" s="14"/>
      <c r="I3165" s="4"/>
      <c r="J3165" s="6"/>
      <c r="K3165" s="7"/>
      <c r="L3165" s="8"/>
      <c r="O3165" s="10"/>
    </row>
    <row r="3166" ht="14.25" customHeight="1">
      <c r="A3166" s="1"/>
      <c r="B3166" s="2"/>
      <c r="C3166" s="2"/>
      <c r="D3166" s="2"/>
      <c r="E3166" s="3"/>
      <c r="F3166" s="4"/>
      <c r="G3166" s="4"/>
      <c r="H3166" s="4"/>
      <c r="I3166" s="4"/>
      <c r="J3166" s="6"/>
      <c r="K3166" s="7"/>
      <c r="L3166" s="8"/>
      <c r="O3166" s="10"/>
    </row>
    <row r="3167" ht="14.25" customHeight="1">
      <c r="A3167" s="1"/>
      <c r="B3167" s="2"/>
      <c r="C3167" s="2"/>
      <c r="D3167" s="2"/>
      <c r="E3167" s="3"/>
      <c r="F3167" s="4"/>
      <c r="G3167" s="4"/>
      <c r="H3167" s="14"/>
      <c r="I3167" s="4"/>
      <c r="J3167" s="6"/>
      <c r="K3167" s="7"/>
      <c r="L3167" s="8"/>
      <c r="O3167" s="10"/>
    </row>
    <row r="3168" ht="14.25" customHeight="1">
      <c r="A3168" s="1"/>
      <c r="B3168" s="2"/>
      <c r="C3168" s="2"/>
      <c r="D3168" s="2"/>
      <c r="E3168" s="3"/>
      <c r="F3168" s="4"/>
      <c r="G3168" s="4"/>
      <c r="H3168" s="14"/>
      <c r="I3168" s="4"/>
      <c r="J3168" s="6"/>
      <c r="K3168" s="7"/>
      <c r="L3168" s="8"/>
      <c r="O3168" s="10"/>
    </row>
    <row r="3169" ht="14.25" customHeight="1">
      <c r="A3169" s="1"/>
      <c r="B3169" s="2"/>
      <c r="C3169" s="2"/>
      <c r="D3169" s="2"/>
      <c r="E3169" s="3"/>
      <c r="F3169" s="4"/>
      <c r="G3169" s="4"/>
      <c r="H3169" s="4"/>
      <c r="I3169" s="4"/>
      <c r="J3169" s="6"/>
      <c r="K3169" s="7"/>
      <c r="L3169" s="8"/>
      <c r="O3169" s="10"/>
    </row>
    <row r="3170" ht="14.25" customHeight="1">
      <c r="A3170" s="1"/>
      <c r="B3170" s="2"/>
      <c r="C3170" s="2"/>
      <c r="D3170" s="2"/>
      <c r="E3170" s="3"/>
      <c r="F3170" s="4"/>
      <c r="G3170" s="4"/>
      <c r="H3170" s="14"/>
      <c r="I3170" s="4"/>
      <c r="J3170" s="6"/>
      <c r="K3170" s="7"/>
      <c r="L3170" s="8"/>
      <c r="O3170" s="10"/>
    </row>
    <row r="3171" ht="14.25" customHeight="1">
      <c r="A3171" s="1"/>
      <c r="B3171" s="2"/>
      <c r="C3171" s="2"/>
      <c r="D3171" s="2"/>
      <c r="E3171" s="3"/>
      <c r="F3171" s="4"/>
      <c r="G3171" s="4"/>
      <c r="H3171" s="4"/>
      <c r="I3171" s="4"/>
      <c r="J3171" s="6"/>
      <c r="K3171" s="7"/>
      <c r="L3171" s="8"/>
      <c r="O3171" s="10"/>
    </row>
    <row r="3172" ht="14.25" customHeight="1">
      <c r="A3172" s="1"/>
      <c r="B3172" s="2"/>
      <c r="C3172" s="2"/>
      <c r="D3172" s="2"/>
      <c r="E3172" s="3"/>
      <c r="F3172" s="4"/>
      <c r="G3172" s="4"/>
      <c r="H3172" s="14"/>
      <c r="I3172" s="4"/>
      <c r="J3172" s="6"/>
      <c r="K3172" s="7"/>
      <c r="L3172" s="8"/>
      <c r="O3172" s="10"/>
    </row>
    <row r="3173" ht="14.25" customHeight="1">
      <c r="A3173" s="1"/>
      <c r="B3173" s="2"/>
      <c r="C3173" s="2"/>
      <c r="D3173" s="2"/>
      <c r="E3173" s="3"/>
      <c r="F3173" s="4"/>
      <c r="G3173" s="4"/>
      <c r="H3173" s="14"/>
      <c r="I3173" s="4"/>
      <c r="J3173" s="6"/>
      <c r="K3173" s="7"/>
      <c r="L3173" s="8"/>
      <c r="O3173" s="10"/>
    </row>
    <row r="3174" ht="14.25" customHeight="1">
      <c r="A3174" s="1"/>
      <c r="B3174" s="2"/>
      <c r="C3174" s="2"/>
      <c r="D3174" s="2"/>
      <c r="E3174" s="3"/>
      <c r="F3174" s="4"/>
      <c r="G3174" s="4"/>
      <c r="H3174" s="4"/>
      <c r="I3174" s="4"/>
      <c r="J3174" s="6"/>
      <c r="K3174" s="7"/>
      <c r="L3174" s="8"/>
      <c r="O3174" s="10"/>
    </row>
    <row r="3175" ht="14.25" customHeight="1">
      <c r="A3175" s="1"/>
      <c r="B3175" s="2"/>
      <c r="C3175" s="2"/>
      <c r="D3175" s="2"/>
      <c r="E3175" s="3"/>
      <c r="F3175" s="4"/>
      <c r="G3175" s="4"/>
      <c r="H3175" s="14"/>
      <c r="I3175" s="4"/>
      <c r="J3175" s="6"/>
      <c r="K3175" s="7"/>
      <c r="L3175" s="8"/>
      <c r="O3175" s="10"/>
    </row>
    <row r="3176" ht="14.25" customHeight="1">
      <c r="A3176" s="1"/>
      <c r="B3176" s="2"/>
      <c r="C3176" s="2"/>
      <c r="D3176" s="2"/>
      <c r="E3176" s="3"/>
      <c r="F3176" s="4"/>
      <c r="G3176" s="4"/>
      <c r="H3176" s="14"/>
      <c r="I3176" s="4"/>
      <c r="J3176" s="6"/>
      <c r="K3176" s="7"/>
      <c r="L3176" s="8"/>
      <c r="O3176" s="10"/>
    </row>
    <row r="3177" ht="14.25" customHeight="1">
      <c r="A3177" s="1"/>
      <c r="B3177" s="2"/>
      <c r="C3177" s="2"/>
      <c r="D3177" s="2"/>
      <c r="E3177" s="3"/>
      <c r="F3177" s="4"/>
      <c r="G3177" s="4"/>
      <c r="H3177" s="4"/>
      <c r="I3177" s="4"/>
      <c r="J3177" s="6"/>
      <c r="K3177" s="7"/>
      <c r="L3177" s="8"/>
      <c r="O3177" s="10"/>
    </row>
    <row r="3178" ht="14.25" customHeight="1">
      <c r="A3178" s="1"/>
      <c r="B3178" s="2"/>
      <c r="C3178" s="2"/>
      <c r="D3178" s="2"/>
      <c r="E3178" s="3"/>
      <c r="F3178" s="4"/>
      <c r="G3178" s="4"/>
      <c r="H3178" s="4"/>
      <c r="I3178" s="4"/>
      <c r="J3178" s="6"/>
      <c r="K3178" s="7"/>
      <c r="L3178" s="8"/>
      <c r="O3178" s="10"/>
    </row>
    <row r="3179" ht="14.25" customHeight="1">
      <c r="A3179" s="1"/>
      <c r="B3179" s="2"/>
      <c r="C3179" s="2"/>
      <c r="D3179" s="2"/>
      <c r="E3179" s="3"/>
      <c r="F3179" s="4"/>
      <c r="G3179" s="4"/>
      <c r="H3179" s="14"/>
      <c r="I3179" s="4"/>
      <c r="J3179" s="6"/>
      <c r="K3179" s="7"/>
      <c r="L3179" s="8"/>
      <c r="O3179" s="10"/>
    </row>
    <row r="3180" ht="14.25" customHeight="1">
      <c r="A3180" s="1"/>
      <c r="B3180" s="2"/>
      <c r="C3180" s="2"/>
      <c r="D3180" s="2"/>
      <c r="E3180" s="3"/>
      <c r="F3180" s="4"/>
      <c r="G3180" s="4"/>
      <c r="H3180" s="14"/>
      <c r="I3180" s="4"/>
      <c r="J3180" s="6"/>
      <c r="K3180" s="7"/>
      <c r="L3180" s="8"/>
      <c r="O3180" s="10"/>
    </row>
    <row r="3181" ht="14.25" customHeight="1">
      <c r="A3181" s="1"/>
      <c r="B3181" s="2"/>
      <c r="C3181" s="2"/>
      <c r="D3181" s="2"/>
      <c r="E3181" s="3"/>
      <c r="F3181" s="4"/>
      <c r="G3181" s="4"/>
      <c r="H3181" s="14"/>
      <c r="I3181" s="4"/>
      <c r="J3181" s="6"/>
      <c r="K3181" s="7"/>
      <c r="L3181" s="8"/>
      <c r="O3181" s="10"/>
    </row>
    <row r="3182" ht="14.25" customHeight="1">
      <c r="A3182" s="1"/>
      <c r="B3182" s="2"/>
      <c r="C3182" s="2"/>
      <c r="D3182" s="2"/>
      <c r="E3182" s="3"/>
      <c r="F3182" s="4"/>
      <c r="G3182" s="4"/>
      <c r="H3182" s="14"/>
      <c r="I3182" s="4"/>
      <c r="J3182" s="6"/>
      <c r="K3182" s="7"/>
      <c r="L3182" s="8"/>
      <c r="O3182" s="10"/>
    </row>
    <row r="3183" ht="14.25" customHeight="1">
      <c r="A3183" s="1"/>
      <c r="B3183" s="2"/>
      <c r="C3183" s="2"/>
      <c r="D3183" s="2"/>
      <c r="E3183" s="3"/>
      <c r="F3183" s="4"/>
      <c r="G3183" s="4"/>
      <c r="H3183" s="14"/>
      <c r="I3183" s="4"/>
      <c r="J3183" s="6"/>
      <c r="K3183" s="7"/>
      <c r="L3183" s="8"/>
      <c r="O3183" s="10"/>
    </row>
    <row r="3184" ht="14.25" customHeight="1">
      <c r="A3184" s="1"/>
      <c r="B3184" s="2"/>
      <c r="C3184" s="2"/>
      <c r="D3184" s="2"/>
      <c r="E3184" s="3"/>
      <c r="F3184" s="4"/>
      <c r="G3184" s="4"/>
      <c r="H3184" s="4"/>
      <c r="I3184" s="4"/>
      <c r="J3184" s="6"/>
      <c r="K3184" s="7"/>
      <c r="L3184" s="8"/>
      <c r="O3184" s="10"/>
    </row>
    <row r="3185" ht="14.25" customHeight="1">
      <c r="A3185" s="1"/>
      <c r="B3185" s="2"/>
      <c r="C3185" s="2"/>
      <c r="D3185" s="2"/>
      <c r="E3185" s="3"/>
      <c r="F3185" s="4"/>
      <c r="G3185" s="4"/>
      <c r="H3185" s="14"/>
      <c r="I3185" s="4"/>
      <c r="J3185" s="6"/>
      <c r="K3185" s="7"/>
      <c r="L3185" s="8"/>
      <c r="O3185" s="10"/>
    </row>
    <row r="3186" ht="14.25" customHeight="1">
      <c r="A3186" s="1"/>
      <c r="B3186" s="2"/>
      <c r="C3186" s="2"/>
      <c r="D3186" s="2"/>
      <c r="E3186" s="3"/>
      <c r="F3186" s="4"/>
      <c r="G3186" s="4"/>
      <c r="H3186" s="4"/>
      <c r="I3186" s="4"/>
      <c r="J3186" s="6"/>
      <c r="K3186" s="7"/>
      <c r="L3186" s="8"/>
      <c r="O3186" s="10"/>
    </row>
    <row r="3187" ht="14.25" customHeight="1">
      <c r="A3187" s="1"/>
      <c r="B3187" s="2"/>
      <c r="C3187" s="2"/>
      <c r="D3187" s="2"/>
      <c r="E3187" s="3"/>
      <c r="F3187" s="4"/>
      <c r="G3187" s="4"/>
      <c r="H3187" s="14"/>
      <c r="I3187" s="4"/>
      <c r="J3187" s="6"/>
      <c r="K3187" s="7"/>
      <c r="L3187" s="8"/>
      <c r="O3187" s="10"/>
    </row>
    <row r="3188" ht="14.25" customHeight="1">
      <c r="A3188" s="1"/>
      <c r="B3188" s="2"/>
      <c r="C3188" s="2"/>
      <c r="D3188" s="2"/>
      <c r="E3188" s="3"/>
      <c r="F3188" s="4"/>
      <c r="G3188" s="4"/>
      <c r="H3188" s="14"/>
      <c r="I3188" s="4"/>
      <c r="J3188" s="6"/>
      <c r="K3188" s="7"/>
      <c r="L3188" s="8"/>
      <c r="O3188" s="10"/>
    </row>
    <row r="3189" ht="14.25" customHeight="1">
      <c r="A3189" s="1"/>
      <c r="B3189" s="2"/>
      <c r="C3189" s="2"/>
      <c r="D3189" s="2"/>
      <c r="E3189" s="3"/>
      <c r="F3189" s="4"/>
      <c r="G3189" s="4"/>
      <c r="H3189" s="14"/>
      <c r="I3189" s="4"/>
      <c r="J3189" s="6"/>
      <c r="K3189" s="7"/>
      <c r="L3189" s="8"/>
      <c r="O3189" s="10"/>
    </row>
    <row r="3190" ht="14.25" customHeight="1">
      <c r="A3190" s="1"/>
      <c r="B3190" s="2"/>
      <c r="C3190" s="2"/>
      <c r="D3190" s="2"/>
      <c r="E3190" s="3"/>
      <c r="F3190" s="4"/>
      <c r="G3190" s="4"/>
      <c r="H3190" s="14"/>
      <c r="I3190" s="4"/>
      <c r="J3190" s="6"/>
      <c r="K3190" s="7"/>
      <c r="L3190" s="8"/>
      <c r="O3190" s="10"/>
    </row>
    <row r="3191" ht="14.25" customHeight="1">
      <c r="A3191" s="1"/>
      <c r="B3191" s="2"/>
      <c r="C3191" s="2"/>
      <c r="D3191" s="2"/>
      <c r="E3191" s="3"/>
      <c r="F3191" s="4"/>
      <c r="G3191" s="4"/>
      <c r="H3191" s="14"/>
      <c r="I3191" s="4"/>
      <c r="J3191" s="6"/>
      <c r="K3191" s="7"/>
      <c r="L3191" s="8"/>
      <c r="O3191" s="10"/>
    </row>
    <row r="3192" ht="14.25" customHeight="1">
      <c r="A3192" s="1"/>
      <c r="B3192" s="2"/>
      <c r="C3192" s="2"/>
      <c r="D3192" s="2"/>
      <c r="E3192" s="3"/>
      <c r="F3192" s="4"/>
      <c r="G3192" s="4"/>
      <c r="H3192" s="14"/>
      <c r="I3192" s="4"/>
      <c r="J3192" s="6"/>
      <c r="K3192" s="7"/>
      <c r="L3192" s="8"/>
      <c r="O3192" s="10"/>
    </row>
    <row r="3193" ht="14.25" customHeight="1">
      <c r="A3193" s="1"/>
      <c r="B3193" s="2"/>
      <c r="C3193" s="2"/>
      <c r="D3193" s="2"/>
      <c r="E3193" s="3"/>
      <c r="F3193" s="4"/>
      <c r="G3193" s="4"/>
      <c r="H3193" s="14"/>
      <c r="I3193" s="4"/>
      <c r="J3193" s="6"/>
      <c r="K3193" s="7"/>
      <c r="L3193" s="8"/>
      <c r="O3193" s="10"/>
    </row>
    <row r="3194" ht="14.25" customHeight="1">
      <c r="A3194" s="1"/>
      <c r="B3194" s="2"/>
      <c r="C3194" s="2"/>
      <c r="D3194" s="2"/>
      <c r="E3194" s="3"/>
      <c r="F3194" s="4"/>
      <c r="G3194" s="4"/>
      <c r="H3194" s="4"/>
      <c r="I3194" s="4"/>
      <c r="J3194" s="6"/>
      <c r="K3194" s="7"/>
      <c r="L3194" s="8"/>
      <c r="O3194" s="10"/>
    </row>
    <row r="3195" ht="14.25" customHeight="1">
      <c r="A3195" s="1"/>
      <c r="B3195" s="2"/>
      <c r="C3195" s="2"/>
      <c r="D3195" s="2"/>
      <c r="E3195" s="3"/>
      <c r="F3195" s="4"/>
      <c r="G3195" s="4"/>
      <c r="H3195" s="14"/>
      <c r="I3195" s="4"/>
      <c r="J3195" s="6"/>
      <c r="K3195" s="7"/>
      <c r="L3195" s="8"/>
      <c r="O3195" s="10"/>
    </row>
    <row r="3196" ht="14.25" customHeight="1">
      <c r="A3196" s="1"/>
      <c r="B3196" s="2"/>
      <c r="C3196" s="2"/>
      <c r="D3196" s="2"/>
      <c r="E3196" s="3"/>
      <c r="F3196" s="4"/>
      <c r="G3196" s="4"/>
      <c r="H3196" s="14"/>
      <c r="I3196" s="4"/>
      <c r="J3196" s="6"/>
      <c r="K3196" s="7"/>
      <c r="L3196" s="8"/>
      <c r="O3196" s="10"/>
    </row>
    <row r="3197" ht="14.25" customHeight="1">
      <c r="A3197" s="1"/>
      <c r="B3197" s="2"/>
      <c r="C3197" s="2"/>
      <c r="D3197" s="2"/>
      <c r="E3197" s="3"/>
      <c r="F3197" s="4"/>
      <c r="G3197" s="4"/>
      <c r="H3197" s="14"/>
      <c r="I3197" s="4"/>
      <c r="J3197" s="6"/>
      <c r="K3197" s="7"/>
      <c r="L3197" s="8"/>
      <c r="O3197" s="10"/>
    </row>
    <row r="3198" ht="14.25" customHeight="1">
      <c r="A3198" s="1"/>
      <c r="B3198" s="2"/>
      <c r="C3198" s="2"/>
      <c r="D3198" s="2"/>
      <c r="E3198" s="3"/>
      <c r="F3198" s="4"/>
      <c r="G3198" s="4"/>
      <c r="H3198" s="14"/>
      <c r="I3198" s="4"/>
      <c r="J3198" s="6"/>
      <c r="K3198" s="7"/>
      <c r="L3198" s="8"/>
      <c r="O3198" s="10"/>
    </row>
    <row r="3199" ht="14.25" customHeight="1">
      <c r="A3199" s="1"/>
      <c r="B3199" s="2"/>
      <c r="C3199" s="2"/>
      <c r="D3199" s="2"/>
      <c r="E3199" s="3"/>
      <c r="F3199" s="4"/>
      <c r="G3199" s="4"/>
      <c r="H3199" s="14"/>
      <c r="I3199" s="4"/>
      <c r="J3199" s="6"/>
      <c r="K3199" s="7"/>
      <c r="L3199" s="8"/>
      <c r="O3199" s="10"/>
    </row>
    <row r="3200" ht="14.25" customHeight="1">
      <c r="A3200" s="1"/>
      <c r="B3200" s="2"/>
      <c r="C3200" s="2"/>
      <c r="D3200" s="2"/>
      <c r="E3200" s="3"/>
      <c r="F3200" s="4"/>
      <c r="G3200" s="4"/>
      <c r="H3200" s="14"/>
      <c r="I3200" s="4"/>
      <c r="J3200" s="6"/>
      <c r="K3200" s="7"/>
      <c r="L3200" s="8"/>
      <c r="O3200" s="10"/>
    </row>
    <row r="3201" ht="14.25" customHeight="1">
      <c r="A3201" s="1"/>
      <c r="B3201" s="2"/>
      <c r="C3201" s="2"/>
      <c r="D3201" s="2"/>
      <c r="E3201" s="3"/>
      <c r="F3201" s="4"/>
      <c r="G3201" s="4"/>
      <c r="H3201" s="14"/>
      <c r="I3201" s="4"/>
      <c r="J3201" s="6"/>
      <c r="K3201" s="7"/>
      <c r="L3201" s="8"/>
      <c r="O3201" s="10"/>
    </row>
    <row r="3202" ht="14.25" customHeight="1">
      <c r="A3202" s="1"/>
      <c r="B3202" s="2"/>
      <c r="C3202" s="2"/>
      <c r="D3202" s="2"/>
      <c r="E3202" s="3"/>
      <c r="F3202" s="4"/>
      <c r="G3202" s="4"/>
      <c r="H3202" s="14"/>
      <c r="I3202" s="4"/>
      <c r="J3202" s="6"/>
      <c r="K3202" s="7"/>
      <c r="L3202" s="8"/>
      <c r="O3202" s="10"/>
    </row>
    <row r="3203" ht="14.25" customHeight="1">
      <c r="A3203" s="1"/>
      <c r="B3203" s="2"/>
      <c r="C3203" s="2"/>
      <c r="D3203" s="2"/>
      <c r="E3203" s="3"/>
      <c r="F3203" s="4"/>
      <c r="G3203" s="4"/>
      <c r="H3203" s="14"/>
      <c r="I3203" s="4"/>
      <c r="J3203" s="6"/>
      <c r="K3203" s="7"/>
      <c r="L3203" s="8"/>
      <c r="O3203" s="10"/>
    </row>
    <row r="3204" ht="14.25" customHeight="1">
      <c r="A3204" s="1"/>
      <c r="B3204" s="2"/>
      <c r="C3204" s="2"/>
      <c r="D3204" s="2"/>
      <c r="E3204" s="3"/>
      <c r="F3204" s="4"/>
      <c r="G3204" s="4"/>
      <c r="H3204" s="14"/>
      <c r="I3204" s="4"/>
      <c r="J3204" s="6"/>
      <c r="K3204" s="7"/>
      <c r="L3204" s="8"/>
      <c r="O3204" s="10"/>
    </row>
    <row r="3205" ht="14.25" customHeight="1">
      <c r="A3205" s="1"/>
      <c r="B3205" s="2"/>
      <c r="C3205" s="2"/>
      <c r="D3205" s="2"/>
      <c r="E3205" s="3"/>
      <c r="F3205" s="4"/>
      <c r="G3205" s="4"/>
      <c r="H3205" s="14"/>
      <c r="I3205" s="4"/>
      <c r="J3205" s="6"/>
      <c r="K3205" s="7"/>
      <c r="L3205" s="8"/>
      <c r="O3205" s="10"/>
    </row>
    <row r="3206" ht="14.25" customHeight="1">
      <c r="A3206" s="1"/>
      <c r="B3206" s="2"/>
      <c r="C3206" s="2"/>
      <c r="D3206" s="2"/>
      <c r="E3206" s="3"/>
      <c r="F3206" s="4"/>
      <c r="G3206" s="4"/>
      <c r="H3206" s="4"/>
      <c r="I3206" s="4"/>
      <c r="J3206" s="6"/>
      <c r="K3206" s="7"/>
      <c r="L3206" s="8"/>
      <c r="O3206" s="10"/>
    </row>
    <row r="3207" ht="14.25" customHeight="1">
      <c r="A3207" s="1"/>
      <c r="B3207" s="2"/>
      <c r="C3207" s="2"/>
      <c r="D3207" s="2"/>
      <c r="E3207" s="3"/>
      <c r="F3207" s="4"/>
      <c r="G3207" s="4"/>
      <c r="H3207" s="14"/>
      <c r="I3207" s="4"/>
      <c r="J3207" s="6"/>
      <c r="K3207" s="7"/>
      <c r="L3207" s="8"/>
      <c r="O3207" s="10"/>
    </row>
    <row r="3208" ht="14.25" customHeight="1">
      <c r="A3208" s="1"/>
      <c r="B3208" s="2"/>
      <c r="C3208" s="2"/>
      <c r="D3208" s="2"/>
      <c r="E3208" s="3"/>
      <c r="F3208" s="4"/>
      <c r="G3208" s="4"/>
      <c r="H3208" s="14"/>
      <c r="I3208" s="4"/>
      <c r="J3208" s="6"/>
      <c r="K3208" s="7"/>
      <c r="L3208" s="8"/>
      <c r="O3208" s="10"/>
    </row>
    <row r="3209" ht="14.25" customHeight="1">
      <c r="A3209" s="1"/>
      <c r="B3209" s="2"/>
      <c r="C3209" s="2"/>
      <c r="D3209" s="2"/>
      <c r="E3209" s="3"/>
      <c r="F3209" s="4"/>
      <c r="G3209" s="4"/>
      <c r="H3209" s="14"/>
      <c r="I3209" s="4"/>
      <c r="J3209" s="6"/>
      <c r="K3209" s="7"/>
      <c r="L3209" s="8"/>
      <c r="O3209" s="10"/>
    </row>
    <row r="3210" ht="14.25" customHeight="1">
      <c r="A3210" s="1"/>
      <c r="B3210" s="2"/>
      <c r="C3210" s="2"/>
      <c r="D3210" s="2"/>
      <c r="E3210" s="3"/>
      <c r="F3210" s="4"/>
      <c r="G3210" s="4"/>
      <c r="H3210" s="4"/>
      <c r="I3210" s="4"/>
      <c r="J3210" s="6"/>
      <c r="K3210" s="7"/>
      <c r="L3210" s="8"/>
      <c r="O3210" s="10"/>
    </row>
    <row r="3211" ht="14.25" customHeight="1">
      <c r="A3211" s="1"/>
      <c r="B3211" s="2"/>
      <c r="C3211" s="2"/>
      <c r="D3211" s="2"/>
      <c r="E3211" s="3"/>
      <c r="F3211" s="4"/>
      <c r="G3211" s="4"/>
      <c r="H3211" s="14"/>
      <c r="I3211" s="4"/>
      <c r="J3211" s="6"/>
      <c r="K3211" s="7"/>
      <c r="L3211" s="8"/>
      <c r="O3211" s="10"/>
    </row>
    <row r="3212" ht="14.25" customHeight="1">
      <c r="A3212" s="1"/>
      <c r="B3212" s="2"/>
      <c r="C3212" s="2"/>
      <c r="D3212" s="2"/>
      <c r="E3212" s="3"/>
      <c r="F3212" s="4"/>
      <c r="G3212" s="4"/>
      <c r="H3212" s="14"/>
      <c r="I3212" s="4"/>
      <c r="J3212" s="6"/>
      <c r="K3212" s="7"/>
      <c r="L3212" s="8"/>
      <c r="O3212" s="10"/>
    </row>
    <row r="3213" ht="14.25" customHeight="1">
      <c r="A3213" s="1"/>
      <c r="B3213" s="2"/>
      <c r="C3213" s="2"/>
      <c r="D3213" s="2"/>
      <c r="E3213" s="3"/>
      <c r="F3213" s="4"/>
      <c r="G3213" s="4"/>
      <c r="H3213" s="4"/>
      <c r="I3213" s="4"/>
      <c r="J3213" s="6"/>
      <c r="K3213" s="7"/>
      <c r="L3213" s="8"/>
      <c r="O3213" s="10"/>
    </row>
    <row r="3214" ht="14.25" customHeight="1">
      <c r="A3214" s="1"/>
      <c r="B3214" s="2"/>
      <c r="C3214" s="2"/>
      <c r="D3214" s="2"/>
      <c r="E3214" s="3"/>
      <c r="F3214" s="4"/>
      <c r="G3214" s="4"/>
      <c r="H3214" s="14"/>
      <c r="I3214" s="4"/>
      <c r="J3214" s="6"/>
      <c r="K3214" s="7"/>
      <c r="L3214" s="8"/>
      <c r="O3214" s="10"/>
    </row>
    <row r="3215" ht="14.25" customHeight="1">
      <c r="A3215" s="1"/>
      <c r="B3215" s="2"/>
      <c r="C3215" s="2"/>
      <c r="D3215" s="2"/>
      <c r="E3215" s="3"/>
      <c r="F3215" s="4"/>
      <c r="G3215" s="4"/>
      <c r="H3215" s="4"/>
      <c r="I3215" s="4"/>
      <c r="J3215" s="6"/>
      <c r="K3215" s="7"/>
      <c r="L3215" s="8"/>
      <c r="O3215" s="10"/>
    </row>
    <row r="3216" ht="14.25" customHeight="1">
      <c r="A3216" s="1"/>
      <c r="B3216" s="2"/>
      <c r="C3216" s="2"/>
      <c r="D3216" s="2"/>
      <c r="E3216" s="3"/>
      <c r="F3216" s="4"/>
      <c r="G3216" s="4"/>
      <c r="H3216" s="14"/>
      <c r="I3216" s="4"/>
      <c r="J3216" s="6"/>
      <c r="K3216" s="7"/>
      <c r="L3216" s="8"/>
      <c r="O3216" s="10"/>
    </row>
    <row r="3217" ht="14.25" customHeight="1">
      <c r="A3217" s="1"/>
      <c r="B3217" s="2"/>
      <c r="C3217" s="2"/>
      <c r="D3217" s="2"/>
      <c r="E3217" s="3"/>
      <c r="F3217" s="4"/>
      <c r="G3217" s="4"/>
      <c r="H3217" s="14"/>
      <c r="I3217" s="4"/>
      <c r="J3217" s="6"/>
      <c r="K3217" s="7"/>
      <c r="L3217" s="8"/>
      <c r="O3217" s="10"/>
    </row>
    <row r="3218" ht="14.25" customHeight="1">
      <c r="A3218" s="1"/>
      <c r="B3218" s="2"/>
      <c r="C3218" s="2"/>
      <c r="D3218" s="2"/>
      <c r="E3218" s="3"/>
      <c r="F3218" s="4"/>
      <c r="G3218" s="4"/>
      <c r="H3218" s="4"/>
      <c r="I3218" s="4"/>
      <c r="J3218" s="6"/>
      <c r="K3218" s="7"/>
      <c r="L3218" s="8"/>
      <c r="O3218" s="10"/>
    </row>
    <row r="3219" ht="14.25" customHeight="1">
      <c r="A3219" s="1"/>
      <c r="B3219" s="2"/>
      <c r="C3219" s="2"/>
      <c r="D3219" s="2"/>
      <c r="E3219" s="3"/>
      <c r="F3219" s="4"/>
      <c r="G3219" s="4"/>
      <c r="H3219" s="14"/>
      <c r="I3219" s="4"/>
      <c r="J3219" s="6"/>
      <c r="K3219" s="7"/>
      <c r="L3219" s="8"/>
      <c r="O3219" s="10"/>
    </row>
    <row r="3220" ht="14.25" customHeight="1">
      <c r="A3220" s="1"/>
      <c r="B3220" s="2"/>
      <c r="C3220" s="2"/>
      <c r="D3220" s="2"/>
      <c r="E3220" s="3"/>
      <c r="F3220" s="4"/>
      <c r="G3220" s="4"/>
      <c r="H3220" s="14"/>
      <c r="I3220" s="4"/>
      <c r="J3220" s="6"/>
      <c r="K3220" s="7"/>
      <c r="L3220" s="8"/>
      <c r="O3220" s="10"/>
    </row>
    <row r="3221" ht="14.25" customHeight="1">
      <c r="A3221" s="1"/>
      <c r="B3221" s="2"/>
      <c r="C3221" s="2"/>
      <c r="D3221" s="2"/>
      <c r="E3221" s="3"/>
      <c r="F3221" s="4"/>
      <c r="G3221" s="4"/>
      <c r="H3221" s="14"/>
      <c r="I3221" s="4"/>
      <c r="J3221" s="6"/>
      <c r="K3221" s="7"/>
      <c r="L3221" s="8"/>
      <c r="O3221" s="10"/>
    </row>
    <row r="3222" ht="14.25" customHeight="1">
      <c r="A3222" s="1"/>
      <c r="B3222" s="2"/>
      <c r="C3222" s="2"/>
      <c r="D3222" s="2"/>
      <c r="E3222" s="3"/>
      <c r="F3222" s="4"/>
      <c r="G3222" s="4"/>
      <c r="H3222" s="14"/>
      <c r="I3222" s="4"/>
      <c r="J3222" s="6"/>
      <c r="K3222" s="7"/>
      <c r="L3222" s="8"/>
      <c r="O3222" s="10"/>
    </row>
    <row r="3223" ht="14.25" customHeight="1">
      <c r="A3223" s="1"/>
      <c r="B3223" s="2"/>
      <c r="C3223" s="2"/>
      <c r="D3223" s="2"/>
      <c r="E3223" s="3"/>
      <c r="F3223" s="4"/>
      <c r="G3223" s="4"/>
      <c r="H3223" s="14"/>
      <c r="I3223" s="4"/>
      <c r="J3223" s="6"/>
      <c r="K3223" s="7"/>
      <c r="L3223" s="8"/>
      <c r="O3223" s="10"/>
    </row>
    <row r="3224" ht="14.25" customHeight="1">
      <c r="A3224" s="1"/>
      <c r="B3224" s="2"/>
      <c r="C3224" s="2"/>
      <c r="D3224" s="2"/>
      <c r="E3224" s="3"/>
      <c r="F3224" s="4"/>
      <c r="G3224" s="4"/>
      <c r="H3224" s="14"/>
      <c r="I3224" s="4"/>
      <c r="J3224" s="6"/>
      <c r="K3224" s="7"/>
      <c r="L3224" s="8"/>
      <c r="O3224" s="10"/>
    </row>
    <row r="3225" ht="14.25" customHeight="1">
      <c r="A3225" s="1"/>
      <c r="B3225" s="2"/>
      <c r="C3225" s="2"/>
      <c r="D3225" s="2"/>
      <c r="E3225" s="3"/>
      <c r="F3225" s="4"/>
      <c r="G3225" s="4"/>
      <c r="H3225" s="4"/>
      <c r="I3225" s="4"/>
      <c r="J3225" s="6"/>
      <c r="K3225" s="7"/>
      <c r="L3225" s="8"/>
      <c r="O3225" s="10"/>
    </row>
    <row r="3226" ht="14.25" customHeight="1">
      <c r="A3226" s="1"/>
      <c r="B3226" s="2"/>
      <c r="C3226" s="2"/>
      <c r="D3226" s="2"/>
      <c r="E3226" s="3"/>
      <c r="F3226" s="4"/>
      <c r="G3226" s="4"/>
      <c r="H3226" s="14"/>
      <c r="I3226" s="4"/>
      <c r="J3226" s="6"/>
      <c r="K3226" s="7"/>
      <c r="L3226" s="8"/>
      <c r="O3226" s="10"/>
    </row>
    <row r="3227" ht="14.25" customHeight="1">
      <c r="A3227" s="1"/>
      <c r="B3227" s="2"/>
      <c r="C3227" s="2"/>
      <c r="D3227" s="2"/>
      <c r="E3227" s="3"/>
      <c r="F3227" s="4"/>
      <c r="G3227" s="4"/>
      <c r="H3227" s="4"/>
      <c r="I3227" s="4"/>
      <c r="J3227" s="6"/>
      <c r="K3227" s="7"/>
      <c r="L3227" s="8"/>
      <c r="O3227" s="10"/>
    </row>
    <row r="3228" ht="14.25" customHeight="1">
      <c r="A3228" s="1"/>
      <c r="B3228" s="2"/>
      <c r="C3228" s="2"/>
      <c r="D3228" s="2"/>
      <c r="E3228" s="3"/>
      <c r="F3228" s="4"/>
      <c r="G3228" s="4"/>
      <c r="H3228" s="14"/>
      <c r="I3228" s="4"/>
      <c r="J3228" s="6"/>
      <c r="K3228" s="7"/>
      <c r="L3228" s="8"/>
      <c r="O3228" s="10"/>
    </row>
    <row r="3229" ht="14.25" customHeight="1">
      <c r="A3229" s="1"/>
      <c r="B3229" s="2"/>
      <c r="C3229" s="2"/>
      <c r="D3229" s="2"/>
      <c r="E3229" s="3"/>
      <c r="F3229" s="4"/>
      <c r="G3229" s="4"/>
      <c r="H3229" s="14"/>
      <c r="I3229" s="4"/>
      <c r="J3229" s="6"/>
      <c r="K3229" s="7"/>
      <c r="L3229" s="8"/>
      <c r="O3229" s="10"/>
    </row>
    <row r="3230" ht="14.25" customHeight="1">
      <c r="A3230" s="1"/>
      <c r="B3230" s="2"/>
      <c r="C3230" s="2"/>
      <c r="D3230" s="2"/>
      <c r="E3230" s="3"/>
      <c r="F3230" s="4"/>
      <c r="G3230" s="4"/>
      <c r="H3230" s="14"/>
      <c r="I3230" s="4"/>
      <c r="J3230" s="6"/>
      <c r="K3230" s="7"/>
      <c r="L3230" s="8"/>
      <c r="O3230" s="10"/>
    </row>
    <row r="3231" ht="14.25" customHeight="1">
      <c r="A3231" s="1"/>
      <c r="B3231" s="2"/>
      <c r="C3231" s="2"/>
      <c r="D3231" s="2"/>
      <c r="E3231" s="3"/>
      <c r="F3231" s="4"/>
      <c r="G3231" s="4"/>
      <c r="H3231" s="4"/>
      <c r="I3231" s="4"/>
      <c r="J3231" s="6"/>
      <c r="K3231" s="7"/>
      <c r="L3231" s="8"/>
      <c r="O3231" s="10"/>
    </row>
    <row r="3232" ht="14.25" customHeight="1">
      <c r="A3232" s="1"/>
      <c r="B3232" s="2"/>
      <c r="C3232" s="2"/>
      <c r="D3232" s="2"/>
      <c r="E3232" s="3"/>
      <c r="F3232" s="4"/>
      <c r="G3232" s="4"/>
      <c r="H3232" s="4"/>
      <c r="I3232" s="4"/>
      <c r="J3232" s="6"/>
      <c r="K3232" s="7"/>
      <c r="L3232" s="8"/>
      <c r="O3232" s="10"/>
    </row>
    <row r="3233" ht="14.25" customHeight="1">
      <c r="A3233" s="1"/>
      <c r="B3233" s="2"/>
      <c r="C3233" s="2"/>
      <c r="D3233" s="2"/>
      <c r="E3233" s="3"/>
      <c r="F3233" s="4"/>
      <c r="G3233" s="4"/>
      <c r="H3233" s="14"/>
      <c r="I3233" s="4"/>
      <c r="J3233" s="6"/>
      <c r="K3233" s="7"/>
      <c r="L3233" s="8"/>
      <c r="O3233" s="10"/>
    </row>
    <row r="3234" ht="14.25" customHeight="1">
      <c r="A3234" s="1"/>
      <c r="B3234" s="2"/>
      <c r="C3234" s="2"/>
      <c r="D3234" s="2"/>
      <c r="E3234" s="3"/>
      <c r="F3234" s="4"/>
      <c r="G3234" s="4"/>
      <c r="H3234" s="14"/>
      <c r="I3234" s="4"/>
      <c r="J3234" s="6"/>
      <c r="K3234" s="7"/>
      <c r="L3234" s="8"/>
      <c r="O3234" s="10"/>
    </row>
    <row r="3235" ht="14.25" customHeight="1">
      <c r="A3235" s="1"/>
      <c r="B3235" s="2"/>
      <c r="C3235" s="2"/>
      <c r="D3235" s="2"/>
      <c r="E3235" s="3"/>
      <c r="F3235" s="4"/>
      <c r="G3235" s="4"/>
      <c r="H3235" s="14"/>
      <c r="I3235" s="4"/>
      <c r="J3235" s="6"/>
      <c r="K3235" s="7"/>
      <c r="L3235" s="8"/>
      <c r="O3235" s="10"/>
    </row>
    <row r="3236" ht="14.25" customHeight="1">
      <c r="A3236" s="1"/>
      <c r="B3236" s="2"/>
      <c r="C3236" s="2"/>
      <c r="D3236" s="2"/>
      <c r="E3236" s="3"/>
      <c r="F3236" s="4"/>
      <c r="G3236" s="4"/>
      <c r="H3236" s="14"/>
      <c r="I3236" s="4"/>
      <c r="J3236" s="6"/>
      <c r="K3236" s="7"/>
      <c r="L3236" s="8"/>
      <c r="O3236" s="10"/>
    </row>
    <row r="3237" ht="14.25" customHeight="1">
      <c r="A3237" s="1"/>
      <c r="B3237" s="2"/>
      <c r="C3237" s="2"/>
      <c r="D3237" s="2"/>
      <c r="E3237" s="3"/>
      <c r="F3237" s="4"/>
      <c r="G3237" s="4"/>
      <c r="H3237" s="14"/>
      <c r="I3237" s="4"/>
      <c r="J3237" s="6"/>
      <c r="K3237" s="7"/>
      <c r="L3237" s="8"/>
      <c r="O3237" s="10"/>
    </row>
    <row r="3238" ht="14.25" customHeight="1">
      <c r="A3238" s="1"/>
      <c r="B3238" s="2"/>
      <c r="C3238" s="2"/>
      <c r="D3238" s="2"/>
      <c r="E3238" s="3"/>
      <c r="F3238" s="4"/>
      <c r="G3238" s="4"/>
      <c r="H3238" s="14"/>
      <c r="I3238" s="4"/>
      <c r="J3238" s="6"/>
      <c r="K3238" s="7"/>
      <c r="L3238" s="8"/>
      <c r="O3238" s="10"/>
    </row>
    <row r="3239" ht="14.25" customHeight="1">
      <c r="A3239" s="1"/>
      <c r="B3239" s="2"/>
      <c r="C3239" s="2"/>
      <c r="D3239" s="2"/>
      <c r="E3239" s="3"/>
      <c r="F3239" s="4"/>
      <c r="G3239" s="4"/>
      <c r="H3239" s="4"/>
      <c r="I3239" s="4"/>
      <c r="J3239" s="6"/>
      <c r="K3239" s="7"/>
      <c r="L3239" s="8"/>
      <c r="O3239" s="10"/>
    </row>
    <row r="3240" ht="14.25" customHeight="1">
      <c r="A3240" s="1"/>
      <c r="B3240" s="2"/>
      <c r="C3240" s="2"/>
      <c r="D3240" s="2"/>
      <c r="E3240" s="3"/>
      <c r="F3240" s="4"/>
      <c r="G3240" s="4"/>
      <c r="H3240" s="14"/>
      <c r="I3240" s="4"/>
      <c r="J3240" s="6"/>
      <c r="K3240" s="7"/>
      <c r="L3240" s="8"/>
      <c r="O3240" s="10"/>
    </row>
    <row r="3241" ht="14.25" customHeight="1">
      <c r="A3241" s="1"/>
      <c r="B3241" s="2"/>
      <c r="C3241" s="2"/>
      <c r="D3241" s="2"/>
      <c r="E3241" s="3"/>
      <c r="F3241" s="4"/>
      <c r="G3241" s="4"/>
      <c r="H3241" s="14"/>
      <c r="I3241" s="4"/>
      <c r="J3241" s="6"/>
      <c r="K3241" s="7"/>
      <c r="L3241" s="8"/>
      <c r="O3241" s="10"/>
    </row>
    <row r="3242" ht="14.25" customHeight="1">
      <c r="A3242" s="1"/>
      <c r="B3242" s="2"/>
      <c r="C3242" s="2"/>
      <c r="D3242" s="2"/>
      <c r="E3242" s="3"/>
      <c r="F3242" s="4"/>
      <c r="G3242" s="4"/>
      <c r="H3242" s="4"/>
      <c r="I3242" s="4"/>
      <c r="J3242" s="6"/>
      <c r="K3242" s="7"/>
      <c r="L3242" s="8"/>
      <c r="O3242" s="10"/>
    </row>
    <row r="3243" ht="14.25" customHeight="1">
      <c r="A3243" s="1"/>
      <c r="B3243" s="2"/>
      <c r="C3243" s="2"/>
      <c r="D3243" s="2"/>
      <c r="E3243" s="3"/>
      <c r="F3243" s="4"/>
      <c r="G3243" s="4"/>
      <c r="H3243" s="14"/>
      <c r="I3243" s="4"/>
      <c r="J3243" s="6"/>
      <c r="K3243" s="7"/>
      <c r="L3243" s="8"/>
      <c r="O3243" s="10"/>
    </row>
    <row r="3244" ht="14.25" customHeight="1">
      <c r="A3244" s="1"/>
      <c r="B3244" s="2"/>
      <c r="C3244" s="2"/>
      <c r="D3244" s="2"/>
      <c r="E3244" s="3"/>
      <c r="F3244" s="4"/>
      <c r="G3244" s="4"/>
      <c r="H3244" s="14"/>
      <c r="I3244" s="4"/>
      <c r="J3244" s="6"/>
      <c r="K3244" s="7"/>
      <c r="L3244" s="8"/>
      <c r="O3244" s="10"/>
    </row>
    <row r="3245" ht="14.25" customHeight="1">
      <c r="A3245" s="1"/>
      <c r="B3245" s="2"/>
      <c r="C3245" s="2"/>
      <c r="D3245" s="2"/>
      <c r="E3245" s="3"/>
      <c r="F3245" s="4"/>
      <c r="G3245" s="4"/>
      <c r="H3245" s="14"/>
      <c r="I3245" s="4"/>
      <c r="J3245" s="6"/>
      <c r="K3245" s="7"/>
      <c r="L3245" s="8"/>
      <c r="O3245" s="10"/>
    </row>
    <row r="3246" ht="14.25" customHeight="1">
      <c r="A3246" s="1"/>
      <c r="B3246" s="2"/>
      <c r="C3246" s="2"/>
      <c r="D3246" s="2"/>
      <c r="E3246" s="3"/>
      <c r="F3246" s="4"/>
      <c r="G3246" s="4"/>
      <c r="H3246" s="14"/>
      <c r="I3246" s="4"/>
      <c r="J3246" s="6"/>
      <c r="K3246" s="7"/>
      <c r="L3246" s="8"/>
      <c r="O3246" s="10"/>
    </row>
    <row r="3247" ht="14.25" customHeight="1">
      <c r="A3247" s="1"/>
      <c r="B3247" s="2"/>
      <c r="C3247" s="2"/>
      <c r="D3247" s="2"/>
      <c r="E3247" s="3"/>
      <c r="F3247" s="4"/>
      <c r="G3247" s="4"/>
      <c r="H3247" s="4"/>
      <c r="I3247" s="4"/>
      <c r="J3247" s="6"/>
      <c r="K3247" s="7"/>
      <c r="L3247" s="8"/>
      <c r="O3247" s="10"/>
    </row>
    <row r="3248" ht="14.25" customHeight="1">
      <c r="A3248" s="1"/>
      <c r="B3248" s="2"/>
      <c r="C3248" s="2"/>
      <c r="D3248" s="2"/>
      <c r="E3248" s="3"/>
      <c r="F3248" s="4"/>
      <c r="G3248" s="4"/>
      <c r="H3248" s="14"/>
      <c r="I3248" s="4"/>
      <c r="J3248" s="6"/>
      <c r="K3248" s="7"/>
      <c r="L3248" s="8"/>
      <c r="O3248" s="10"/>
    </row>
    <row r="3249" ht="14.25" customHeight="1">
      <c r="A3249" s="1"/>
      <c r="B3249" s="2"/>
      <c r="C3249" s="2"/>
      <c r="D3249" s="2"/>
      <c r="E3249" s="3"/>
      <c r="F3249" s="4"/>
      <c r="G3249" s="4"/>
      <c r="H3249" s="14"/>
      <c r="I3249" s="4"/>
      <c r="J3249" s="6"/>
      <c r="K3249" s="7"/>
      <c r="L3249" s="8"/>
      <c r="O3249" s="10"/>
    </row>
    <row r="3250" ht="14.25" customHeight="1">
      <c r="A3250" s="1"/>
      <c r="B3250" s="2"/>
      <c r="C3250" s="2"/>
      <c r="D3250" s="2"/>
      <c r="E3250" s="3"/>
      <c r="F3250" s="4"/>
      <c r="G3250" s="4"/>
      <c r="H3250" s="14"/>
      <c r="I3250" s="4"/>
      <c r="J3250" s="6"/>
      <c r="K3250" s="7"/>
      <c r="L3250" s="8"/>
      <c r="O3250" s="10"/>
    </row>
    <row r="3251" ht="14.25" customHeight="1">
      <c r="A3251" s="1"/>
      <c r="B3251" s="2"/>
      <c r="C3251" s="2"/>
      <c r="D3251" s="2"/>
      <c r="E3251" s="3"/>
      <c r="F3251" s="4"/>
      <c r="G3251" s="4"/>
      <c r="H3251" s="14"/>
      <c r="I3251" s="4"/>
      <c r="J3251" s="6"/>
      <c r="K3251" s="7"/>
      <c r="L3251" s="8"/>
      <c r="O3251" s="10"/>
    </row>
    <row r="3252" ht="14.25" customHeight="1">
      <c r="A3252" s="1"/>
      <c r="B3252" s="2"/>
      <c r="C3252" s="2"/>
      <c r="D3252" s="2"/>
      <c r="E3252" s="3"/>
      <c r="F3252" s="4"/>
      <c r="G3252" s="4"/>
      <c r="H3252" s="14"/>
      <c r="I3252" s="4"/>
      <c r="J3252" s="6"/>
      <c r="K3252" s="7"/>
      <c r="L3252" s="8"/>
      <c r="O3252" s="10"/>
    </row>
    <row r="3253" ht="14.25" customHeight="1">
      <c r="A3253" s="1"/>
      <c r="B3253" s="2"/>
      <c r="C3253" s="2"/>
      <c r="D3253" s="2"/>
      <c r="E3253" s="3"/>
      <c r="F3253" s="4"/>
      <c r="G3253" s="4"/>
      <c r="H3253" s="14"/>
      <c r="I3253" s="4"/>
      <c r="J3253" s="6"/>
      <c r="K3253" s="7"/>
      <c r="L3253" s="8"/>
      <c r="O3253" s="10"/>
    </row>
    <row r="3254" ht="14.25" customHeight="1">
      <c r="A3254" s="1"/>
      <c r="B3254" s="2"/>
      <c r="C3254" s="2"/>
      <c r="D3254" s="2"/>
      <c r="E3254" s="3"/>
      <c r="F3254" s="4"/>
      <c r="G3254" s="4"/>
      <c r="H3254" s="14"/>
      <c r="I3254" s="4"/>
      <c r="J3254" s="6"/>
      <c r="K3254" s="7"/>
      <c r="L3254" s="8"/>
      <c r="O3254" s="10"/>
    </row>
    <row r="3255" ht="14.25" customHeight="1">
      <c r="A3255" s="1"/>
      <c r="B3255" s="2"/>
      <c r="C3255" s="2"/>
      <c r="D3255" s="2"/>
      <c r="E3255" s="3"/>
      <c r="F3255" s="4"/>
      <c r="G3255" s="4"/>
      <c r="H3255" s="14"/>
      <c r="I3255" s="4"/>
      <c r="J3255" s="6"/>
      <c r="K3255" s="7"/>
      <c r="L3255" s="8"/>
      <c r="O3255" s="10"/>
    </row>
    <row r="3256" ht="14.25" customHeight="1">
      <c r="A3256" s="1"/>
      <c r="B3256" s="2"/>
      <c r="C3256" s="2"/>
      <c r="D3256" s="2"/>
      <c r="E3256" s="3"/>
      <c r="F3256" s="4"/>
      <c r="G3256" s="4"/>
      <c r="H3256" s="14"/>
      <c r="I3256" s="4"/>
      <c r="J3256" s="6"/>
      <c r="K3256" s="7"/>
      <c r="L3256" s="8"/>
      <c r="O3256" s="10"/>
    </row>
    <row r="3257" ht="14.25" customHeight="1">
      <c r="A3257" s="1"/>
      <c r="B3257" s="2"/>
      <c r="C3257" s="2"/>
      <c r="D3257" s="2"/>
      <c r="E3257" s="3"/>
      <c r="F3257" s="4"/>
      <c r="G3257" s="4"/>
      <c r="H3257" s="4"/>
      <c r="I3257" s="4"/>
      <c r="J3257" s="6"/>
      <c r="K3257" s="7"/>
      <c r="L3257" s="8"/>
      <c r="O3257" s="10"/>
    </row>
    <row r="3258" ht="14.25" customHeight="1">
      <c r="A3258" s="1"/>
      <c r="B3258" s="2"/>
      <c r="C3258" s="2"/>
      <c r="D3258" s="2"/>
      <c r="E3258" s="3"/>
      <c r="F3258" s="4"/>
      <c r="G3258" s="4"/>
      <c r="H3258" s="14"/>
      <c r="I3258" s="4"/>
      <c r="J3258" s="6"/>
      <c r="K3258" s="7"/>
      <c r="L3258" s="8"/>
      <c r="O3258" s="10"/>
    </row>
    <row r="3259" ht="14.25" customHeight="1">
      <c r="A3259" s="1"/>
      <c r="B3259" s="2"/>
      <c r="C3259" s="2"/>
      <c r="D3259" s="2"/>
      <c r="E3259" s="3"/>
      <c r="F3259" s="4"/>
      <c r="G3259" s="4"/>
      <c r="H3259" s="14"/>
      <c r="I3259" s="4"/>
      <c r="J3259" s="6"/>
      <c r="K3259" s="7"/>
      <c r="L3259" s="8"/>
      <c r="O3259" s="10"/>
    </row>
    <row r="3260" ht="14.25" customHeight="1">
      <c r="A3260" s="1"/>
      <c r="B3260" s="2"/>
      <c r="C3260" s="2"/>
      <c r="D3260" s="2"/>
      <c r="E3260" s="3"/>
      <c r="F3260" s="4"/>
      <c r="G3260" s="4"/>
      <c r="H3260" s="14"/>
      <c r="I3260" s="4"/>
      <c r="J3260" s="6"/>
      <c r="K3260" s="7"/>
      <c r="L3260" s="8"/>
      <c r="O3260" s="10"/>
    </row>
    <row r="3261" ht="14.25" customHeight="1">
      <c r="A3261" s="1"/>
      <c r="B3261" s="2"/>
      <c r="C3261" s="2"/>
      <c r="D3261" s="2"/>
      <c r="E3261" s="3"/>
      <c r="F3261" s="4"/>
      <c r="G3261" s="4"/>
      <c r="H3261" s="14"/>
      <c r="I3261" s="4"/>
      <c r="J3261" s="6"/>
      <c r="K3261" s="7"/>
      <c r="L3261" s="8"/>
      <c r="O3261" s="10"/>
    </row>
    <row r="3262" ht="14.25" customHeight="1">
      <c r="A3262" s="1"/>
      <c r="B3262" s="2"/>
      <c r="C3262" s="2"/>
      <c r="D3262" s="2"/>
      <c r="E3262" s="3"/>
      <c r="F3262" s="4"/>
      <c r="G3262" s="4"/>
      <c r="H3262" s="14"/>
      <c r="I3262" s="4"/>
      <c r="J3262" s="6"/>
      <c r="K3262" s="7"/>
      <c r="L3262" s="8"/>
      <c r="O3262" s="10"/>
    </row>
    <row r="3263" ht="14.25" customHeight="1">
      <c r="A3263" s="1"/>
      <c r="B3263" s="2"/>
      <c r="C3263" s="2"/>
      <c r="D3263" s="2"/>
      <c r="E3263" s="3"/>
      <c r="F3263" s="4"/>
      <c r="G3263" s="4"/>
      <c r="H3263" s="14"/>
      <c r="I3263" s="4"/>
      <c r="J3263" s="6"/>
      <c r="K3263" s="7"/>
      <c r="L3263" s="8"/>
      <c r="O3263" s="10"/>
    </row>
    <row r="3264" ht="14.25" customHeight="1">
      <c r="A3264" s="1"/>
      <c r="B3264" s="2"/>
      <c r="C3264" s="2"/>
      <c r="D3264" s="2"/>
      <c r="E3264" s="3"/>
      <c r="F3264" s="4"/>
      <c r="G3264" s="4"/>
      <c r="H3264" s="14"/>
      <c r="I3264" s="4"/>
      <c r="J3264" s="6"/>
      <c r="K3264" s="7"/>
      <c r="L3264" s="8"/>
      <c r="O3264" s="10"/>
    </row>
    <row r="3265" ht="14.25" customHeight="1">
      <c r="A3265" s="1"/>
      <c r="B3265" s="2"/>
      <c r="C3265" s="2"/>
      <c r="D3265" s="2"/>
      <c r="E3265" s="3"/>
      <c r="F3265" s="4"/>
      <c r="G3265" s="4"/>
      <c r="H3265" s="14"/>
      <c r="I3265" s="4"/>
      <c r="J3265" s="6"/>
      <c r="K3265" s="7"/>
      <c r="L3265" s="8"/>
      <c r="O3265" s="10"/>
    </row>
    <row r="3266" ht="14.25" customHeight="1">
      <c r="A3266" s="1"/>
      <c r="B3266" s="2"/>
      <c r="C3266" s="2"/>
      <c r="D3266" s="2"/>
      <c r="E3266" s="3"/>
      <c r="F3266" s="4"/>
      <c r="G3266" s="4"/>
      <c r="H3266" s="14"/>
      <c r="I3266" s="4"/>
      <c r="J3266" s="6"/>
      <c r="K3266" s="7"/>
      <c r="L3266" s="8"/>
      <c r="O3266" s="10"/>
    </row>
    <row r="3267" ht="14.25" customHeight="1">
      <c r="A3267" s="1"/>
      <c r="B3267" s="2"/>
      <c r="C3267" s="2"/>
      <c r="D3267" s="2"/>
      <c r="E3267" s="3"/>
      <c r="F3267" s="4"/>
      <c r="G3267" s="4"/>
      <c r="H3267" s="14"/>
      <c r="I3267" s="4"/>
      <c r="J3267" s="6"/>
      <c r="K3267" s="7"/>
      <c r="L3267" s="8"/>
      <c r="O3267" s="10"/>
    </row>
    <row r="3268" ht="14.25" customHeight="1">
      <c r="A3268" s="1"/>
      <c r="B3268" s="2"/>
      <c r="C3268" s="2"/>
      <c r="D3268" s="2"/>
      <c r="E3268" s="3"/>
      <c r="F3268" s="4"/>
      <c r="G3268" s="4"/>
      <c r="H3268" s="14"/>
      <c r="I3268" s="4"/>
      <c r="J3268" s="6"/>
      <c r="K3268" s="7"/>
      <c r="L3268" s="8"/>
      <c r="O3268" s="10"/>
    </row>
    <row r="3269" ht="14.25" customHeight="1">
      <c r="A3269" s="1"/>
      <c r="B3269" s="2"/>
      <c r="C3269" s="2"/>
      <c r="D3269" s="2"/>
      <c r="E3269" s="3"/>
      <c r="F3269" s="4"/>
      <c r="G3269" s="4"/>
      <c r="H3269" s="14"/>
      <c r="I3269" s="4"/>
      <c r="J3269" s="6"/>
      <c r="K3269" s="7"/>
      <c r="L3269" s="8"/>
      <c r="O3269" s="10"/>
    </row>
    <row r="3270" ht="14.25" customHeight="1">
      <c r="A3270" s="1"/>
      <c r="B3270" s="2"/>
      <c r="C3270" s="2"/>
      <c r="D3270" s="2"/>
      <c r="E3270" s="3"/>
      <c r="F3270" s="4"/>
      <c r="G3270" s="4"/>
      <c r="H3270" s="14"/>
      <c r="I3270" s="4"/>
      <c r="J3270" s="6"/>
      <c r="K3270" s="7"/>
      <c r="L3270" s="8"/>
      <c r="O3270" s="10"/>
    </row>
    <row r="3271" ht="14.25" customHeight="1">
      <c r="A3271" s="1"/>
      <c r="B3271" s="2"/>
      <c r="C3271" s="2"/>
      <c r="D3271" s="2"/>
      <c r="E3271" s="3"/>
      <c r="F3271" s="4"/>
      <c r="G3271" s="4"/>
      <c r="H3271" s="4"/>
      <c r="I3271" s="4"/>
      <c r="J3271" s="6"/>
      <c r="K3271" s="7"/>
      <c r="L3271" s="8"/>
      <c r="O3271" s="10"/>
    </row>
    <row r="3272" ht="14.25" customHeight="1">
      <c r="A3272" s="1"/>
      <c r="B3272" s="2"/>
      <c r="C3272" s="2"/>
      <c r="D3272" s="2"/>
      <c r="E3272" s="3"/>
      <c r="F3272" s="4"/>
      <c r="G3272" s="4"/>
      <c r="H3272" s="14"/>
      <c r="I3272" s="4"/>
      <c r="J3272" s="6"/>
      <c r="K3272" s="7"/>
      <c r="L3272" s="8"/>
      <c r="O3272" s="10"/>
    </row>
    <row r="3273" ht="14.25" customHeight="1">
      <c r="A3273" s="1"/>
      <c r="B3273" s="2"/>
      <c r="C3273" s="2"/>
      <c r="D3273" s="2"/>
      <c r="E3273" s="3"/>
      <c r="F3273" s="4"/>
      <c r="G3273" s="4"/>
      <c r="H3273" s="14"/>
      <c r="I3273" s="4"/>
      <c r="J3273" s="6"/>
      <c r="K3273" s="7"/>
      <c r="L3273" s="8"/>
      <c r="O3273" s="10"/>
    </row>
    <row r="3274" ht="14.25" customHeight="1">
      <c r="A3274" s="1"/>
      <c r="B3274" s="2"/>
      <c r="C3274" s="2"/>
      <c r="D3274" s="2"/>
      <c r="E3274" s="3"/>
      <c r="F3274" s="4"/>
      <c r="G3274" s="4"/>
      <c r="H3274" s="14"/>
      <c r="I3274" s="4"/>
      <c r="J3274" s="6"/>
      <c r="K3274" s="7"/>
      <c r="L3274" s="8"/>
      <c r="O3274" s="10"/>
    </row>
    <row r="3275" ht="14.25" customHeight="1">
      <c r="A3275" s="1"/>
      <c r="B3275" s="2"/>
      <c r="C3275" s="2"/>
      <c r="D3275" s="2"/>
      <c r="E3275" s="3"/>
      <c r="F3275" s="4"/>
      <c r="G3275" s="4"/>
      <c r="H3275" s="14"/>
      <c r="I3275" s="4"/>
      <c r="J3275" s="6"/>
      <c r="K3275" s="7"/>
      <c r="L3275" s="8"/>
      <c r="O3275" s="10"/>
    </row>
    <row r="3276" ht="14.25" customHeight="1">
      <c r="A3276" s="1"/>
      <c r="B3276" s="2"/>
      <c r="C3276" s="2"/>
      <c r="D3276" s="2"/>
      <c r="E3276" s="3"/>
      <c r="F3276" s="4"/>
      <c r="G3276" s="4"/>
      <c r="H3276" s="14"/>
      <c r="I3276" s="4"/>
      <c r="J3276" s="6"/>
      <c r="K3276" s="7"/>
      <c r="L3276" s="8"/>
      <c r="O3276" s="10"/>
    </row>
    <row r="3277" ht="14.25" customHeight="1">
      <c r="A3277" s="1"/>
      <c r="B3277" s="2"/>
      <c r="C3277" s="2"/>
      <c r="D3277" s="2"/>
      <c r="E3277" s="3"/>
      <c r="F3277" s="4"/>
      <c r="G3277" s="4"/>
      <c r="H3277" s="14"/>
      <c r="I3277" s="4"/>
      <c r="J3277" s="6"/>
      <c r="K3277" s="7"/>
      <c r="L3277" s="8"/>
      <c r="O3277" s="10"/>
    </row>
    <row r="3278" ht="14.25" customHeight="1">
      <c r="A3278" s="1"/>
      <c r="B3278" s="2"/>
      <c r="C3278" s="2"/>
      <c r="D3278" s="2"/>
      <c r="E3278" s="3"/>
      <c r="F3278" s="4"/>
      <c r="G3278" s="4"/>
      <c r="H3278" s="14"/>
      <c r="I3278" s="4"/>
      <c r="J3278" s="6"/>
      <c r="K3278" s="7"/>
      <c r="L3278" s="8"/>
      <c r="O3278" s="10"/>
    </row>
    <row r="3279" ht="14.25" customHeight="1">
      <c r="A3279" s="1"/>
      <c r="B3279" s="2"/>
      <c r="C3279" s="2"/>
      <c r="D3279" s="2"/>
      <c r="E3279" s="3"/>
      <c r="F3279" s="4"/>
      <c r="G3279" s="4"/>
      <c r="H3279" s="14"/>
      <c r="I3279" s="4"/>
      <c r="J3279" s="6"/>
      <c r="K3279" s="7"/>
      <c r="L3279" s="8"/>
      <c r="O3279" s="10"/>
    </row>
    <row r="3280" ht="14.25" customHeight="1">
      <c r="A3280" s="1"/>
      <c r="B3280" s="2"/>
      <c r="C3280" s="2"/>
      <c r="D3280" s="2"/>
      <c r="E3280" s="3"/>
      <c r="F3280" s="4"/>
      <c r="G3280" s="4"/>
      <c r="H3280" s="14"/>
      <c r="I3280" s="4"/>
      <c r="J3280" s="6"/>
      <c r="K3280" s="7"/>
      <c r="L3280" s="8"/>
      <c r="O3280" s="10"/>
    </row>
    <row r="3281" ht="14.25" customHeight="1">
      <c r="A3281" s="1"/>
      <c r="B3281" s="2"/>
      <c r="C3281" s="2"/>
      <c r="D3281" s="2"/>
      <c r="E3281" s="3"/>
      <c r="F3281" s="4"/>
      <c r="G3281" s="4"/>
      <c r="H3281" s="14"/>
      <c r="I3281" s="4"/>
      <c r="J3281" s="6"/>
      <c r="K3281" s="7"/>
      <c r="L3281" s="8"/>
      <c r="O3281" s="10"/>
    </row>
    <row r="3282" ht="14.25" customHeight="1">
      <c r="A3282" s="1"/>
      <c r="B3282" s="2"/>
      <c r="C3282" s="2"/>
      <c r="D3282" s="2"/>
      <c r="E3282" s="3"/>
      <c r="F3282" s="4"/>
      <c r="G3282" s="4"/>
      <c r="H3282" s="4"/>
      <c r="I3282" s="4"/>
      <c r="J3282" s="6"/>
      <c r="K3282" s="7"/>
      <c r="L3282" s="8"/>
      <c r="O3282" s="10"/>
    </row>
    <row r="3283" ht="14.25" customHeight="1">
      <c r="A3283" s="1"/>
      <c r="B3283" s="2"/>
      <c r="C3283" s="2"/>
      <c r="D3283" s="2"/>
      <c r="E3283" s="3"/>
      <c r="F3283" s="4"/>
      <c r="G3283" s="4"/>
      <c r="H3283" s="4"/>
      <c r="I3283" s="4"/>
      <c r="J3283" s="6"/>
      <c r="K3283" s="7"/>
      <c r="L3283" s="8"/>
      <c r="O3283" s="10"/>
    </row>
    <row r="3284" ht="14.25" customHeight="1">
      <c r="A3284" s="1"/>
      <c r="B3284" s="2"/>
      <c r="C3284" s="2"/>
      <c r="D3284" s="2"/>
      <c r="E3284" s="3"/>
      <c r="F3284" s="4"/>
      <c r="G3284" s="4"/>
      <c r="H3284" s="14"/>
      <c r="I3284" s="4"/>
      <c r="J3284" s="6"/>
      <c r="K3284" s="7"/>
      <c r="L3284" s="8"/>
      <c r="O3284" s="10"/>
    </row>
    <row r="3285" ht="14.25" customHeight="1">
      <c r="A3285" s="1"/>
      <c r="B3285" s="2"/>
      <c r="C3285" s="2"/>
      <c r="D3285" s="2"/>
      <c r="E3285" s="3"/>
      <c r="F3285" s="4"/>
      <c r="G3285" s="4"/>
      <c r="H3285" s="14"/>
      <c r="I3285" s="4"/>
      <c r="J3285" s="6"/>
      <c r="K3285" s="7"/>
      <c r="L3285" s="8"/>
      <c r="O3285" s="10"/>
    </row>
    <row r="3286" ht="14.25" customHeight="1">
      <c r="A3286" s="1"/>
      <c r="B3286" s="2"/>
      <c r="C3286" s="2"/>
      <c r="D3286" s="2"/>
      <c r="E3286" s="3"/>
      <c r="F3286" s="4"/>
      <c r="G3286" s="4"/>
      <c r="H3286" s="4"/>
      <c r="I3286" s="4"/>
      <c r="J3286" s="6"/>
      <c r="K3286" s="7"/>
      <c r="L3286" s="8"/>
      <c r="O3286" s="10"/>
    </row>
    <row r="3287" ht="14.25" customHeight="1">
      <c r="A3287" s="1"/>
      <c r="B3287" s="2"/>
      <c r="C3287" s="2"/>
      <c r="D3287" s="2"/>
      <c r="E3287" s="3"/>
      <c r="F3287" s="4"/>
      <c r="G3287" s="4"/>
      <c r="H3287" s="14"/>
      <c r="I3287" s="4"/>
      <c r="J3287" s="6"/>
      <c r="K3287" s="7"/>
      <c r="L3287" s="8"/>
      <c r="O3287" s="10"/>
    </row>
    <row r="3288" ht="14.25" customHeight="1">
      <c r="A3288" s="1"/>
      <c r="B3288" s="2"/>
      <c r="C3288" s="2"/>
      <c r="D3288" s="2"/>
      <c r="E3288" s="3"/>
      <c r="F3288" s="4"/>
      <c r="G3288" s="4"/>
      <c r="H3288" s="14"/>
      <c r="I3288" s="4"/>
      <c r="J3288" s="6"/>
      <c r="K3288" s="7"/>
      <c r="L3288" s="8"/>
      <c r="O3288" s="10"/>
    </row>
    <row r="3289" ht="14.25" customHeight="1">
      <c r="A3289" s="1"/>
      <c r="B3289" s="2"/>
      <c r="C3289" s="2"/>
      <c r="D3289" s="2"/>
      <c r="E3289" s="3"/>
      <c r="F3289" s="4"/>
      <c r="G3289" s="4"/>
      <c r="H3289" s="14"/>
      <c r="I3289" s="4"/>
      <c r="J3289" s="6"/>
      <c r="K3289" s="7"/>
      <c r="L3289" s="8"/>
      <c r="O3289" s="10"/>
    </row>
    <row r="3290" ht="14.25" customHeight="1">
      <c r="A3290" s="1"/>
      <c r="B3290" s="2"/>
      <c r="C3290" s="2"/>
      <c r="D3290" s="2"/>
      <c r="E3290" s="3"/>
      <c r="F3290" s="4"/>
      <c r="G3290" s="4"/>
      <c r="H3290" s="4"/>
      <c r="I3290" s="4"/>
      <c r="J3290" s="6"/>
      <c r="K3290" s="7"/>
      <c r="L3290" s="8"/>
      <c r="O3290" s="10"/>
    </row>
    <row r="3291" ht="14.25" customHeight="1">
      <c r="A3291" s="1"/>
      <c r="B3291" s="2"/>
      <c r="C3291" s="2"/>
      <c r="D3291" s="2"/>
      <c r="E3291" s="3"/>
      <c r="F3291" s="4"/>
      <c r="G3291" s="4"/>
      <c r="H3291" s="14"/>
      <c r="I3291" s="4"/>
      <c r="J3291" s="6"/>
      <c r="K3291" s="7"/>
      <c r="L3291" s="8"/>
      <c r="O3291" s="10"/>
    </row>
    <row r="3292" ht="14.25" customHeight="1">
      <c r="A3292" s="1"/>
      <c r="B3292" s="2"/>
      <c r="C3292" s="2"/>
      <c r="D3292" s="2"/>
      <c r="E3292" s="3"/>
      <c r="F3292" s="4"/>
      <c r="G3292" s="4"/>
      <c r="H3292" s="4"/>
      <c r="I3292" s="4"/>
      <c r="J3292" s="6"/>
      <c r="K3292" s="7"/>
      <c r="L3292" s="8"/>
      <c r="O3292" s="10"/>
    </row>
    <row r="3293" ht="14.25" customHeight="1">
      <c r="A3293" s="1"/>
      <c r="B3293" s="2"/>
      <c r="C3293" s="2"/>
      <c r="D3293" s="2"/>
      <c r="E3293" s="3"/>
      <c r="F3293" s="4"/>
      <c r="G3293" s="4"/>
      <c r="H3293" s="14"/>
      <c r="I3293" s="4"/>
      <c r="J3293" s="6"/>
      <c r="K3293" s="7"/>
      <c r="L3293" s="8"/>
      <c r="O3293" s="10"/>
    </row>
    <row r="3294" ht="14.25" customHeight="1">
      <c r="A3294" s="1"/>
      <c r="B3294" s="2"/>
      <c r="C3294" s="2"/>
      <c r="D3294" s="2"/>
      <c r="E3294" s="3"/>
      <c r="F3294" s="4"/>
      <c r="G3294" s="4"/>
      <c r="H3294" s="4"/>
      <c r="I3294" s="4"/>
      <c r="J3294" s="6"/>
      <c r="K3294" s="7"/>
      <c r="L3294" s="8"/>
      <c r="O3294" s="10"/>
    </row>
    <row r="3295" ht="14.25" customHeight="1">
      <c r="A3295" s="1"/>
      <c r="B3295" s="2"/>
      <c r="C3295" s="2"/>
      <c r="D3295" s="2"/>
      <c r="E3295" s="3"/>
      <c r="F3295" s="4"/>
      <c r="G3295" s="4"/>
      <c r="H3295" s="4"/>
      <c r="I3295" s="4"/>
      <c r="J3295" s="6"/>
      <c r="K3295" s="7"/>
      <c r="L3295" s="8"/>
      <c r="O3295" s="10"/>
    </row>
    <row r="3296" ht="14.25" customHeight="1">
      <c r="A3296" s="1"/>
      <c r="B3296" s="2"/>
      <c r="C3296" s="2"/>
      <c r="D3296" s="2"/>
      <c r="E3296" s="3"/>
      <c r="F3296" s="4"/>
      <c r="G3296" s="4"/>
      <c r="H3296" s="14"/>
      <c r="I3296" s="4"/>
      <c r="J3296" s="6"/>
      <c r="K3296" s="7"/>
      <c r="L3296" s="8"/>
      <c r="O3296" s="10"/>
    </row>
    <row r="3297" ht="14.25" customHeight="1">
      <c r="A3297" s="1"/>
      <c r="B3297" s="2"/>
      <c r="C3297" s="2"/>
      <c r="D3297" s="2"/>
      <c r="E3297" s="3"/>
      <c r="F3297" s="4"/>
      <c r="G3297" s="4"/>
      <c r="H3297" s="14"/>
      <c r="I3297" s="4"/>
      <c r="J3297" s="6"/>
      <c r="K3297" s="7"/>
      <c r="L3297" s="8"/>
      <c r="O3297" s="10"/>
    </row>
    <row r="3298" ht="14.25" customHeight="1">
      <c r="A3298" s="1"/>
      <c r="B3298" s="2"/>
      <c r="C3298" s="2"/>
      <c r="D3298" s="2"/>
      <c r="E3298" s="3"/>
      <c r="F3298" s="4"/>
      <c r="G3298" s="4"/>
      <c r="H3298" s="4"/>
      <c r="I3298" s="4"/>
      <c r="J3298" s="6"/>
      <c r="K3298" s="7"/>
      <c r="L3298" s="8"/>
      <c r="O3298" s="10"/>
    </row>
    <row r="3299" ht="14.25" customHeight="1">
      <c r="A3299" s="1"/>
      <c r="B3299" s="2"/>
      <c r="C3299" s="2"/>
      <c r="D3299" s="2"/>
      <c r="E3299" s="3"/>
      <c r="F3299" s="4"/>
      <c r="G3299" s="4"/>
      <c r="H3299" s="14"/>
      <c r="I3299" s="4"/>
      <c r="J3299" s="6"/>
      <c r="K3299" s="7"/>
      <c r="L3299" s="8"/>
      <c r="O3299" s="10"/>
    </row>
    <row r="3300" ht="14.25" customHeight="1">
      <c r="A3300" s="1"/>
      <c r="B3300" s="2"/>
      <c r="C3300" s="2"/>
      <c r="D3300" s="2"/>
      <c r="E3300" s="3"/>
      <c r="F3300" s="4"/>
      <c r="G3300" s="4"/>
      <c r="H3300" s="14"/>
      <c r="I3300" s="4"/>
      <c r="J3300" s="6"/>
      <c r="K3300" s="7"/>
      <c r="L3300" s="8"/>
      <c r="O3300" s="10"/>
    </row>
    <row r="3301" ht="14.25" customHeight="1">
      <c r="A3301" s="1"/>
      <c r="B3301" s="2"/>
      <c r="C3301" s="2"/>
      <c r="D3301" s="2"/>
      <c r="E3301" s="3"/>
      <c r="F3301" s="4"/>
      <c r="G3301" s="4"/>
      <c r="H3301" s="14"/>
      <c r="I3301" s="4"/>
      <c r="J3301" s="6"/>
      <c r="K3301" s="7"/>
      <c r="L3301" s="8"/>
      <c r="O3301" s="10"/>
    </row>
    <row r="3302" ht="14.25" customHeight="1">
      <c r="A3302" s="1"/>
      <c r="B3302" s="2"/>
      <c r="C3302" s="2"/>
      <c r="D3302" s="2"/>
      <c r="E3302" s="3"/>
      <c r="F3302" s="4"/>
      <c r="G3302" s="4"/>
      <c r="H3302" s="4"/>
      <c r="I3302" s="4"/>
      <c r="J3302" s="6"/>
      <c r="K3302" s="7"/>
      <c r="L3302" s="8"/>
      <c r="O3302" s="10"/>
    </row>
    <row r="3303" ht="14.25" customHeight="1">
      <c r="A3303" s="1"/>
      <c r="B3303" s="2"/>
      <c r="C3303" s="2"/>
      <c r="D3303" s="2"/>
      <c r="E3303" s="3"/>
      <c r="F3303" s="4"/>
      <c r="G3303" s="4"/>
      <c r="H3303" s="14"/>
      <c r="I3303" s="4"/>
      <c r="J3303" s="6"/>
      <c r="K3303" s="7"/>
      <c r="L3303" s="8"/>
      <c r="O3303" s="10"/>
    </row>
    <row r="3304" ht="14.25" customHeight="1">
      <c r="A3304" s="1"/>
      <c r="B3304" s="2"/>
      <c r="C3304" s="2"/>
      <c r="D3304" s="2"/>
      <c r="E3304" s="3"/>
      <c r="F3304" s="4"/>
      <c r="G3304" s="4"/>
      <c r="H3304" s="14"/>
      <c r="I3304" s="4"/>
      <c r="J3304" s="6"/>
      <c r="K3304" s="7"/>
      <c r="L3304" s="8"/>
      <c r="O3304" s="10"/>
    </row>
    <row r="3305" ht="14.25" customHeight="1">
      <c r="A3305" s="1"/>
      <c r="B3305" s="2"/>
      <c r="C3305" s="2"/>
      <c r="D3305" s="2"/>
      <c r="E3305" s="3"/>
      <c r="F3305" s="4"/>
      <c r="G3305" s="4"/>
      <c r="H3305" s="14"/>
      <c r="I3305" s="4"/>
      <c r="J3305" s="6"/>
      <c r="K3305" s="7"/>
      <c r="L3305" s="8"/>
      <c r="O3305" s="10"/>
    </row>
    <row r="3306" ht="14.25" customHeight="1">
      <c r="A3306" s="1"/>
      <c r="B3306" s="2"/>
      <c r="C3306" s="2"/>
      <c r="D3306" s="2"/>
      <c r="E3306" s="3"/>
      <c r="F3306" s="4"/>
      <c r="G3306" s="4"/>
      <c r="H3306" s="14"/>
      <c r="I3306" s="4"/>
      <c r="J3306" s="6"/>
      <c r="K3306" s="7"/>
      <c r="L3306" s="8"/>
      <c r="O3306" s="10"/>
    </row>
    <row r="3307" ht="14.25" customHeight="1">
      <c r="A3307" s="1"/>
      <c r="B3307" s="2"/>
      <c r="C3307" s="2"/>
      <c r="D3307" s="2"/>
      <c r="E3307" s="3"/>
      <c r="F3307" s="4"/>
      <c r="G3307" s="4"/>
      <c r="H3307" s="14"/>
      <c r="I3307" s="4"/>
      <c r="J3307" s="6"/>
      <c r="K3307" s="7"/>
      <c r="L3307" s="8"/>
      <c r="O3307" s="10"/>
    </row>
    <row r="3308" ht="14.25" customHeight="1">
      <c r="A3308" s="1"/>
      <c r="B3308" s="2"/>
      <c r="C3308" s="2"/>
      <c r="D3308" s="2"/>
      <c r="E3308" s="3"/>
      <c r="F3308" s="4"/>
      <c r="G3308" s="4"/>
      <c r="H3308" s="14"/>
      <c r="I3308" s="4"/>
      <c r="J3308" s="6"/>
      <c r="K3308" s="7"/>
      <c r="L3308" s="8"/>
      <c r="O3308" s="10"/>
    </row>
    <row r="3309" ht="14.25" customHeight="1">
      <c r="A3309" s="1"/>
      <c r="B3309" s="2"/>
      <c r="C3309" s="2"/>
      <c r="D3309" s="2"/>
      <c r="E3309" s="3"/>
      <c r="F3309" s="4"/>
      <c r="G3309" s="4"/>
      <c r="H3309" s="14"/>
      <c r="I3309" s="4"/>
      <c r="J3309" s="6"/>
      <c r="K3309" s="7"/>
      <c r="L3309" s="8"/>
      <c r="O3309" s="10"/>
    </row>
    <row r="3310" ht="14.25" customHeight="1">
      <c r="A3310" s="1"/>
      <c r="B3310" s="2"/>
      <c r="C3310" s="2"/>
      <c r="D3310" s="2"/>
      <c r="E3310" s="3"/>
      <c r="F3310" s="4"/>
      <c r="G3310" s="4"/>
      <c r="H3310" s="14"/>
      <c r="I3310" s="4"/>
      <c r="J3310" s="6"/>
      <c r="K3310" s="7"/>
      <c r="L3310" s="8"/>
      <c r="O3310" s="10"/>
    </row>
    <row r="3311" ht="14.25" customHeight="1">
      <c r="A3311" s="1"/>
      <c r="B3311" s="2"/>
      <c r="C3311" s="2"/>
      <c r="D3311" s="2"/>
      <c r="E3311" s="3"/>
      <c r="F3311" s="4"/>
      <c r="G3311" s="4"/>
      <c r="H3311" s="14"/>
      <c r="I3311" s="4"/>
      <c r="J3311" s="6"/>
      <c r="K3311" s="7"/>
      <c r="L3311" s="8"/>
      <c r="O3311" s="10"/>
    </row>
    <row r="3312" ht="14.25" customHeight="1">
      <c r="A3312" s="1"/>
      <c r="B3312" s="2"/>
      <c r="C3312" s="2"/>
      <c r="D3312" s="2"/>
      <c r="E3312" s="3"/>
      <c r="F3312" s="4"/>
      <c r="G3312" s="4"/>
      <c r="H3312" s="14"/>
      <c r="I3312" s="4"/>
      <c r="J3312" s="6"/>
      <c r="K3312" s="7"/>
      <c r="L3312" s="8"/>
      <c r="O3312" s="10"/>
    </row>
    <row r="3313" ht="14.25" customHeight="1">
      <c r="A3313" s="1"/>
      <c r="B3313" s="2"/>
      <c r="C3313" s="2"/>
      <c r="D3313" s="2"/>
      <c r="E3313" s="3"/>
      <c r="F3313" s="4"/>
      <c r="G3313" s="4"/>
      <c r="H3313" s="14"/>
      <c r="I3313" s="4"/>
      <c r="J3313" s="6"/>
      <c r="K3313" s="7"/>
      <c r="L3313" s="8"/>
      <c r="O3313" s="10"/>
    </row>
    <row r="3314" ht="14.25" customHeight="1">
      <c r="A3314" s="1"/>
      <c r="B3314" s="2"/>
      <c r="C3314" s="2"/>
      <c r="D3314" s="2"/>
      <c r="E3314" s="3"/>
      <c r="F3314" s="4"/>
      <c r="G3314" s="4"/>
      <c r="H3314" s="14"/>
      <c r="I3314" s="4"/>
      <c r="J3314" s="6"/>
      <c r="K3314" s="7"/>
      <c r="L3314" s="8"/>
      <c r="O3314" s="10"/>
    </row>
    <row r="3315" ht="14.25" customHeight="1">
      <c r="A3315" s="1"/>
      <c r="B3315" s="2"/>
      <c r="C3315" s="2"/>
      <c r="D3315" s="2"/>
      <c r="E3315" s="3"/>
      <c r="F3315" s="4"/>
      <c r="G3315" s="4"/>
      <c r="H3315" s="14"/>
      <c r="I3315" s="4"/>
      <c r="J3315" s="6"/>
      <c r="K3315" s="7"/>
      <c r="L3315" s="8"/>
      <c r="O3315" s="10"/>
    </row>
    <row r="3316" ht="14.25" customHeight="1">
      <c r="A3316" s="1"/>
      <c r="B3316" s="2"/>
      <c r="C3316" s="2"/>
      <c r="D3316" s="2"/>
      <c r="E3316" s="3"/>
      <c r="F3316" s="4"/>
      <c r="G3316" s="4"/>
      <c r="H3316" s="14"/>
      <c r="I3316" s="4"/>
      <c r="J3316" s="6"/>
      <c r="K3316" s="7"/>
      <c r="L3316" s="8"/>
      <c r="O3316" s="10"/>
    </row>
    <row r="3317" ht="14.25" customHeight="1">
      <c r="A3317" s="1"/>
      <c r="B3317" s="2"/>
      <c r="C3317" s="2"/>
      <c r="D3317" s="2"/>
      <c r="E3317" s="3"/>
      <c r="F3317" s="4"/>
      <c r="G3317" s="4"/>
      <c r="H3317" s="4"/>
      <c r="I3317" s="4"/>
      <c r="J3317" s="6"/>
      <c r="K3317" s="7"/>
      <c r="L3317" s="8"/>
      <c r="O3317" s="10"/>
    </row>
    <row r="3318" ht="14.25" customHeight="1">
      <c r="A3318" s="1"/>
      <c r="B3318" s="2"/>
      <c r="C3318" s="2"/>
      <c r="D3318" s="2"/>
      <c r="E3318" s="3"/>
      <c r="F3318" s="4"/>
      <c r="G3318" s="4"/>
      <c r="H3318" s="4"/>
      <c r="I3318" s="4"/>
      <c r="J3318" s="6"/>
      <c r="K3318" s="7"/>
      <c r="L3318" s="8"/>
      <c r="O3318" s="10"/>
    </row>
    <row r="3319" ht="14.25" customHeight="1">
      <c r="A3319" s="1"/>
      <c r="B3319" s="2"/>
      <c r="C3319" s="2"/>
      <c r="D3319" s="2"/>
      <c r="E3319" s="3"/>
      <c r="F3319" s="4"/>
      <c r="G3319" s="4"/>
      <c r="H3319" s="14"/>
      <c r="I3319" s="4"/>
      <c r="J3319" s="6"/>
      <c r="K3319" s="7"/>
      <c r="L3319" s="8"/>
      <c r="O3319" s="10"/>
    </row>
    <row r="3320" ht="14.25" customHeight="1">
      <c r="A3320" s="1"/>
      <c r="B3320" s="2"/>
      <c r="C3320" s="2"/>
      <c r="D3320" s="2"/>
      <c r="E3320" s="3"/>
      <c r="F3320" s="4"/>
      <c r="G3320" s="4"/>
      <c r="H3320" s="14"/>
      <c r="I3320" s="4"/>
      <c r="J3320" s="6"/>
      <c r="K3320" s="7"/>
      <c r="L3320" s="8"/>
      <c r="O3320" s="10"/>
    </row>
    <row r="3321" ht="14.25" customHeight="1">
      <c r="A3321" s="1"/>
      <c r="B3321" s="2"/>
      <c r="C3321" s="2"/>
      <c r="D3321" s="2"/>
      <c r="E3321" s="3"/>
      <c r="F3321" s="4"/>
      <c r="G3321" s="4"/>
      <c r="H3321" s="4"/>
      <c r="I3321" s="4"/>
      <c r="J3321" s="6"/>
      <c r="K3321" s="7"/>
      <c r="L3321" s="8"/>
      <c r="O3321" s="10"/>
    </row>
    <row r="3322" ht="14.25" customHeight="1">
      <c r="A3322" s="1"/>
      <c r="B3322" s="2"/>
      <c r="C3322" s="2"/>
      <c r="D3322" s="2"/>
      <c r="E3322" s="3"/>
      <c r="F3322" s="4"/>
      <c r="G3322" s="4"/>
      <c r="H3322" s="14"/>
      <c r="I3322" s="4"/>
      <c r="J3322" s="6"/>
      <c r="K3322" s="7"/>
      <c r="L3322" s="8"/>
      <c r="O3322" s="10"/>
    </row>
    <row r="3323" ht="14.25" customHeight="1">
      <c r="A3323" s="1"/>
      <c r="B3323" s="2"/>
      <c r="C3323" s="2"/>
      <c r="D3323" s="2"/>
      <c r="E3323" s="3"/>
      <c r="F3323" s="4"/>
      <c r="G3323" s="4"/>
      <c r="H3323" s="14"/>
      <c r="I3323" s="4"/>
      <c r="J3323" s="6"/>
      <c r="K3323" s="7"/>
      <c r="L3323" s="8"/>
      <c r="O3323" s="10"/>
    </row>
    <row r="3324" ht="14.25" customHeight="1">
      <c r="A3324" s="1"/>
      <c r="B3324" s="2"/>
      <c r="C3324" s="2"/>
      <c r="D3324" s="2"/>
      <c r="E3324" s="3"/>
      <c r="F3324" s="4"/>
      <c r="G3324" s="4"/>
      <c r="H3324" s="14"/>
      <c r="I3324" s="4"/>
      <c r="J3324" s="6"/>
      <c r="K3324" s="7"/>
      <c r="L3324" s="8"/>
      <c r="O3324" s="10"/>
    </row>
    <row r="3325" ht="14.25" customHeight="1">
      <c r="A3325" s="1"/>
      <c r="B3325" s="2"/>
      <c r="C3325" s="2"/>
      <c r="D3325" s="2"/>
      <c r="E3325" s="3"/>
      <c r="F3325" s="4"/>
      <c r="G3325" s="4"/>
      <c r="H3325" s="14"/>
      <c r="I3325" s="4"/>
      <c r="J3325" s="6"/>
      <c r="K3325" s="7"/>
      <c r="L3325" s="8"/>
      <c r="O3325" s="10"/>
    </row>
    <row r="3326" ht="14.25" customHeight="1">
      <c r="A3326" s="1"/>
      <c r="B3326" s="2"/>
      <c r="C3326" s="2"/>
      <c r="D3326" s="2"/>
      <c r="E3326" s="3"/>
      <c r="F3326" s="4"/>
      <c r="G3326" s="4"/>
      <c r="H3326" s="14"/>
      <c r="I3326" s="4"/>
      <c r="J3326" s="6"/>
      <c r="K3326" s="7"/>
      <c r="L3326" s="8"/>
      <c r="O3326" s="10"/>
    </row>
    <row r="3327" ht="14.25" customHeight="1">
      <c r="A3327" s="1"/>
      <c r="B3327" s="2"/>
      <c r="C3327" s="2"/>
      <c r="D3327" s="2"/>
      <c r="E3327" s="3"/>
      <c r="F3327" s="4"/>
      <c r="G3327" s="4"/>
      <c r="H3327" s="14"/>
      <c r="I3327" s="4"/>
      <c r="J3327" s="6"/>
      <c r="K3327" s="7"/>
      <c r="L3327" s="8"/>
      <c r="O3327" s="10"/>
    </row>
    <row r="3328" ht="14.25" customHeight="1">
      <c r="A3328" s="1"/>
      <c r="B3328" s="2"/>
      <c r="C3328" s="2"/>
      <c r="D3328" s="2"/>
      <c r="E3328" s="3"/>
      <c r="F3328" s="4"/>
      <c r="G3328" s="4"/>
      <c r="H3328" s="14"/>
      <c r="I3328" s="4"/>
      <c r="J3328" s="6"/>
      <c r="K3328" s="7"/>
      <c r="L3328" s="8"/>
      <c r="O3328" s="10"/>
    </row>
    <row r="3329" ht="14.25" customHeight="1">
      <c r="A3329" s="1"/>
      <c r="B3329" s="2"/>
      <c r="C3329" s="2"/>
      <c r="D3329" s="2"/>
      <c r="E3329" s="3"/>
      <c r="F3329" s="4"/>
      <c r="G3329" s="4"/>
      <c r="H3329" s="4"/>
      <c r="I3329" s="4"/>
      <c r="J3329" s="6"/>
      <c r="K3329" s="7"/>
      <c r="L3329" s="8"/>
      <c r="O3329" s="10"/>
    </row>
    <row r="3330" ht="14.25" customHeight="1">
      <c r="A3330" s="1"/>
      <c r="B3330" s="2"/>
      <c r="C3330" s="2"/>
      <c r="D3330" s="2"/>
      <c r="E3330" s="3"/>
      <c r="F3330" s="4"/>
      <c r="G3330" s="4"/>
      <c r="H3330" s="14"/>
      <c r="I3330" s="4"/>
      <c r="J3330" s="6"/>
      <c r="K3330" s="7"/>
      <c r="L3330" s="8"/>
      <c r="O3330" s="10"/>
    </row>
    <row r="3331" ht="14.25" customHeight="1">
      <c r="A3331" s="1"/>
      <c r="B3331" s="2"/>
      <c r="C3331" s="2"/>
      <c r="D3331" s="2"/>
      <c r="E3331" s="3"/>
      <c r="F3331" s="4"/>
      <c r="G3331" s="4"/>
      <c r="H3331" s="4"/>
      <c r="I3331" s="4"/>
      <c r="J3331" s="6"/>
      <c r="K3331" s="7"/>
      <c r="L3331" s="8"/>
      <c r="O3331" s="10"/>
    </row>
    <row r="3332" ht="14.25" customHeight="1">
      <c r="A3332" s="1"/>
      <c r="B3332" s="2"/>
      <c r="C3332" s="2"/>
      <c r="D3332" s="2"/>
      <c r="E3332" s="3"/>
      <c r="F3332" s="4"/>
      <c r="G3332" s="4"/>
      <c r="H3332" s="4"/>
      <c r="I3332" s="4"/>
      <c r="J3332" s="6"/>
      <c r="K3332" s="7"/>
      <c r="L3332" s="8"/>
      <c r="O3332" s="10"/>
    </row>
    <row r="3333" ht="14.25" customHeight="1">
      <c r="A3333" s="1"/>
      <c r="B3333" s="2"/>
      <c r="C3333" s="2"/>
      <c r="D3333" s="2"/>
      <c r="E3333" s="3"/>
      <c r="F3333" s="4"/>
      <c r="G3333" s="4"/>
      <c r="H3333" s="14"/>
      <c r="I3333" s="4"/>
      <c r="J3333" s="6"/>
      <c r="K3333" s="7"/>
      <c r="L3333" s="8"/>
      <c r="O3333" s="10"/>
    </row>
    <row r="3334" ht="14.25" customHeight="1">
      <c r="A3334" s="1"/>
      <c r="B3334" s="2"/>
      <c r="C3334" s="2"/>
      <c r="D3334" s="2"/>
      <c r="E3334" s="3"/>
      <c r="F3334" s="4"/>
      <c r="G3334" s="4"/>
      <c r="H3334" s="4"/>
      <c r="I3334" s="4"/>
      <c r="J3334" s="6"/>
      <c r="K3334" s="7"/>
      <c r="L3334" s="8"/>
      <c r="O3334" s="10"/>
    </row>
    <row r="3335" ht="14.25" customHeight="1">
      <c r="A3335" s="1"/>
      <c r="B3335" s="2"/>
      <c r="C3335" s="2"/>
      <c r="D3335" s="2"/>
      <c r="E3335" s="3"/>
      <c r="F3335" s="4"/>
      <c r="G3335" s="4"/>
      <c r="H3335" s="14"/>
      <c r="I3335" s="4"/>
      <c r="J3335" s="6"/>
      <c r="K3335" s="7"/>
      <c r="L3335" s="8"/>
      <c r="O3335" s="10"/>
    </row>
    <row r="3336" ht="14.25" customHeight="1">
      <c r="A3336" s="1"/>
      <c r="B3336" s="2"/>
      <c r="C3336" s="2"/>
      <c r="D3336" s="2"/>
      <c r="E3336" s="3"/>
      <c r="F3336" s="4"/>
      <c r="G3336" s="4"/>
      <c r="H3336" s="14"/>
      <c r="I3336" s="4"/>
      <c r="J3336" s="6"/>
      <c r="K3336" s="7"/>
      <c r="L3336" s="8"/>
      <c r="O3336" s="10"/>
    </row>
    <row r="3337" ht="14.25" customHeight="1">
      <c r="A3337" s="1"/>
      <c r="B3337" s="2"/>
      <c r="C3337" s="2"/>
      <c r="D3337" s="2"/>
      <c r="E3337" s="3"/>
      <c r="F3337" s="4"/>
      <c r="G3337" s="4"/>
      <c r="H3337" s="14"/>
      <c r="I3337" s="4"/>
      <c r="J3337" s="6"/>
      <c r="K3337" s="7"/>
      <c r="L3337" s="8"/>
      <c r="O3337" s="10"/>
    </row>
    <row r="3338" ht="14.25" customHeight="1">
      <c r="A3338" s="1"/>
      <c r="B3338" s="2"/>
      <c r="C3338" s="2"/>
      <c r="D3338" s="2"/>
      <c r="E3338" s="3"/>
      <c r="F3338" s="4"/>
      <c r="G3338" s="4"/>
      <c r="H3338" s="4"/>
      <c r="I3338" s="4"/>
      <c r="J3338" s="6"/>
      <c r="K3338" s="7"/>
      <c r="L3338" s="8"/>
      <c r="O3338" s="10"/>
    </row>
    <row r="3339" ht="14.25" customHeight="1">
      <c r="A3339" s="1"/>
      <c r="B3339" s="2"/>
      <c r="C3339" s="2"/>
      <c r="D3339" s="2"/>
      <c r="E3339" s="3"/>
      <c r="F3339" s="4"/>
      <c r="G3339" s="4"/>
      <c r="H3339" s="14"/>
      <c r="I3339" s="4"/>
      <c r="J3339" s="6"/>
      <c r="K3339" s="7"/>
      <c r="L3339" s="8"/>
      <c r="O3339" s="10"/>
    </row>
    <row r="3340" ht="14.25" customHeight="1">
      <c r="A3340" s="1"/>
      <c r="B3340" s="2"/>
      <c r="C3340" s="2"/>
      <c r="D3340" s="2"/>
      <c r="E3340" s="3"/>
      <c r="F3340" s="4"/>
      <c r="G3340" s="4"/>
      <c r="H3340" s="14"/>
      <c r="I3340" s="4"/>
      <c r="J3340" s="6"/>
      <c r="K3340" s="7"/>
      <c r="L3340" s="8"/>
      <c r="O3340" s="10"/>
    </row>
    <row r="3341" ht="14.25" customHeight="1">
      <c r="A3341" s="1"/>
      <c r="B3341" s="2"/>
      <c r="C3341" s="2"/>
      <c r="D3341" s="2"/>
      <c r="E3341" s="3"/>
      <c r="F3341" s="4"/>
      <c r="G3341" s="4"/>
      <c r="H3341" s="14"/>
      <c r="I3341" s="4"/>
      <c r="J3341" s="6"/>
      <c r="K3341" s="7"/>
      <c r="L3341" s="8"/>
      <c r="O3341" s="10"/>
    </row>
    <row r="3342" ht="14.25" customHeight="1">
      <c r="A3342" s="1"/>
      <c r="B3342" s="2"/>
      <c r="C3342" s="2"/>
      <c r="D3342" s="2"/>
      <c r="E3342" s="3"/>
      <c r="F3342" s="4"/>
      <c r="G3342" s="4"/>
      <c r="H3342" s="14"/>
      <c r="I3342" s="4"/>
      <c r="J3342" s="6"/>
      <c r="K3342" s="7"/>
      <c r="L3342" s="8"/>
      <c r="O3342" s="10"/>
    </row>
    <row r="3343" ht="14.25" customHeight="1">
      <c r="A3343" s="1"/>
      <c r="B3343" s="2"/>
      <c r="C3343" s="2"/>
      <c r="D3343" s="2"/>
      <c r="E3343" s="3"/>
      <c r="F3343" s="4"/>
      <c r="G3343" s="4"/>
      <c r="H3343" s="4"/>
      <c r="I3343" s="4"/>
      <c r="J3343" s="6"/>
      <c r="K3343" s="7"/>
      <c r="L3343" s="8"/>
      <c r="O3343" s="10"/>
    </row>
    <row r="3344" ht="14.25" customHeight="1">
      <c r="A3344" s="1"/>
      <c r="B3344" s="2"/>
      <c r="C3344" s="2"/>
      <c r="D3344" s="2"/>
      <c r="E3344" s="3"/>
      <c r="F3344" s="4"/>
      <c r="G3344" s="4"/>
      <c r="H3344" s="14"/>
      <c r="I3344" s="4"/>
      <c r="J3344" s="6"/>
      <c r="K3344" s="7"/>
      <c r="L3344" s="8"/>
      <c r="O3344" s="10"/>
    </row>
    <row r="3345" ht="14.25" customHeight="1">
      <c r="A3345" s="1"/>
      <c r="B3345" s="2"/>
      <c r="C3345" s="2"/>
      <c r="D3345" s="2"/>
      <c r="E3345" s="3"/>
      <c r="F3345" s="4"/>
      <c r="G3345" s="4"/>
      <c r="H3345" s="14"/>
      <c r="I3345" s="4"/>
      <c r="J3345" s="6"/>
      <c r="K3345" s="7"/>
      <c r="L3345" s="8"/>
      <c r="O3345" s="10"/>
    </row>
    <row r="3346" ht="14.25" customHeight="1">
      <c r="A3346" s="1"/>
      <c r="B3346" s="2"/>
      <c r="C3346" s="2"/>
      <c r="D3346" s="2"/>
      <c r="E3346" s="3"/>
      <c r="F3346" s="4"/>
      <c r="G3346" s="4"/>
      <c r="H3346" s="4"/>
      <c r="I3346" s="4"/>
      <c r="J3346" s="6"/>
      <c r="K3346" s="7"/>
      <c r="L3346" s="8"/>
      <c r="O3346" s="10"/>
    </row>
    <row r="3347" ht="14.25" customHeight="1">
      <c r="A3347" s="1"/>
      <c r="B3347" s="2"/>
      <c r="C3347" s="2"/>
      <c r="D3347" s="2"/>
      <c r="E3347" s="3"/>
      <c r="F3347" s="4"/>
      <c r="G3347" s="4"/>
      <c r="H3347" s="14"/>
      <c r="I3347" s="4"/>
      <c r="J3347" s="6"/>
      <c r="K3347" s="7"/>
      <c r="L3347" s="8"/>
      <c r="O3347" s="10"/>
    </row>
    <row r="3348" ht="14.25" customHeight="1">
      <c r="A3348" s="1"/>
      <c r="B3348" s="2"/>
      <c r="C3348" s="2"/>
      <c r="D3348" s="2"/>
      <c r="E3348" s="3"/>
      <c r="F3348" s="4"/>
      <c r="G3348" s="4"/>
      <c r="H3348" s="4"/>
      <c r="I3348" s="4"/>
      <c r="J3348" s="6"/>
      <c r="K3348" s="7"/>
      <c r="L3348" s="8"/>
      <c r="O3348" s="10"/>
    </row>
    <row r="3349" ht="14.25" customHeight="1">
      <c r="A3349" s="1"/>
      <c r="B3349" s="2"/>
      <c r="C3349" s="2"/>
      <c r="D3349" s="2"/>
      <c r="E3349" s="3"/>
      <c r="F3349" s="4"/>
      <c r="G3349" s="4"/>
      <c r="H3349" s="14"/>
      <c r="I3349" s="4"/>
      <c r="J3349" s="6"/>
      <c r="K3349" s="7"/>
      <c r="L3349" s="8"/>
      <c r="O3349" s="10"/>
    </row>
    <row r="3350" ht="14.25" customHeight="1">
      <c r="A3350" s="1"/>
      <c r="B3350" s="2"/>
      <c r="C3350" s="2"/>
      <c r="D3350" s="2"/>
      <c r="E3350" s="3"/>
      <c r="F3350" s="4"/>
      <c r="G3350" s="4"/>
      <c r="H3350" s="14"/>
      <c r="I3350" s="4"/>
      <c r="J3350" s="6"/>
      <c r="K3350" s="7"/>
      <c r="L3350" s="8"/>
      <c r="O3350" s="10"/>
    </row>
    <row r="3351" ht="14.25" customHeight="1">
      <c r="A3351" s="1"/>
      <c r="B3351" s="2"/>
      <c r="C3351" s="2"/>
      <c r="D3351" s="2"/>
      <c r="E3351" s="3"/>
      <c r="F3351" s="4"/>
      <c r="G3351" s="4"/>
      <c r="H3351" s="14"/>
      <c r="I3351" s="4"/>
      <c r="J3351" s="6"/>
      <c r="K3351" s="7"/>
      <c r="L3351" s="8"/>
      <c r="O3351" s="10"/>
    </row>
    <row r="3352" ht="14.25" customHeight="1">
      <c r="A3352" s="1"/>
      <c r="B3352" s="2"/>
      <c r="C3352" s="2"/>
      <c r="D3352" s="2"/>
      <c r="E3352" s="3"/>
      <c r="F3352" s="4"/>
      <c r="G3352" s="4"/>
      <c r="H3352" s="4"/>
      <c r="I3352" s="4"/>
      <c r="J3352" s="6"/>
      <c r="K3352" s="7"/>
      <c r="L3352" s="8"/>
      <c r="O3352" s="10"/>
    </row>
    <row r="3353" ht="14.25" customHeight="1">
      <c r="A3353" s="1"/>
      <c r="B3353" s="2"/>
      <c r="C3353" s="2"/>
      <c r="D3353" s="2"/>
      <c r="E3353" s="3"/>
      <c r="F3353" s="4"/>
      <c r="G3353" s="4"/>
      <c r="H3353" s="4"/>
      <c r="I3353" s="4"/>
      <c r="J3353" s="6"/>
      <c r="K3353" s="7"/>
      <c r="L3353" s="8"/>
      <c r="O3353" s="10"/>
    </row>
    <row r="3354" ht="14.25" customHeight="1">
      <c r="A3354" s="1"/>
      <c r="B3354" s="2"/>
      <c r="C3354" s="2"/>
      <c r="D3354" s="2"/>
      <c r="E3354" s="3"/>
      <c r="F3354" s="4"/>
      <c r="G3354" s="4"/>
      <c r="H3354" s="4"/>
      <c r="I3354" s="4"/>
      <c r="J3354" s="6"/>
      <c r="K3354" s="7"/>
      <c r="L3354" s="8"/>
      <c r="O3354" s="10"/>
    </row>
    <row r="3355" ht="14.25" customHeight="1">
      <c r="A3355" s="1"/>
      <c r="B3355" s="2"/>
      <c r="C3355" s="2"/>
      <c r="D3355" s="2"/>
      <c r="E3355" s="3"/>
      <c r="F3355" s="4"/>
      <c r="G3355" s="4"/>
      <c r="H3355" s="14"/>
      <c r="I3355" s="4"/>
      <c r="J3355" s="6"/>
      <c r="K3355" s="7"/>
      <c r="L3355" s="8"/>
      <c r="O3355" s="10"/>
    </row>
    <row r="3356" ht="14.25" customHeight="1">
      <c r="A3356" s="1"/>
      <c r="B3356" s="2"/>
      <c r="C3356" s="2"/>
      <c r="D3356" s="2"/>
      <c r="E3356" s="3"/>
      <c r="F3356" s="4"/>
      <c r="G3356" s="4"/>
      <c r="H3356" s="14"/>
      <c r="I3356" s="4"/>
      <c r="J3356" s="6"/>
      <c r="K3356" s="7"/>
      <c r="L3356" s="8"/>
      <c r="O3356" s="10"/>
    </row>
    <row r="3357" ht="14.25" customHeight="1">
      <c r="A3357" s="1"/>
      <c r="B3357" s="2"/>
      <c r="C3357" s="2"/>
      <c r="D3357" s="2"/>
      <c r="E3357" s="3"/>
      <c r="F3357" s="4"/>
      <c r="G3357" s="4"/>
      <c r="H3357" s="14"/>
      <c r="I3357" s="4"/>
      <c r="J3357" s="6"/>
      <c r="K3357" s="7"/>
      <c r="L3357" s="8"/>
      <c r="O3357" s="10"/>
    </row>
    <row r="3358" ht="14.25" customHeight="1">
      <c r="A3358" s="1"/>
      <c r="B3358" s="2"/>
      <c r="C3358" s="2"/>
      <c r="D3358" s="2"/>
      <c r="E3358" s="3"/>
      <c r="F3358" s="4"/>
      <c r="G3358" s="4"/>
      <c r="H3358" s="4"/>
      <c r="I3358" s="4"/>
      <c r="J3358" s="6"/>
      <c r="K3358" s="7"/>
      <c r="L3358" s="8"/>
      <c r="O3358" s="10"/>
    </row>
    <row r="3359" ht="14.25" customHeight="1">
      <c r="A3359" s="1"/>
      <c r="B3359" s="2"/>
      <c r="C3359" s="2"/>
      <c r="D3359" s="2"/>
      <c r="E3359" s="3"/>
      <c r="F3359" s="4"/>
      <c r="G3359" s="4"/>
      <c r="H3359" s="4"/>
      <c r="I3359" s="4"/>
      <c r="J3359" s="6"/>
      <c r="K3359" s="7"/>
      <c r="L3359" s="8"/>
      <c r="O3359" s="10"/>
    </row>
    <row r="3360" ht="14.25" customHeight="1">
      <c r="A3360" s="1"/>
      <c r="B3360" s="2"/>
      <c r="C3360" s="2"/>
      <c r="D3360" s="2"/>
      <c r="E3360" s="3"/>
      <c r="F3360" s="4"/>
      <c r="G3360" s="4"/>
      <c r="H3360" s="14"/>
      <c r="I3360" s="4"/>
      <c r="J3360" s="6"/>
      <c r="K3360" s="7"/>
      <c r="L3360" s="8"/>
      <c r="O3360" s="10"/>
    </row>
    <row r="3361" ht="14.25" customHeight="1">
      <c r="A3361" s="1"/>
      <c r="B3361" s="2"/>
      <c r="C3361" s="2"/>
      <c r="D3361" s="2"/>
      <c r="E3361" s="3"/>
      <c r="F3361" s="4"/>
      <c r="G3361" s="4"/>
      <c r="H3361" s="14"/>
      <c r="I3361" s="4"/>
      <c r="J3361" s="6"/>
      <c r="K3361" s="7"/>
      <c r="L3361" s="8"/>
      <c r="O3361" s="10"/>
    </row>
    <row r="3362" ht="14.25" customHeight="1">
      <c r="A3362" s="1"/>
      <c r="B3362" s="2"/>
      <c r="C3362" s="2"/>
      <c r="D3362" s="2"/>
      <c r="E3362" s="3"/>
      <c r="F3362" s="4"/>
      <c r="G3362" s="4"/>
      <c r="H3362" s="14"/>
      <c r="I3362" s="4"/>
      <c r="J3362" s="6"/>
      <c r="K3362" s="7"/>
      <c r="L3362" s="8"/>
      <c r="O3362" s="10"/>
    </row>
    <row r="3363" ht="14.25" customHeight="1">
      <c r="A3363" s="1"/>
      <c r="B3363" s="2"/>
      <c r="C3363" s="2"/>
      <c r="D3363" s="2"/>
      <c r="E3363" s="3"/>
      <c r="F3363" s="4"/>
      <c r="G3363" s="4"/>
      <c r="H3363" s="4"/>
      <c r="I3363" s="4"/>
      <c r="J3363" s="6"/>
      <c r="K3363" s="7"/>
      <c r="L3363" s="8"/>
      <c r="O3363" s="10"/>
    </row>
    <row r="3364" ht="14.25" customHeight="1">
      <c r="A3364" s="1"/>
      <c r="B3364" s="2"/>
      <c r="C3364" s="2"/>
      <c r="D3364" s="2"/>
      <c r="E3364" s="3"/>
      <c r="F3364" s="4"/>
      <c r="G3364" s="4"/>
      <c r="H3364" s="14"/>
      <c r="I3364" s="4"/>
      <c r="J3364" s="6"/>
      <c r="K3364" s="7"/>
      <c r="L3364" s="8"/>
      <c r="O3364" s="10"/>
    </row>
    <row r="3365" ht="14.25" customHeight="1">
      <c r="A3365" s="1"/>
      <c r="B3365" s="2"/>
      <c r="C3365" s="2"/>
      <c r="D3365" s="2"/>
      <c r="E3365" s="3"/>
      <c r="F3365" s="4"/>
      <c r="G3365" s="4"/>
      <c r="H3365" s="4"/>
      <c r="I3365" s="4"/>
      <c r="J3365" s="6"/>
      <c r="K3365" s="7"/>
      <c r="L3365" s="8"/>
      <c r="O3365" s="10"/>
    </row>
    <row r="3366" ht="14.25" customHeight="1">
      <c r="A3366" s="1"/>
      <c r="B3366" s="2"/>
      <c r="C3366" s="2"/>
      <c r="D3366" s="2"/>
      <c r="E3366" s="3"/>
      <c r="F3366" s="4"/>
      <c r="G3366" s="4"/>
      <c r="H3366" s="14"/>
      <c r="I3366" s="4"/>
      <c r="J3366" s="6"/>
      <c r="K3366" s="7"/>
      <c r="L3366" s="8"/>
      <c r="O3366" s="10"/>
    </row>
    <row r="3367" ht="14.25" customHeight="1">
      <c r="A3367" s="1"/>
      <c r="B3367" s="2"/>
      <c r="C3367" s="2"/>
      <c r="D3367" s="2"/>
      <c r="E3367" s="3"/>
      <c r="F3367" s="4"/>
      <c r="G3367" s="4"/>
      <c r="H3367" s="14"/>
      <c r="I3367" s="4"/>
      <c r="J3367" s="6"/>
      <c r="K3367" s="7"/>
      <c r="L3367" s="8"/>
      <c r="O3367" s="10"/>
    </row>
    <row r="3368" ht="14.25" customHeight="1">
      <c r="A3368" s="1"/>
      <c r="B3368" s="2"/>
      <c r="C3368" s="2"/>
      <c r="D3368" s="2"/>
      <c r="E3368" s="3"/>
      <c r="F3368" s="4"/>
      <c r="G3368" s="4"/>
      <c r="H3368" s="14"/>
      <c r="I3368" s="4"/>
      <c r="J3368" s="6"/>
      <c r="K3368" s="7"/>
      <c r="L3368" s="8"/>
      <c r="O3368" s="10"/>
    </row>
    <row r="3369" ht="14.25" customHeight="1">
      <c r="A3369" s="1"/>
      <c r="B3369" s="2"/>
      <c r="C3369" s="2"/>
      <c r="D3369" s="2"/>
      <c r="E3369" s="3"/>
      <c r="F3369" s="4"/>
      <c r="G3369" s="4"/>
      <c r="H3369" s="14"/>
      <c r="I3369" s="4"/>
      <c r="J3369" s="6"/>
      <c r="K3369" s="7"/>
      <c r="L3369" s="8"/>
      <c r="O3369" s="10"/>
    </row>
    <row r="3370" ht="14.25" customHeight="1">
      <c r="A3370" s="1"/>
      <c r="B3370" s="2"/>
      <c r="C3370" s="2"/>
      <c r="D3370" s="2"/>
      <c r="E3370" s="3"/>
      <c r="F3370" s="4"/>
      <c r="G3370" s="4"/>
      <c r="H3370" s="14"/>
      <c r="I3370" s="4"/>
      <c r="J3370" s="6"/>
      <c r="K3370" s="7"/>
      <c r="L3370" s="8"/>
      <c r="O3370" s="10"/>
    </row>
    <row r="3371" ht="14.25" customHeight="1">
      <c r="A3371" s="1"/>
      <c r="B3371" s="2"/>
      <c r="C3371" s="2"/>
      <c r="D3371" s="2"/>
      <c r="E3371" s="3"/>
      <c r="F3371" s="4"/>
      <c r="G3371" s="4"/>
      <c r="H3371" s="4"/>
      <c r="I3371" s="4"/>
      <c r="J3371" s="6"/>
      <c r="K3371" s="7"/>
      <c r="L3371" s="8"/>
      <c r="O3371" s="10"/>
    </row>
    <row r="3372" ht="14.25" customHeight="1">
      <c r="A3372" s="1"/>
      <c r="B3372" s="2"/>
      <c r="C3372" s="2"/>
      <c r="D3372" s="2"/>
      <c r="E3372" s="3"/>
      <c r="F3372" s="4"/>
      <c r="G3372" s="4"/>
      <c r="H3372" s="4"/>
      <c r="I3372" s="4"/>
      <c r="J3372" s="6"/>
      <c r="K3372" s="7"/>
      <c r="L3372" s="8"/>
      <c r="O3372" s="10"/>
    </row>
    <row r="3373" ht="14.25" customHeight="1">
      <c r="A3373" s="1"/>
      <c r="B3373" s="2"/>
      <c r="C3373" s="2"/>
      <c r="D3373" s="2"/>
      <c r="E3373" s="3"/>
      <c r="F3373" s="4"/>
      <c r="G3373" s="4"/>
      <c r="H3373" s="4"/>
      <c r="I3373" s="4"/>
      <c r="J3373" s="6"/>
      <c r="K3373" s="7"/>
      <c r="L3373" s="8"/>
      <c r="O3373" s="10"/>
    </row>
    <row r="3374" ht="14.25" customHeight="1">
      <c r="A3374" s="1"/>
      <c r="B3374" s="2"/>
      <c r="C3374" s="2"/>
      <c r="D3374" s="2"/>
      <c r="E3374" s="3"/>
      <c r="F3374" s="4"/>
      <c r="G3374" s="4"/>
      <c r="H3374" s="14"/>
      <c r="I3374" s="4"/>
      <c r="J3374" s="6"/>
      <c r="K3374" s="7"/>
      <c r="L3374" s="8"/>
      <c r="O3374" s="10"/>
    </row>
    <row r="3375" ht="14.25" customHeight="1">
      <c r="A3375" s="1"/>
      <c r="B3375" s="2"/>
      <c r="C3375" s="2"/>
      <c r="D3375" s="2"/>
      <c r="E3375" s="3"/>
      <c r="F3375" s="4"/>
      <c r="G3375" s="4"/>
      <c r="H3375" s="14"/>
      <c r="I3375" s="4"/>
      <c r="J3375" s="6"/>
      <c r="K3375" s="7"/>
      <c r="L3375" s="8"/>
      <c r="O3375" s="10"/>
    </row>
    <row r="3376" ht="14.25" customHeight="1">
      <c r="A3376" s="1"/>
      <c r="B3376" s="2"/>
      <c r="C3376" s="2"/>
      <c r="D3376" s="2"/>
      <c r="E3376" s="3"/>
      <c r="F3376" s="4"/>
      <c r="G3376" s="4"/>
      <c r="I3376" s="4"/>
      <c r="J3376" s="6"/>
      <c r="K3376" s="7"/>
      <c r="L3376" s="8"/>
      <c r="O3376" s="10"/>
    </row>
    <row r="3377" ht="14.25" customHeight="1">
      <c r="A3377" s="1"/>
      <c r="B3377" s="2"/>
      <c r="C3377" s="2"/>
      <c r="D3377" s="2"/>
      <c r="E3377" s="3"/>
      <c r="F3377" s="4"/>
      <c r="G3377" s="4"/>
      <c r="I3377" s="4"/>
      <c r="J3377" s="6"/>
      <c r="K3377" s="7"/>
      <c r="L3377" s="8"/>
      <c r="O3377" s="10"/>
    </row>
    <row r="3378" ht="14.25" customHeight="1">
      <c r="A3378" s="1"/>
      <c r="B3378" s="2"/>
      <c r="C3378" s="2"/>
      <c r="D3378" s="2"/>
      <c r="E3378" s="3"/>
      <c r="F3378" s="4"/>
      <c r="G3378" s="4"/>
      <c r="I3378" s="4"/>
      <c r="J3378" s="6"/>
      <c r="K3378" s="7"/>
      <c r="L3378" s="8"/>
      <c r="O3378" s="10"/>
    </row>
    <row r="3379" ht="14.25" customHeight="1">
      <c r="A3379" s="1"/>
      <c r="B3379" s="2"/>
      <c r="C3379" s="2"/>
      <c r="D3379" s="2"/>
      <c r="E3379" s="3"/>
      <c r="F3379" s="4"/>
      <c r="G3379" s="4"/>
      <c r="I3379" s="4"/>
      <c r="J3379" s="6"/>
      <c r="K3379" s="7"/>
      <c r="L3379" s="8"/>
      <c r="O3379" s="10"/>
    </row>
    <row r="3380" ht="14.25" customHeight="1">
      <c r="A3380" s="1"/>
      <c r="B3380" s="2"/>
      <c r="C3380" s="2"/>
      <c r="D3380" s="2"/>
      <c r="E3380" s="3"/>
      <c r="F3380" s="4"/>
      <c r="G3380" s="4"/>
      <c r="I3380" s="4"/>
      <c r="J3380" s="6"/>
      <c r="K3380" s="7"/>
      <c r="L3380" s="8"/>
      <c r="O3380" s="10"/>
    </row>
    <row r="3381" ht="14.25" customHeight="1">
      <c r="A3381" s="1"/>
      <c r="B3381" s="2"/>
      <c r="C3381" s="2"/>
      <c r="D3381" s="2"/>
      <c r="E3381" s="3"/>
      <c r="F3381" s="4"/>
      <c r="G3381" s="4"/>
      <c r="I3381" s="4"/>
      <c r="J3381" s="6"/>
      <c r="K3381" s="7"/>
      <c r="L3381" s="8"/>
      <c r="O3381" s="10"/>
    </row>
    <row r="3382" ht="14.25" customHeight="1">
      <c r="A3382" s="1"/>
      <c r="B3382" s="2"/>
      <c r="C3382" s="2"/>
      <c r="D3382" s="2"/>
      <c r="E3382" s="3"/>
      <c r="F3382" s="4"/>
      <c r="G3382" s="4"/>
      <c r="I3382" s="4"/>
      <c r="J3382" s="6"/>
      <c r="K3382" s="7"/>
      <c r="L3382" s="8"/>
      <c r="O3382" s="10"/>
    </row>
    <row r="3383" ht="14.25" customHeight="1">
      <c r="A3383" s="1"/>
      <c r="B3383" s="2"/>
      <c r="C3383" s="2"/>
      <c r="D3383" s="2"/>
      <c r="E3383" s="3"/>
      <c r="F3383" s="4"/>
      <c r="G3383" s="4"/>
      <c r="I3383" s="4"/>
      <c r="J3383" s="6"/>
      <c r="K3383" s="7"/>
      <c r="L3383" s="8"/>
      <c r="O3383" s="10"/>
    </row>
    <row r="3384" ht="14.25" customHeight="1">
      <c r="A3384" s="1"/>
      <c r="B3384" s="2"/>
      <c r="C3384" s="2"/>
      <c r="D3384" s="2"/>
      <c r="E3384" s="3"/>
      <c r="F3384" s="4"/>
      <c r="G3384" s="4"/>
      <c r="I3384" s="4"/>
      <c r="J3384" s="6"/>
      <c r="K3384" s="7"/>
      <c r="L3384" s="8"/>
      <c r="O3384" s="10"/>
    </row>
    <row r="3385" ht="14.25" customHeight="1">
      <c r="A3385" s="1"/>
      <c r="B3385" s="2"/>
      <c r="C3385" s="2"/>
      <c r="D3385" s="2"/>
      <c r="E3385" s="3"/>
      <c r="F3385" s="4"/>
      <c r="G3385" s="4"/>
      <c r="I3385" s="4"/>
      <c r="J3385" s="6"/>
      <c r="K3385" s="7"/>
      <c r="L3385" s="8"/>
      <c r="O3385" s="10"/>
    </row>
    <row r="3386" ht="14.25" customHeight="1">
      <c r="A3386" s="1"/>
      <c r="B3386" s="2"/>
      <c r="C3386" s="2"/>
      <c r="D3386" s="2"/>
      <c r="E3386" s="3"/>
      <c r="F3386" s="4"/>
      <c r="G3386" s="4"/>
      <c r="I3386" s="4"/>
      <c r="J3386" s="6"/>
      <c r="K3386" s="7"/>
      <c r="L3386" s="8"/>
      <c r="O3386" s="10"/>
    </row>
    <row r="3387" ht="14.25" customHeight="1">
      <c r="A3387" s="1"/>
      <c r="B3387" s="2"/>
      <c r="C3387" s="2"/>
      <c r="D3387" s="2"/>
      <c r="E3387" s="3"/>
      <c r="F3387" s="4"/>
      <c r="G3387" s="4"/>
      <c r="I3387" s="4"/>
      <c r="J3387" s="6"/>
      <c r="K3387" s="7"/>
      <c r="L3387" s="8"/>
      <c r="O3387" s="10"/>
    </row>
    <row r="3388" ht="14.25" customHeight="1">
      <c r="A3388" s="1"/>
      <c r="B3388" s="2"/>
      <c r="C3388" s="2"/>
      <c r="D3388" s="2"/>
      <c r="E3388" s="3"/>
      <c r="F3388" s="4"/>
      <c r="G3388" s="4"/>
      <c r="I3388" s="4"/>
      <c r="J3388" s="6"/>
      <c r="K3388" s="7"/>
      <c r="L3388" s="8"/>
      <c r="O3388" s="10"/>
    </row>
    <row r="3389" ht="14.25" customHeight="1">
      <c r="A3389" s="1"/>
      <c r="B3389" s="2"/>
      <c r="C3389" s="2"/>
      <c r="D3389" s="2"/>
      <c r="E3389" s="3"/>
      <c r="F3389" s="4"/>
      <c r="G3389" s="4"/>
      <c r="I3389" s="4"/>
      <c r="J3389" s="6"/>
      <c r="K3389" s="7"/>
      <c r="L3389" s="8"/>
      <c r="O3389" s="10"/>
    </row>
    <row r="3390" ht="14.25" customHeight="1">
      <c r="A3390" s="1"/>
      <c r="B3390" s="2"/>
      <c r="C3390" s="2"/>
      <c r="D3390" s="2"/>
      <c r="E3390" s="3"/>
      <c r="F3390" s="4"/>
      <c r="G3390" s="4"/>
      <c r="I3390" s="4"/>
      <c r="J3390" s="6"/>
      <c r="K3390" s="7"/>
      <c r="L3390" s="8"/>
      <c r="O3390" s="10"/>
    </row>
    <row r="3391" ht="14.25" customHeight="1">
      <c r="A3391" s="1"/>
      <c r="B3391" s="2"/>
      <c r="C3391" s="2"/>
      <c r="D3391" s="2"/>
      <c r="E3391" s="3"/>
      <c r="F3391" s="4"/>
      <c r="G3391" s="4"/>
      <c r="I3391" s="4"/>
      <c r="J3391" s="6"/>
      <c r="K3391" s="7"/>
      <c r="L3391" s="8"/>
      <c r="O3391" s="10"/>
    </row>
    <row r="3392" ht="14.25" customHeight="1">
      <c r="A3392" s="1"/>
      <c r="B3392" s="2"/>
      <c r="C3392" s="2"/>
      <c r="D3392" s="2"/>
      <c r="E3392" s="3"/>
      <c r="F3392" s="4"/>
      <c r="G3392" s="4"/>
      <c r="I3392" s="4"/>
      <c r="J3392" s="6"/>
      <c r="K3392" s="7"/>
      <c r="L3392" s="8"/>
      <c r="O3392" s="10"/>
    </row>
    <row r="3393" ht="14.25" customHeight="1">
      <c r="A3393" s="1"/>
      <c r="B3393" s="2"/>
      <c r="C3393" s="2"/>
      <c r="D3393" s="2"/>
      <c r="E3393" s="3"/>
      <c r="F3393" s="4"/>
      <c r="G3393" s="4"/>
      <c r="I3393" s="4"/>
      <c r="J3393" s="6"/>
      <c r="K3393" s="7"/>
      <c r="L3393" s="8"/>
      <c r="O3393" s="10"/>
    </row>
    <row r="3394" ht="14.25" customHeight="1">
      <c r="A3394" s="1"/>
      <c r="B3394" s="2"/>
      <c r="C3394" s="2"/>
      <c r="D3394" s="2"/>
      <c r="E3394" s="3"/>
      <c r="F3394" s="4"/>
      <c r="G3394" s="4"/>
      <c r="I3394" s="4"/>
      <c r="J3394" s="6"/>
      <c r="K3394" s="7"/>
      <c r="L3394" s="8"/>
      <c r="O3394" s="10"/>
    </row>
    <row r="3395" ht="14.25" customHeight="1">
      <c r="A3395" s="1"/>
      <c r="B3395" s="2"/>
      <c r="C3395" s="2"/>
      <c r="D3395" s="2"/>
      <c r="E3395" s="3"/>
      <c r="F3395" s="4"/>
      <c r="G3395" s="4"/>
      <c r="I3395" s="4"/>
      <c r="J3395" s="6"/>
      <c r="K3395" s="7"/>
      <c r="L3395" s="8"/>
      <c r="O3395" s="10"/>
    </row>
    <row r="3396" ht="14.25" customHeight="1">
      <c r="A3396" s="1"/>
      <c r="B3396" s="2"/>
      <c r="C3396" s="2"/>
      <c r="D3396" s="2"/>
      <c r="E3396" s="3"/>
      <c r="F3396" s="4"/>
      <c r="G3396" s="4"/>
      <c r="I3396" s="4"/>
      <c r="J3396" s="6"/>
      <c r="K3396" s="7"/>
      <c r="L3396" s="8"/>
      <c r="O3396" s="10"/>
    </row>
    <row r="3397" ht="14.25" customHeight="1">
      <c r="A3397" s="1"/>
      <c r="B3397" s="2"/>
      <c r="C3397" s="2"/>
      <c r="D3397" s="2"/>
      <c r="E3397" s="3"/>
      <c r="F3397" s="4"/>
      <c r="G3397" s="4"/>
      <c r="I3397" s="4"/>
      <c r="J3397" s="6"/>
      <c r="K3397" s="7"/>
      <c r="L3397" s="8"/>
      <c r="O3397" s="10"/>
    </row>
    <row r="3398" ht="14.25" customHeight="1">
      <c r="A3398" s="1"/>
      <c r="B3398" s="2"/>
      <c r="C3398" s="2"/>
      <c r="D3398" s="2"/>
      <c r="E3398" s="3"/>
      <c r="F3398" s="4"/>
      <c r="G3398" s="4"/>
      <c r="I3398" s="4"/>
      <c r="J3398" s="6"/>
      <c r="K3398" s="7"/>
      <c r="L3398" s="8"/>
      <c r="O3398" s="10"/>
    </row>
    <row r="3399" ht="14.25" customHeight="1">
      <c r="A3399" s="1"/>
      <c r="B3399" s="2"/>
      <c r="C3399" s="2"/>
      <c r="D3399" s="2"/>
      <c r="E3399" s="3"/>
      <c r="F3399" s="4"/>
      <c r="G3399" s="4"/>
      <c r="I3399" s="4"/>
      <c r="J3399" s="6"/>
      <c r="K3399" s="7"/>
      <c r="L3399" s="8"/>
      <c r="O3399" s="10"/>
    </row>
    <row r="3400" ht="14.25" customHeight="1">
      <c r="A3400" s="1"/>
      <c r="B3400" s="2"/>
      <c r="C3400" s="2"/>
      <c r="D3400" s="2"/>
      <c r="E3400" s="3"/>
      <c r="F3400" s="4"/>
      <c r="G3400" s="4"/>
      <c r="I3400" s="4"/>
      <c r="J3400" s="6"/>
      <c r="K3400" s="7"/>
      <c r="L3400" s="8"/>
      <c r="O3400" s="10"/>
    </row>
    <row r="3401" ht="14.25" customHeight="1">
      <c r="A3401" s="1"/>
      <c r="B3401" s="2"/>
      <c r="C3401" s="2"/>
      <c r="D3401" s="2"/>
      <c r="E3401" s="3"/>
      <c r="F3401" s="4"/>
      <c r="G3401" s="4"/>
      <c r="I3401" s="4"/>
      <c r="J3401" s="6"/>
      <c r="K3401" s="7"/>
      <c r="L3401" s="8"/>
      <c r="O3401" s="10"/>
    </row>
    <row r="3402" ht="14.25" customHeight="1">
      <c r="A3402" s="1"/>
      <c r="B3402" s="2"/>
      <c r="C3402" s="2"/>
      <c r="D3402" s="2"/>
      <c r="E3402" s="3"/>
      <c r="F3402" s="4"/>
      <c r="G3402" s="4"/>
      <c r="I3402" s="4"/>
      <c r="J3402" s="6"/>
      <c r="K3402" s="7"/>
      <c r="L3402" s="8"/>
      <c r="O3402" s="10"/>
    </row>
    <row r="3403" ht="14.25" customHeight="1">
      <c r="A3403" s="1"/>
      <c r="B3403" s="2"/>
      <c r="C3403" s="2"/>
      <c r="D3403" s="2"/>
      <c r="E3403" s="3"/>
      <c r="F3403" s="4"/>
      <c r="G3403" s="4"/>
      <c r="I3403" s="4"/>
      <c r="J3403" s="6"/>
      <c r="K3403" s="7"/>
      <c r="L3403" s="8"/>
      <c r="O3403" s="10"/>
    </row>
    <row r="3404" ht="14.25" customHeight="1">
      <c r="A3404" s="1"/>
      <c r="B3404" s="2"/>
      <c r="C3404" s="2"/>
      <c r="D3404" s="2"/>
      <c r="E3404" s="3"/>
      <c r="F3404" s="4"/>
      <c r="G3404" s="4"/>
      <c r="I3404" s="4"/>
      <c r="J3404" s="6"/>
      <c r="K3404" s="7"/>
      <c r="L3404" s="8"/>
      <c r="O3404" s="10"/>
    </row>
    <row r="3405" ht="14.25" customHeight="1">
      <c r="A3405" s="1"/>
      <c r="B3405" s="2"/>
      <c r="C3405" s="2"/>
      <c r="D3405" s="2"/>
      <c r="E3405" s="3"/>
      <c r="F3405" s="4"/>
      <c r="G3405" s="4"/>
      <c r="I3405" s="4"/>
      <c r="J3405" s="6"/>
      <c r="K3405" s="7"/>
      <c r="L3405" s="8"/>
      <c r="O3405" s="10"/>
    </row>
    <row r="3406" ht="14.25" customHeight="1">
      <c r="A3406" s="1"/>
      <c r="B3406" s="2"/>
      <c r="C3406" s="2"/>
      <c r="D3406" s="2"/>
      <c r="E3406" s="3"/>
      <c r="F3406" s="4"/>
      <c r="G3406" s="4"/>
      <c r="I3406" s="4"/>
      <c r="J3406" s="6"/>
      <c r="K3406" s="7"/>
      <c r="L3406" s="8"/>
      <c r="O3406" s="10"/>
    </row>
    <row r="3407" ht="14.25" customHeight="1">
      <c r="A3407" s="1"/>
      <c r="B3407" s="2"/>
      <c r="C3407" s="2"/>
      <c r="D3407" s="2"/>
      <c r="E3407" s="3"/>
      <c r="F3407" s="4"/>
      <c r="G3407" s="4"/>
      <c r="I3407" s="4"/>
      <c r="J3407" s="6"/>
      <c r="K3407" s="7"/>
      <c r="L3407" s="8"/>
      <c r="O3407" s="10"/>
    </row>
    <row r="3408" ht="14.25" customHeight="1">
      <c r="A3408" s="1"/>
      <c r="B3408" s="2"/>
      <c r="C3408" s="2"/>
      <c r="D3408" s="2"/>
      <c r="E3408" s="3"/>
      <c r="F3408" s="4"/>
      <c r="G3408" s="4"/>
      <c r="I3408" s="4"/>
      <c r="J3408" s="6"/>
      <c r="K3408" s="7"/>
      <c r="L3408" s="8"/>
      <c r="O3408" s="10"/>
    </row>
    <row r="3409" ht="14.25" customHeight="1">
      <c r="A3409" s="1"/>
      <c r="B3409" s="2"/>
      <c r="C3409" s="2"/>
      <c r="D3409" s="2"/>
      <c r="E3409" s="3"/>
      <c r="F3409" s="4"/>
      <c r="G3409" s="4"/>
      <c r="I3409" s="4"/>
      <c r="J3409" s="6"/>
      <c r="K3409" s="7"/>
      <c r="L3409" s="8"/>
      <c r="O3409" s="10"/>
    </row>
    <row r="3410" ht="14.25" customHeight="1">
      <c r="A3410" s="1"/>
      <c r="B3410" s="2"/>
      <c r="C3410" s="2"/>
      <c r="D3410" s="2"/>
      <c r="E3410" s="3"/>
      <c r="F3410" s="4"/>
      <c r="G3410" s="4"/>
      <c r="I3410" s="4"/>
      <c r="J3410" s="6"/>
      <c r="K3410" s="7"/>
      <c r="L3410" s="8"/>
      <c r="O3410" s="10"/>
    </row>
    <row r="3411" ht="14.25" customHeight="1">
      <c r="A3411" s="1"/>
      <c r="B3411" s="2"/>
      <c r="C3411" s="2"/>
      <c r="D3411" s="2"/>
      <c r="E3411" s="3"/>
      <c r="F3411" s="4"/>
      <c r="G3411" s="4"/>
      <c r="I3411" s="4"/>
      <c r="J3411" s="6"/>
      <c r="K3411" s="7"/>
      <c r="L3411" s="8"/>
      <c r="O3411" s="10"/>
    </row>
    <row r="3412" ht="14.25" customHeight="1">
      <c r="A3412" s="1"/>
      <c r="B3412" s="2"/>
      <c r="C3412" s="2"/>
      <c r="D3412" s="2"/>
      <c r="E3412" s="3"/>
      <c r="F3412" s="4"/>
      <c r="G3412" s="4"/>
      <c r="I3412" s="4"/>
      <c r="J3412" s="6"/>
      <c r="K3412" s="7"/>
      <c r="L3412" s="8"/>
      <c r="O3412" s="10"/>
    </row>
    <row r="3413" ht="14.25" customHeight="1">
      <c r="A3413" s="1"/>
      <c r="B3413" s="2"/>
      <c r="C3413" s="2"/>
      <c r="D3413" s="2"/>
      <c r="E3413" s="3"/>
      <c r="F3413" s="4"/>
      <c r="G3413" s="4"/>
      <c r="I3413" s="4"/>
      <c r="J3413" s="6"/>
      <c r="K3413" s="7"/>
      <c r="L3413" s="8"/>
      <c r="O3413" s="10"/>
    </row>
    <row r="3414" ht="14.25" customHeight="1">
      <c r="A3414" s="1"/>
      <c r="B3414" s="2"/>
      <c r="C3414" s="2"/>
      <c r="D3414" s="2"/>
      <c r="E3414" s="3"/>
      <c r="F3414" s="4"/>
      <c r="G3414" s="4"/>
      <c r="I3414" s="4"/>
      <c r="J3414" s="6"/>
      <c r="K3414" s="7"/>
      <c r="L3414" s="8"/>
      <c r="O3414" s="10"/>
    </row>
    <row r="3415" ht="14.25" customHeight="1">
      <c r="A3415" s="1"/>
      <c r="B3415" s="2"/>
      <c r="C3415" s="2"/>
      <c r="D3415" s="2"/>
      <c r="E3415" s="3"/>
      <c r="F3415" s="4"/>
      <c r="G3415" s="4"/>
      <c r="I3415" s="4"/>
      <c r="J3415" s="6"/>
      <c r="K3415" s="7"/>
      <c r="L3415" s="8"/>
      <c r="O3415" s="10"/>
    </row>
    <row r="3416" ht="14.25" customHeight="1">
      <c r="A3416" s="1"/>
      <c r="B3416" s="2"/>
      <c r="C3416" s="2"/>
      <c r="D3416" s="2"/>
      <c r="E3416" s="3"/>
      <c r="F3416" s="4"/>
      <c r="G3416" s="4"/>
      <c r="I3416" s="4"/>
      <c r="J3416" s="6"/>
      <c r="K3416" s="7"/>
      <c r="L3416" s="8"/>
      <c r="O3416" s="10"/>
    </row>
    <row r="3417" ht="14.25" customHeight="1">
      <c r="A3417" s="1"/>
      <c r="B3417" s="2"/>
      <c r="C3417" s="2"/>
      <c r="D3417" s="2"/>
      <c r="E3417" s="3"/>
      <c r="F3417" s="4"/>
      <c r="G3417" s="4"/>
      <c r="I3417" s="4"/>
      <c r="J3417" s="6"/>
      <c r="K3417" s="7"/>
      <c r="L3417" s="8"/>
      <c r="O3417" s="10"/>
    </row>
    <row r="3418" ht="14.25" customHeight="1">
      <c r="A3418" s="1"/>
      <c r="B3418" s="2"/>
      <c r="C3418" s="2"/>
      <c r="D3418" s="2"/>
      <c r="E3418" s="3"/>
      <c r="F3418" s="4"/>
      <c r="G3418" s="4"/>
      <c r="I3418" s="4"/>
      <c r="J3418" s="6"/>
      <c r="K3418" s="7"/>
      <c r="L3418" s="8"/>
      <c r="O3418" s="10"/>
    </row>
    <row r="3419" ht="14.25" customHeight="1">
      <c r="A3419" s="1"/>
      <c r="B3419" s="2"/>
      <c r="C3419" s="2"/>
      <c r="D3419" s="2"/>
      <c r="E3419" s="3"/>
      <c r="F3419" s="4"/>
      <c r="G3419" s="4"/>
      <c r="I3419" s="4"/>
      <c r="J3419" s="6"/>
      <c r="K3419" s="7"/>
      <c r="L3419" s="8"/>
      <c r="O3419" s="10"/>
    </row>
    <row r="3420" ht="14.25" customHeight="1">
      <c r="A3420" s="1"/>
      <c r="B3420" s="2"/>
      <c r="C3420" s="2"/>
      <c r="D3420" s="2"/>
      <c r="E3420" s="3"/>
      <c r="F3420" s="4"/>
      <c r="G3420" s="4"/>
      <c r="I3420" s="4"/>
      <c r="J3420" s="6"/>
      <c r="K3420" s="7"/>
      <c r="L3420" s="8"/>
      <c r="O3420" s="10"/>
    </row>
    <row r="3421" ht="14.25" customHeight="1">
      <c r="A3421" s="1"/>
      <c r="B3421" s="2"/>
      <c r="C3421" s="2"/>
      <c r="D3421" s="2"/>
      <c r="E3421" s="3"/>
      <c r="F3421" s="4"/>
      <c r="G3421" s="4"/>
      <c r="I3421" s="4"/>
      <c r="J3421" s="6"/>
      <c r="K3421" s="7"/>
      <c r="L3421" s="8"/>
      <c r="O3421" s="10"/>
    </row>
    <row r="3422" ht="14.25" customHeight="1">
      <c r="A3422" s="1"/>
      <c r="B3422" s="2"/>
      <c r="C3422" s="2"/>
      <c r="D3422" s="2"/>
      <c r="E3422" s="3"/>
      <c r="F3422" s="4"/>
      <c r="G3422" s="4"/>
      <c r="I3422" s="4"/>
      <c r="J3422" s="6"/>
      <c r="K3422" s="7"/>
      <c r="L3422" s="8"/>
      <c r="O3422" s="10"/>
    </row>
    <row r="3423" ht="14.25" customHeight="1">
      <c r="A3423" s="1"/>
      <c r="B3423" s="2"/>
      <c r="C3423" s="2"/>
      <c r="D3423" s="2"/>
      <c r="E3423" s="3"/>
      <c r="F3423" s="4"/>
      <c r="G3423" s="4"/>
      <c r="I3423" s="4"/>
      <c r="J3423" s="6"/>
      <c r="K3423" s="7"/>
      <c r="L3423" s="8"/>
      <c r="O3423" s="10"/>
    </row>
    <row r="3424" ht="14.25" customHeight="1">
      <c r="A3424" s="1"/>
      <c r="B3424" s="2"/>
      <c r="C3424" s="2"/>
      <c r="D3424" s="2"/>
      <c r="E3424" s="3"/>
      <c r="F3424" s="4"/>
      <c r="G3424" s="4"/>
      <c r="I3424" s="4"/>
      <c r="J3424" s="6"/>
      <c r="K3424" s="7"/>
      <c r="L3424" s="8"/>
      <c r="O3424" s="10"/>
    </row>
    <row r="3425" ht="14.25" customHeight="1">
      <c r="A3425" s="1"/>
      <c r="B3425" s="2"/>
      <c r="C3425" s="2"/>
      <c r="D3425" s="2"/>
      <c r="E3425" s="3"/>
      <c r="F3425" s="4"/>
      <c r="G3425" s="4"/>
      <c r="I3425" s="4"/>
      <c r="J3425" s="6"/>
      <c r="K3425" s="7"/>
      <c r="L3425" s="8"/>
      <c r="O3425" s="10"/>
    </row>
    <row r="3426" ht="14.25" customHeight="1">
      <c r="A3426" s="1"/>
      <c r="B3426" s="2"/>
      <c r="C3426" s="2"/>
      <c r="D3426" s="2"/>
      <c r="E3426" s="3"/>
      <c r="F3426" s="4"/>
      <c r="G3426" s="4"/>
      <c r="I3426" s="4"/>
      <c r="J3426" s="6"/>
      <c r="K3426" s="7"/>
      <c r="L3426" s="8"/>
      <c r="O3426" s="10"/>
    </row>
    <row r="3427" ht="14.25" customHeight="1">
      <c r="A3427" s="1"/>
      <c r="B3427" s="2"/>
      <c r="C3427" s="2"/>
      <c r="D3427" s="2"/>
      <c r="E3427" s="3"/>
      <c r="F3427" s="4"/>
      <c r="G3427" s="4"/>
      <c r="I3427" s="4"/>
      <c r="J3427" s="6"/>
      <c r="K3427" s="7"/>
      <c r="L3427" s="8"/>
      <c r="O3427" s="10"/>
    </row>
    <row r="3428" ht="14.25" customHeight="1">
      <c r="A3428" s="1"/>
      <c r="B3428" s="2"/>
      <c r="C3428" s="2"/>
      <c r="D3428" s="2"/>
      <c r="E3428" s="3"/>
      <c r="F3428" s="4"/>
      <c r="G3428" s="4"/>
      <c r="I3428" s="4"/>
      <c r="J3428" s="6"/>
      <c r="K3428" s="7"/>
      <c r="L3428" s="8"/>
      <c r="O3428" s="10"/>
    </row>
    <row r="3429" ht="14.25" customHeight="1">
      <c r="A3429" s="1"/>
      <c r="B3429" s="2"/>
      <c r="C3429" s="2"/>
      <c r="D3429" s="2"/>
      <c r="E3429" s="3"/>
      <c r="F3429" s="4"/>
      <c r="G3429" s="4"/>
      <c r="I3429" s="4"/>
      <c r="J3429" s="6"/>
      <c r="K3429" s="7"/>
      <c r="L3429" s="8"/>
      <c r="O3429" s="10"/>
    </row>
    <row r="3430" ht="14.25" customHeight="1">
      <c r="A3430" s="1"/>
      <c r="B3430" s="2"/>
      <c r="C3430" s="2"/>
      <c r="D3430" s="2"/>
      <c r="E3430" s="3"/>
      <c r="F3430" s="4"/>
      <c r="G3430" s="4"/>
      <c r="I3430" s="4"/>
      <c r="J3430" s="6"/>
      <c r="K3430" s="7"/>
      <c r="L3430" s="8"/>
      <c r="O3430" s="10"/>
    </row>
    <row r="3431" ht="14.25" customHeight="1">
      <c r="A3431" s="1"/>
      <c r="B3431" s="2"/>
      <c r="C3431" s="2"/>
      <c r="D3431" s="2"/>
      <c r="E3431" s="3"/>
      <c r="F3431" s="4"/>
      <c r="G3431" s="4"/>
      <c r="I3431" s="4"/>
      <c r="J3431" s="6"/>
      <c r="K3431" s="7"/>
      <c r="L3431" s="8"/>
      <c r="O3431" s="10"/>
    </row>
    <row r="3432" ht="14.25" customHeight="1">
      <c r="A3432" s="1"/>
      <c r="B3432" s="2"/>
      <c r="C3432" s="2"/>
      <c r="D3432" s="2"/>
      <c r="E3432" s="3"/>
      <c r="F3432" s="4"/>
      <c r="G3432" s="4"/>
      <c r="I3432" s="4"/>
      <c r="J3432" s="6"/>
      <c r="K3432" s="7"/>
      <c r="L3432" s="8"/>
      <c r="O3432" s="10"/>
    </row>
    <row r="3433" ht="14.25" customHeight="1">
      <c r="A3433" s="1"/>
      <c r="B3433" s="2"/>
      <c r="C3433" s="2"/>
      <c r="D3433" s="2"/>
      <c r="E3433" s="3"/>
      <c r="F3433" s="4"/>
      <c r="G3433" s="4"/>
      <c r="I3433" s="4"/>
      <c r="J3433" s="6"/>
      <c r="K3433" s="7"/>
      <c r="L3433" s="8"/>
      <c r="O3433" s="10"/>
    </row>
    <row r="3434" ht="14.25" customHeight="1">
      <c r="A3434" s="1"/>
      <c r="B3434" s="2"/>
      <c r="C3434" s="2"/>
      <c r="D3434" s="2"/>
      <c r="E3434" s="3"/>
      <c r="F3434" s="4"/>
      <c r="G3434" s="4"/>
      <c r="I3434" s="4"/>
      <c r="J3434" s="6"/>
      <c r="K3434" s="7"/>
      <c r="L3434" s="8"/>
      <c r="O3434" s="10"/>
    </row>
    <row r="3435" ht="14.25" customHeight="1">
      <c r="A3435" s="1"/>
      <c r="B3435" s="2"/>
      <c r="C3435" s="2"/>
      <c r="D3435" s="2"/>
      <c r="E3435" s="3"/>
      <c r="F3435" s="4"/>
      <c r="G3435" s="4"/>
      <c r="I3435" s="4"/>
      <c r="J3435" s="6"/>
      <c r="K3435" s="7"/>
      <c r="L3435" s="8"/>
      <c r="O3435" s="10"/>
    </row>
  </sheetData>
  <autoFilter ref="$A$1:$Z$3435">
    <filterColumn colId="5">
      <filters blank="1">
        <filter val="Meta"/>
        <filter val="Cundinamarca"/>
        <filter val="Valle Del Cauca"/>
        <filter val="Boyaca"/>
        <filter val="Tolima"/>
        <filter val="Magdalena"/>
        <filter val="Bogota"/>
        <filter val="Norte De Santander"/>
        <filter val="Vichada"/>
        <filter val="Cordoba"/>
        <filter val="CESAR"/>
        <filter val="Atlantico"/>
        <filter val="Bolivar"/>
        <filter val="Antioquia"/>
        <filter val="Santander"/>
        <filter val="Cesar"/>
        <filter val="Consulado"/>
      </filters>
    </filterColumn>
  </autoFilter>
  <conditionalFormatting sqref="A1:N3435">
    <cfRule type="expression" dxfId="0" priority="1">
      <formula>UPPER($N1)="SI"</formula>
    </cfRule>
  </conditionalFormatting>
  <conditionalFormatting sqref="A1:N3435">
    <cfRule type="expression" dxfId="1" priority="2">
      <formula>UPPER($N1)="NO"</formula>
    </cfRule>
  </conditionalFormatting>
  <conditionalFormatting sqref="A2129:N2129 A2188">
    <cfRule type="expression" dxfId="0" priority="3">
      <formula>UPPER($N2129)="SI"</formula>
    </cfRule>
  </conditionalFormatting>
  <conditionalFormatting sqref="A2129:N2129 A2188">
    <cfRule type="expression" dxfId="1" priority="4">
      <formula>UPPER($N2129)="NO"</formula>
    </cfRule>
  </conditionalFormatting>
  <conditionalFormatting sqref="A2123:N2128 A2182:A2187">
    <cfRule type="expression" dxfId="0" priority="5">
      <formula>UPPER($N2123)="SI"</formula>
    </cfRule>
  </conditionalFormatting>
  <conditionalFormatting sqref="A2123:N2128 A2182:A2187">
    <cfRule type="expression" dxfId="1" priority="6">
      <formula>UPPER($N2123)="NO"</formula>
    </cfRule>
  </conditionalFormatting>
  <conditionalFormatting sqref="A2115:N2122 A2174:A2181">
    <cfRule type="expression" dxfId="0" priority="7">
      <formula>UPPER($N2115)="SI"</formula>
    </cfRule>
  </conditionalFormatting>
  <conditionalFormatting sqref="A2115:N2122 A2174:A2181">
    <cfRule type="expression" dxfId="1" priority="8">
      <formula>UPPER($N2115)="NO"</formula>
    </cfRule>
  </conditionalFormatting>
  <conditionalFormatting sqref="A2114:N2114 A2173">
    <cfRule type="expression" dxfId="0" priority="9">
      <formula>UPPER($N2114)="SI"</formula>
    </cfRule>
  </conditionalFormatting>
  <conditionalFormatting sqref="A2114:N2114 A2173">
    <cfRule type="expression" dxfId="1" priority="10">
      <formula>UPPER($N2114)="NO"</formula>
    </cfRule>
  </conditionalFormatting>
  <conditionalFormatting sqref="A2113:N2113 A2172">
    <cfRule type="expression" dxfId="0" priority="11">
      <formula>UPPER($N2113)="SI"</formula>
    </cfRule>
  </conditionalFormatting>
  <conditionalFormatting sqref="A2113:N2113 A2172">
    <cfRule type="expression" dxfId="1" priority="12">
      <formula>UPPER($N2113)="NO"</formula>
    </cfRule>
  </conditionalFormatting>
  <conditionalFormatting sqref="A2109:N2112 A2168:A2171">
    <cfRule type="expression" dxfId="0" priority="13">
      <formula>UPPER($N2109)="SI"</formula>
    </cfRule>
  </conditionalFormatting>
  <conditionalFormatting sqref="A2109:N2112 A2168:A2171">
    <cfRule type="expression" dxfId="1" priority="14">
      <formula>UPPER($N2109)="NO"</formula>
    </cfRule>
  </conditionalFormatting>
  <conditionalFormatting sqref="A2107:N2108 A2166:A2167">
    <cfRule type="expression" dxfId="0" priority="15">
      <formula>UPPER($N2107)="SI"</formula>
    </cfRule>
  </conditionalFormatting>
  <conditionalFormatting sqref="A2107:N2108 A2166:A2167">
    <cfRule type="expression" dxfId="1" priority="16">
      <formula>UPPER($N2107)="NO"</formula>
    </cfRule>
  </conditionalFormatting>
  <conditionalFormatting sqref="A2101:N2106 A2160:A2165">
    <cfRule type="expression" dxfId="0" priority="17">
      <formula>UPPER($N2101)="SI"</formula>
    </cfRule>
  </conditionalFormatting>
  <conditionalFormatting sqref="A2101:N2106 A2160:A2165">
    <cfRule type="expression" dxfId="1" priority="18">
      <formula>UPPER($N2101)="NO"</formula>
    </cfRule>
  </conditionalFormatting>
  <conditionalFormatting sqref="A2099:N2100 A2158:A2159">
    <cfRule type="expression" dxfId="0" priority="19">
      <formula>UPPER($N2099)="SI"</formula>
    </cfRule>
  </conditionalFormatting>
  <conditionalFormatting sqref="A2099:N2100 A2158:A2159">
    <cfRule type="expression" dxfId="1" priority="20">
      <formula>UPPER($N2099)="NO"</formula>
    </cfRule>
  </conditionalFormatting>
  <conditionalFormatting sqref="A2098:N2098 A2157">
    <cfRule type="expression" dxfId="0" priority="21">
      <formula>UPPER($N2098)="SI"</formula>
    </cfRule>
  </conditionalFormatting>
  <conditionalFormatting sqref="A2098:N2098 A2157">
    <cfRule type="expression" dxfId="1" priority="22">
      <formula>UPPER($N2098)="NO"</formula>
    </cfRule>
  </conditionalFormatting>
  <conditionalFormatting sqref="A2097:N2097 A2156">
    <cfRule type="expression" dxfId="0" priority="23">
      <formula>UPPER($N2097)="SI"</formula>
    </cfRule>
  </conditionalFormatting>
  <conditionalFormatting sqref="A2097:N2097 A2156">
    <cfRule type="expression" dxfId="1" priority="24">
      <formula>UPPER($N2097)="NO"</formula>
    </cfRule>
  </conditionalFormatting>
  <conditionalFormatting sqref="A2095:N2096 A2154:A2155">
    <cfRule type="expression" dxfId="0" priority="25">
      <formula>UPPER($N2095)="SI"</formula>
    </cfRule>
  </conditionalFormatting>
  <conditionalFormatting sqref="A2095:N2096 A2154:A2155">
    <cfRule type="expression" dxfId="1" priority="26">
      <formula>UPPER($N2095)="NO"</formula>
    </cfRule>
  </conditionalFormatting>
  <conditionalFormatting sqref="A2094:N2094 A2153">
    <cfRule type="expression" dxfId="0" priority="27">
      <formula>UPPER($N2094)="SI"</formula>
    </cfRule>
  </conditionalFormatting>
  <conditionalFormatting sqref="A2094:N2094 A2153">
    <cfRule type="expression" dxfId="1" priority="28">
      <formula>UPPER($N2094)="NO"</formula>
    </cfRule>
  </conditionalFormatting>
  <conditionalFormatting sqref="A2093:N2093 A2152">
    <cfRule type="expression" dxfId="0" priority="29">
      <formula>UPPER($N2093)="SI"</formula>
    </cfRule>
  </conditionalFormatting>
  <conditionalFormatting sqref="A2093:N2093 A2152">
    <cfRule type="expression" dxfId="1" priority="30">
      <formula>UPPER($N2093)="NO"</formula>
    </cfRule>
  </conditionalFormatting>
  <conditionalFormatting sqref="A2091:N2092 A2150:A2151">
    <cfRule type="expression" dxfId="0" priority="31">
      <formula>UPPER($N2091)="SI"</formula>
    </cfRule>
  </conditionalFormatting>
  <conditionalFormatting sqref="A2091:N2092 A2150:A2151">
    <cfRule type="expression" dxfId="1" priority="32">
      <formula>UPPER($N2091)="NO"</formula>
    </cfRule>
  </conditionalFormatting>
  <conditionalFormatting sqref="A2087:N2090 A2146:A2149">
    <cfRule type="expression" dxfId="0" priority="33">
      <formula>UPPER($N2087)="SI"</formula>
    </cfRule>
  </conditionalFormatting>
  <conditionalFormatting sqref="A2087:N2090 A2146:A2149">
    <cfRule type="expression" dxfId="1" priority="34">
      <formula>UPPER($N2087)="NO"</formula>
    </cfRule>
  </conditionalFormatting>
  <conditionalFormatting sqref="A2085:N2086 A2144:A2145">
    <cfRule type="expression" dxfId="0" priority="35">
      <formula>UPPER($N2085)="SI"</formula>
    </cfRule>
  </conditionalFormatting>
  <conditionalFormatting sqref="A2085:N2086 A2144:A2145">
    <cfRule type="expression" dxfId="1" priority="36">
      <formula>UPPER($N2085)="NO"</formula>
    </cfRule>
  </conditionalFormatting>
  <conditionalFormatting sqref="A2081:N2084 A2140:A2143">
    <cfRule type="expression" dxfId="0" priority="37">
      <formula>UPPER($N2081)="SI"</formula>
    </cfRule>
  </conditionalFormatting>
  <conditionalFormatting sqref="A2081:N2084 A2140:A2143">
    <cfRule type="expression" dxfId="1" priority="38">
      <formula>UPPER($N2081)="NO"</formula>
    </cfRule>
  </conditionalFormatting>
  <conditionalFormatting sqref="A2080:N2080 A2139">
    <cfRule type="expression" dxfId="0" priority="39">
      <formula>UPPER($N2080)="SI"</formula>
    </cfRule>
  </conditionalFormatting>
  <conditionalFormatting sqref="A2080:N2080 A2139">
    <cfRule type="expression" dxfId="1" priority="40">
      <formula>UPPER($N2080)="NO"</formula>
    </cfRule>
  </conditionalFormatting>
  <conditionalFormatting sqref="A2076:N2079 A2135:A2138">
    <cfRule type="expression" dxfId="0" priority="41">
      <formula>UPPER($N2076)="SI"</formula>
    </cfRule>
  </conditionalFormatting>
  <conditionalFormatting sqref="A2076:N2079 A2135:A2138">
    <cfRule type="expression" dxfId="1" priority="42">
      <formula>UPPER($N2076)="NO"</formula>
    </cfRule>
  </conditionalFormatting>
  <conditionalFormatting sqref="A2073:N2075 A2132:A2134">
    <cfRule type="expression" dxfId="0" priority="43">
      <formula>UPPER($N2073)="SI"</formula>
    </cfRule>
  </conditionalFormatting>
  <conditionalFormatting sqref="A2073:N2075 A2132:A2134">
    <cfRule type="expression" dxfId="1" priority="44">
      <formula>UPPER($N2073)="NO"</formula>
    </cfRule>
  </conditionalFormatting>
  <conditionalFormatting sqref="A2069:N2072 A2128:A2131">
    <cfRule type="expression" dxfId="0" priority="45">
      <formula>UPPER($N2069)="SI"</formula>
    </cfRule>
  </conditionalFormatting>
  <conditionalFormatting sqref="A2069:N2072 A2128:A2131">
    <cfRule type="expression" dxfId="1" priority="46">
      <formula>UPPER($N2069)="NO"</formula>
    </cfRule>
  </conditionalFormatting>
  <conditionalFormatting sqref="A2068:N2068 A2127">
    <cfRule type="expression" dxfId="0" priority="47">
      <formula>UPPER($N2068)="SI"</formula>
    </cfRule>
  </conditionalFormatting>
  <conditionalFormatting sqref="A2068:N2068 A2127">
    <cfRule type="expression" dxfId="1" priority="48">
      <formula>UPPER($N2068)="NO"</formula>
    </cfRule>
  </conditionalFormatting>
  <conditionalFormatting sqref="A2067:N2067 A2126">
    <cfRule type="expression" dxfId="0" priority="49">
      <formula>UPPER($N2067)="SI"</formula>
    </cfRule>
  </conditionalFormatting>
  <conditionalFormatting sqref="A2067:N2067 A2126">
    <cfRule type="expression" dxfId="1" priority="50">
      <formula>UPPER($N2067)="NO"</formula>
    </cfRule>
  </conditionalFormatting>
  <conditionalFormatting sqref="A2066:N2066 A2125">
    <cfRule type="expression" dxfId="0" priority="51">
      <formula>UPPER($N2066)="SI"</formula>
    </cfRule>
  </conditionalFormatting>
  <conditionalFormatting sqref="A2066:N2066 A2125">
    <cfRule type="expression" dxfId="1" priority="52">
      <formula>UPPER($N2066)="NO"</formula>
    </cfRule>
  </conditionalFormatting>
  <conditionalFormatting sqref="A2065:N2065 A2124">
    <cfRule type="expression" dxfId="0" priority="53">
      <formula>UPPER($N2065)="SI"</formula>
    </cfRule>
  </conditionalFormatting>
  <conditionalFormatting sqref="A2065:N2065 A2124">
    <cfRule type="expression" dxfId="1" priority="54">
      <formula>UPPER($N2065)="NO"</formula>
    </cfRule>
  </conditionalFormatting>
  <conditionalFormatting sqref="A2063:N2064 A2122:A2123">
    <cfRule type="expression" dxfId="0" priority="55">
      <formula>UPPER($N2063)="SI"</formula>
    </cfRule>
  </conditionalFormatting>
  <conditionalFormatting sqref="A2063:N2064 A2122:A2123">
    <cfRule type="expression" dxfId="1" priority="56">
      <formula>UPPER($N2063)="NO"</formula>
    </cfRule>
  </conditionalFormatting>
  <conditionalFormatting sqref="A2061:N2062 A2120:A2121">
    <cfRule type="expression" dxfId="0" priority="57">
      <formula>UPPER($N2061)="SI"</formula>
    </cfRule>
  </conditionalFormatting>
  <conditionalFormatting sqref="A2061:N2062 A2120:A2121">
    <cfRule type="expression" dxfId="1" priority="58">
      <formula>UPPER($N2061)="NO"</formula>
    </cfRule>
  </conditionalFormatting>
  <conditionalFormatting sqref="A2060:N2060 A2119">
    <cfRule type="expression" dxfId="0" priority="59">
      <formula>UPPER($N2060)="SI"</formula>
    </cfRule>
  </conditionalFormatting>
  <conditionalFormatting sqref="A2060:N2060 A2119">
    <cfRule type="expression" dxfId="1" priority="60">
      <formula>UPPER($N2060)="NO"</formula>
    </cfRule>
  </conditionalFormatting>
  <conditionalFormatting sqref="A2057:N2059 A2116:A2118">
    <cfRule type="expression" dxfId="0" priority="61">
      <formula>UPPER($N2057)="SI"</formula>
    </cfRule>
  </conditionalFormatting>
  <conditionalFormatting sqref="A2057:N2059 A2116:A2118">
    <cfRule type="expression" dxfId="1" priority="62">
      <formula>UPPER($N2057)="NO"</formula>
    </cfRule>
  </conditionalFormatting>
  <conditionalFormatting sqref="A2056:N2056 A2115">
    <cfRule type="expression" dxfId="0" priority="63">
      <formula>UPPER($N2056)="SI"</formula>
    </cfRule>
  </conditionalFormatting>
  <conditionalFormatting sqref="A2056:N2056 A2115">
    <cfRule type="expression" dxfId="1" priority="64">
      <formula>UPPER($N2056)="NO"</formula>
    </cfRule>
  </conditionalFormatting>
  <conditionalFormatting sqref="A2054:N2055 A2113:A2114">
    <cfRule type="expression" dxfId="0" priority="65">
      <formula>UPPER($N2054)="SI"</formula>
    </cfRule>
  </conditionalFormatting>
  <conditionalFormatting sqref="A2054:N2055 A2113:A2114">
    <cfRule type="expression" dxfId="1" priority="66">
      <formula>UPPER($N2054)="NO"</formula>
    </cfRule>
  </conditionalFormatting>
  <conditionalFormatting sqref="A2053:N2053 A2112">
    <cfRule type="expression" dxfId="0" priority="67">
      <formula>UPPER($N2053)="SI"</formula>
    </cfRule>
  </conditionalFormatting>
  <conditionalFormatting sqref="A2053:N2053 A2112">
    <cfRule type="expression" dxfId="1" priority="68">
      <formula>UPPER($N2053)="NO"</formula>
    </cfRule>
  </conditionalFormatting>
  <conditionalFormatting sqref="A2050:N2052 A2109:A2111">
    <cfRule type="expression" dxfId="0" priority="69">
      <formula>UPPER($N2050)="SI"</formula>
    </cfRule>
  </conditionalFormatting>
  <conditionalFormatting sqref="A2050:N2052 A2109:A2111">
    <cfRule type="expression" dxfId="1" priority="70">
      <formula>UPPER($N2050)="NO"</formula>
    </cfRule>
  </conditionalFormatting>
  <conditionalFormatting sqref="A2043:N2049 A2102:A2108">
    <cfRule type="expression" dxfId="0" priority="71">
      <formula>UPPER($N2043)="SI"</formula>
    </cfRule>
  </conditionalFormatting>
  <conditionalFormatting sqref="A2043:N2049 A2102:A2108">
    <cfRule type="expression" dxfId="1" priority="72">
      <formula>UPPER($N2043)="NO"</formula>
    </cfRule>
  </conditionalFormatting>
  <conditionalFormatting sqref="A2042:N2042 A2101">
    <cfRule type="expression" dxfId="0" priority="73">
      <formula>UPPER($N2042)="SI"</formula>
    </cfRule>
  </conditionalFormatting>
  <conditionalFormatting sqref="A2042:N2042 A2101">
    <cfRule type="expression" dxfId="1" priority="74">
      <formula>UPPER($N2042)="NO"</formula>
    </cfRule>
  </conditionalFormatting>
  <conditionalFormatting sqref="A2040:N2041 A2099:A2100">
    <cfRule type="expression" dxfId="0" priority="75">
      <formula>UPPER($N2040)="SI"</formula>
    </cfRule>
  </conditionalFormatting>
  <conditionalFormatting sqref="A2040:N2041 A2099:A2100">
    <cfRule type="expression" dxfId="1" priority="76">
      <formula>UPPER($N2040)="NO"</formula>
    </cfRule>
  </conditionalFormatting>
  <conditionalFormatting sqref="A2039:N2039 A2098">
    <cfRule type="expression" dxfId="0" priority="77">
      <formula>UPPER($N2039)="SI"</formula>
    </cfRule>
  </conditionalFormatting>
  <conditionalFormatting sqref="A2039:N2039 A2098">
    <cfRule type="expression" dxfId="1" priority="78">
      <formula>UPPER($N2039)="NO"</formula>
    </cfRule>
  </conditionalFormatting>
  <conditionalFormatting sqref="A2038:N2038 A2097">
    <cfRule type="expression" dxfId="0" priority="79">
      <formula>UPPER($N2038)="SI"</formula>
    </cfRule>
  </conditionalFormatting>
  <conditionalFormatting sqref="A2038:N2038 A2097">
    <cfRule type="expression" dxfId="1" priority="80">
      <formula>UPPER($N2038)="NO"</formula>
    </cfRule>
  </conditionalFormatting>
  <conditionalFormatting sqref="A2035:N2037 A2094:A2096">
    <cfRule type="expression" dxfId="0" priority="81">
      <formula>UPPER($N2035)="SI"</formula>
    </cfRule>
  </conditionalFormatting>
  <conditionalFormatting sqref="A2035:N2037 A2094:A2096">
    <cfRule type="expression" dxfId="1" priority="82">
      <formula>UPPER($N2035)="NO"</formula>
    </cfRule>
  </conditionalFormatting>
  <conditionalFormatting sqref="A2034:N2034 A2093">
    <cfRule type="expression" dxfId="0" priority="83">
      <formula>UPPER($N2034)="SI"</formula>
    </cfRule>
  </conditionalFormatting>
  <conditionalFormatting sqref="A2034:N2034 A2093">
    <cfRule type="expression" dxfId="1" priority="84">
      <formula>UPPER($N2034)="NO"</formula>
    </cfRule>
  </conditionalFormatting>
  <conditionalFormatting sqref="A2033:N2033 A2092">
    <cfRule type="expression" dxfId="0" priority="85">
      <formula>UPPER($N2033)="SI"</formula>
    </cfRule>
  </conditionalFormatting>
  <conditionalFormatting sqref="A2033:N2033 A2092">
    <cfRule type="expression" dxfId="1" priority="86">
      <formula>UPPER($N2033)="NO"</formula>
    </cfRule>
  </conditionalFormatting>
  <conditionalFormatting sqref="A2032:N2032 A2091">
    <cfRule type="expression" dxfId="0" priority="87">
      <formula>UPPER($N2032)="SI"</formula>
    </cfRule>
  </conditionalFormatting>
  <conditionalFormatting sqref="A2032:N2032 A2091">
    <cfRule type="expression" dxfId="1" priority="88">
      <formula>UPPER($N2032)="NO"</formula>
    </cfRule>
  </conditionalFormatting>
  <conditionalFormatting sqref="A2031:N2031 A2090">
    <cfRule type="expression" dxfId="0" priority="89">
      <formula>UPPER($N2031)="SI"</formula>
    </cfRule>
  </conditionalFormatting>
  <conditionalFormatting sqref="A2031:N2031 A2090">
    <cfRule type="expression" dxfId="1" priority="90">
      <formula>UPPER($N2031)="NO"</formula>
    </cfRule>
  </conditionalFormatting>
  <conditionalFormatting sqref="A2029:N2030 A2088:A2089">
    <cfRule type="expression" dxfId="0" priority="91">
      <formula>UPPER($N2029)="SI"</formula>
    </cfRule>
  </conditionalFormatting>
  <conditionalFormatting sqref="A2029:N2030 A2088:A2089">
    <cfRule type="expression" dxfId="1" priority="92">
      <formula>UPPER($N2029)="NO"</formula>
    </cfRule>
  </conditionalFormatting>
  <conditionalFormatting sqref="A2024:N2028 A2083:A2087">
    <cfRule type="expression" dxfId="0" priority="93">
      <formula>UPPER($N2024)="SI"</formula>
    </cfRule>
  </conditionalFormatting>
  <conditionalFormatting sqref="A2024:N2028 A2083:A2087">
    <cfRule type="expression" dxfId="1" priority="94">
      <formula>UPPER($N2024)="NO"</formula>
    </cfRule>
  </conditionalFormatting>
  <conditionalFormatting sqref="A2020:N2023 A2079:A2082">
    <cfRule type="expression" dxfId="0" priority="95">
      <formula>UPPER($N2020)="SI"</formula>
    </cfRule>
  </conditionalFormatting>
  <conditionalFormatting sqref="A2020:N2023 A2079:A2082">
    <cfRule type="expression" dxfId="1" priority="96">
      <formula>UPPER($N2020)="NO"</formula>
    </cfRule>
  </conditionalFormatting>
  <conditionalFormatting sqref="A2017:N2019 A2076:A2078">
    <cfRule type="expression" dxfId="0" priority="97">
      <formula>UPPER($N2017)="SI"</formula>
    </cfRule>
  </conditionalFormatting>
  <conditionalFormatting sqref="A2017:N2019 A2076:A2078">
    <cfRule type="expression" dxfId="1" priority="98">
      <formula>UPPER($N2017)="NO"</formula>
    </cfRule>
  </conditionalFormatting>
  <conditionalFormatting sqref="A2016:N2016 A2075">
    <cfRule type="expression" dxfId="0" priority="99">
      <formula>UPPER($N2016)="SI"</formula>
    </cfRule>
  </conditionalFormatting>
  <conditionalFormatting sqref="A2016:N2016 A2075">
    <cfRule type="expression" dxfId="1" priority="100">
      <formula>UPPER($N2016)="NO"</formula>
    </cfRule>
  </conditionalFormatting>
  <conditionalFormatting sqref="A2014:N2015 A2073:A2074">
    <cfRule type="expression" dxfId="0" priority="101">
      <formula>UPPER($N2014)="SI"</formula>
    </cfRule>
  </conditionalFormatting>
  <conditionalFormatting sqref="A2014:N2015 A2073:A2074">
    <cfRule type="expression" dxfId="1" priority="102">
      <formula>UPPER($N2014)="NO"</formula>
    </cfRule>
  </conditionalFormatting>
  <conditionalFormatting sqref="A2013:N2013 A2072">
    <cfRule type="expression" dxfId="0" priority="103">
      <formula>UPPER($N2013)="SI"</formula>
    </cfRule>
  </conditionalFormatting>
  <conditionalFormatting sqref="A2013:N2013 A2072">
    <cfRule type="expression" dxfId="1" priority="104">
      <formula>UPPER($N2013)="NO"</formula>
    </cfRule>
  </conditionalFormatting>
  <conditionalFormatting sqref="A2011:N2012 A2070:A2071">
    <cfRule type="expression" dxfId="0" priority="105">
      <formula>UPPER($N2011)="SI"</formula>
    </cfRule>
  </conditionalFormatting>
  <conditionalFormatting sqref="A2011:N2012 A2070:A2071">
    <cfRule type="expression" dxfId="1" priority="106">
      <formula>UPPER($N2011)="NO"</formula>
    </cfRule>
  </conditionalFormatting>
  <conditionalFormatting sqref="A2003:N2010 A2062:A2069">
    <cfRule type="expression" dxfId="0" priority="107">
      <formula>UPPER($N2003)="SI"</formula>
    </cfRule>
  </conditionalFormatting>
  <conditionalFormatting sqref="A2003:N2010 A2062:A2069">
    <cfRule type="expression" dxfId="1" priority="108">
      <formula>UPPER($N2003)="NO"</formula>
    </cfRule>
  </conditionalFormatting>
  <conditionalFormatting sqref="A1997:N2002 A2056:A2061">
    <cfRule type="expression" dxfId="0" priority="109">
      <formula>UPPER($N1997)="SI"</formula>
    </cfRule>
  </conditionalFormatting>
  <conditionalFormatting sqref="A1997:N2002 A2056:A2061">
    <cfRule type="expression" dxfId="1" priority="110">
      <formula>UPPER($N1997)="NO"</formula>
    </cfRule>
  </conditionalFormatting>
  <conditionalFormatting sqref="A1994:N1996 A2053:A2055">
    <cfRule type="expression" dxfId="0" priority="111">
      <formula>UPPER($N1994)="SI"</formula>
    </cfRule>
  </conditionalFormatting>
  <conditionalFormatting sqref="A1994:N1996 A2053:A2055">
    <cfRule type="expression" dxfId="1" priority="112">
      <formula>UPPER($N1994)="NO"</formula>
    </cfRule>
  </conditionalFormatting>
  <conditionalFormatting sqref="A1993:N1993 A2052">
    <cfRule type="expression" dxfId="0" priority="113">
      <formula>UPPER($N1993)="SI"</formula>
    </cfRule>
  </conditionalFormatting>
  <conditionalFormatting sqref="A1993:N1993 A2052">
    <cfRule type="expression" dxfId="1" priority="114">
      <formula>UPPER($N1993)="NO"</formula>
    </cfRule>
  </conditionalFormatting>
  <conditionalFormatting sqref="A1991:N1992 A2050:A2051">
    <cfRule type="expression" dxfId="0" priority="115">
      <formula>UPPER($N1991)="SI"</formula>
    </cfRule>
  </conditionalFormatting>
  <conditionalFormatting sqref="A1991:N1992 A2050:A2051">
    <cfRule type="expression" dxfId="1" priority="116">
      <formula>UPPER($N1991)="NO"</formula>
    </cfRule>
  </conditionalFormatting>
  <conditionalFormatting sqref="A1989:N1990 A2048:A2049">
    <cfRule type="expression" dxfId="0" priority="117">
      <formula>UPPER($N1989)="SI"</formula>
    </cfRule>
  </conditionalFormatting>
  <conditionalFormatting sqref="A1989:N1990 A2048:A2049">
    <cfRule type="expression" dxfId="1" priority="118">
      <formula>UPPER($N1989)="NO"</formula>
    </cfRule>
  </conditionalFormatting>
  <conditionalFormatting sqref="A1988:N1988 A2047">
    <cfRule type="expression" dxfId="0" priority="119">
      <formula>UPPER($N1988)="SI"</formula>
    </cfRule>
  </conditionalFormatting>
  <conditionalFormatting sqref="A1988:N1988 A2047">
    <cfRule type="expression" dxfId="1" priority="120">
      <formula>UPPER($N1988)="NO"</formula>
    </cfRule>
  </conditionalFormatting>
  <conditionalFormatting sqref="A1984:N1987 A2043:A2046">
    <cfRule type="expression" dxfId="0" priority="121">
      <formula>UPPER($N1984)="SI"</formula>
    </cfRule>
  </conditionalFormatting>
  <conditionalFormatting sqref="A1984:N1987 A2043:A2046">
    <cfRule type="expression" dxfId="1" priority="122">
      <formula>UPPER($N1984)="NO"</formula>
    </cfRule>
  </conditionalFormatting>
  <conditionalFormatting sqref="A1983:N1983 A2042">
    <cfRule type="expression" dxfId="0" priority="123">
      <formula>UPPER($N1983)="SI"</formula>
    </cfRule>
  </conditionalFormatting>
  <conditionalFormatting sqref="A1983:N1983 A2042">
    <cfRule type="expression" dxfId="1" priority="124">
      <formula>UPPER($N1983)="NO"</formula>
    </cfRule>
  </conditionalFormatting>
  <conditionalFormatting sqref="A1980:N1982 A2039:A2041">
    <cfRule type="expression" dxfId="0" priority="125">
      <formula>UPPER($N1980)="SI"</formula>
    </cfRule>
  </conditionalFormatting>
  <conditionalFormatting sqref="A1980:N1982 A2039:A2041">
    <cfRule type="expression" dxfId="1" priority="126">
      <formula>UPPER($N1980)="NO"</formula>
    </cfRule>
  </conditionalFormatting>
  <conditionalFormatting sqref="A1978:N1979 A2037:A2038">
    <cfRule type="expression" dxfId="0" priority="127">
      <formula>UPPER($N1978)="SI"</formula>
    </cfRule>
  </conditionalFormatting>
  <conditionalFormatting sqref="A1978:N1979 A2037:A2038">
    <cfRule type="expression" dxfId="1" priority="128">
      <formula>UPPER($N1978)="NO"</formula>
    </cfRule>
  </conditionalFormatting>
  <conditionalFormatting sqref="A1976:N1977 A2035:A2036">
    <cfRule type="expression" dxfId="0" priority="129">
      <formula>UPPER($N1976)="SI"</formula>
    </cfRule>
  </conditionalFormatting>
  <conditionalFormatting sqref="A1976:N1977 A2035:A2036">
    <cfRule type="expression" dxfId="1" priority="130">
      <formula>UPPER($N1976)="NO"</formula>
    </cfRule>
  </conditionalFormatting>
  <conditionalFormatting sqref="A1975:N1975 A2034">
    <cfRule type="expression" dxfId="0" priority="131">
      <formula>UPPER($N1975)="SI"</formula>
    </cfRule>
  </conditionalFormatting>
  <conditionalFormatting sqref="A1975:N1975 A2034">
    <cfRule type="expression" dxfId="1" priority="132">
      <formula>UPPER($N1975)="NO"</formula>
    </cfRule>
  </conditionalFormatting>
  <conditionalFormatting sqref="A1973:N1974 A2032:A2033">
    <cfRule type="expression" dxfId="0" priority="133">
      <formula>UPPER($N1973)="SI"</formula>
    </cfRule>
  </conditionalFormatting>
  <conditionalFormatting sqref="A1973:N1974 A2032:A2033">
    <cfRule type="expression" dxfId="1" priority="134">
      <formula>UPPER($N1973)="NO"</formula>
    </cfRule>
  </conditionalFormatting>
  <conditionalFormatting sqref="A1972:N1972 A2031">
    <cfRule type="expression" dxfId="0" priority="135">
      <formula>UPPER($N1972)="SI"</formula>
    </cfRule>
  </conditionalFormatting>
  <conditionalFormatting sqref="A1972:N1972 A2031">
    <cfRule type="expression" dxfId="1" priority="136">
      <formula>UPPER($N1972)="NO"</formula>
    </cfRule>
  </conditionalFormatting>
  <conditionalFormatting sqref="A1971:N1971 A2030">
    <cfRule type="expression" dxfId="0" priority="137">
      <formula>UPPER($N1971)="SI"</formula>
    </cfRule>
  </conditionalFormatting>
  <conditionalFormatting sqref="A1971:N1971 A2030">
    <cfRule type="expression" dxfId="1" priority="138">
      <formula>UPPER($N1971)="NO"</formula>
    </cfRule>
  </conditionalFormatting>
  <conditionalFormatting sqref="A1969:N1970 A2028:A2029">
    <cfRule type="expression" dxfId="0" priority="139">
      <formula>UPPER($N1969)="SI"</formula>
    </cfRule>
  </conditionalFormatting>
  <conditionalFormatting sqref="A1969:N1970 A2028:A2029">
    <cfRule type="expression" dxfId="1" priority="140">
      <formula>UPPER($N1969)="NO"</formula>
    </cfRule>
  </conditionalFormatting>
  <conditionalFormatting sqref="A1964:N1968 A2023:A2027">
    <cfRule type="expression" dxfId="0" priority="141">
      <formula>UPPER($N1964)="SI"</formula>
    </cfRule>
  </conditionalFormatting>
  <conditionalFormatting sqref="A1964:N1968 A2023:A2027">
    <cfRule type="expression" dxfId="1" priority="142">
      <formula>UPPER($N1964)="NO"</formula>
    </cfRule>
  </conditionalFormatting>
  <conditionalFormatting sqref="A1963:N1963 A2022">
    <cfRule type="expression" dxfId="0" priority="143">
      <formula>UPPER($N1963)="SI"</formula>
    </cfRule>
  </conditionalFormatting>
  <conditionalFormatting sqref="A1963:N1963 A2022">
    <cfRule type="expression" dxfId="1" priority="144">
      <formula>UPPER($N1963)="NO"</formula>
    </cfRule>
  </conditionalFormatting>
  <conditionalFormatting sqref="A1962:N1962 A2021">
    <cfRule type="expression" dxfId="0" priority="145">
      <formula>UPPER($N1962)="SI"</formula>
    </cfRule>
  </conditionalFormatting>
  <conditionalFormatting sqref="A1962:N1962 A2021">
    <cfRule type="expression" dxfId="1" priority="146">
      <formula>UPPER($N1962)="NO"</formula>
    </cfRule>
  </conditionalFormatting>
  <conditionalFormatting sqref="A1961:N1961 A2020">
    <cfRule type="expression" dxfId="0" priority="147">
      <formula>UPPER($N1961)="SI"</formula>
    </cfRule>
  </conditionalFormatting>
  <conditionalFormatting sqref="A1961:N1961 A2020">
    <cfRule type="expression" dxfId="1" priority="148">
      <formula>UPPER($N1961)="NO"</formula>
    </cfRule>
  </conditionalFormatting>
  <conditionalFormatting sqref="A1960:N1960 A2019">
    <cfRule type="expression" dxfId="0" priority="149">
      <formula>UPPER($N1960)="SI"</formula>
    </cfRule>
  </conditionalFormatting>
  <conditionalFormatting sqref="A1960:N1960 A2019">
    <cfRule type="expression" dxfId="1" priority="150">
      <formula>UPPER($N1960)="NO"</formula>
    </cfRule>
  </conditionalFormatting>
  <conditionalFormatting sqref="A1958:N1959 A2017:A2018">
    <cfRule type="expression" dxfId="0" priority="151">
      <formula>UPPER($N1958)="SI"</formula>
    </cfRule>
  </conditionalFormatting>
  <conditionalFormatting sqref="A1958:N1959 A2017:A2018">
    <cfRule type="expression" dxfId="1" priority="152">
      <formula>UPPER($N1958)="NO"</formula>
    </cfRule>
  </conditionalFormatting>
  <conditionalFormatting sqref="A1957:N1957 A2016">
    <cfRule type="expression" dxfId="0" priority="153">
      <formula>UPPER($N1957)="SI"</formula>
    </cfRule>
  </conditionalFormatting>
  <conditionalFormatting sqref="A1957:N1957 A2016">
    <cfRule type="expression" dxfId="1" priority="154">
      <formula>UPPER($N1957)="NO"</formula>
    </cfRule>
  </conditionalFormatting>
  <conditionalFormatting sqref="A1956:N1956 A2015">
    <cfRule type="expression" dxfId="0" priority="155">
      <formula>UPPER($N1956)="SI"</formula>
    </cfRule>
  </conditionalFormatting>
  <conditionalFormatting sqref="A1956:N1956 A2015">
    <cfRule type="expression" dxfId="1" priority="156">
      <formula>UPPER($N1956)="NO"</formula>
    </cfRule>
  </conditionalFormatting>
  <conditionalFormatting sqref="A1951:N1955 A2010:A2014">
    <cfRule type="expression" dxfId="0" priority="157">
      <formula>UPPER($N1951)="SI"</formula>
    </cfRule>
  </conditionalFormatting>
  <conditionalFormatting sqref="A1951:N1955 A2010:A2014">
    <cfRule type="expression" dxfId="1" priority="158">
      <formula>UPPER($N1951)="NO"</formula>
    </cfRule>
  </conditionalFormatting>
  <conditionalFormatting sqref="A1950:N1950 A2009">
    <cfRule type="expression" dxfId="0" priority="159">
      <formula>UPPER($N1950)="SI"</formula>
    </cfRule>
  </conditionalFormatting>
  <conditionalFormatting sqref="A1950:N1950 A2009">
    <cfRule type="expression" dxfId="1" priority="160">
      <formula>UPPER($N1950)="NO"</formula>
    </cfRule>
  </conditionalFormatting>
  <conditionalFormatting sqref="A1948:N1949 A2007:A2008">
    <cfRule type="expression" dxfId="0" priority="161">
      <formula>UPPER($N1948)="SI"</formula>
    </cfRule>
  </conditionalFormatting>
  <conditionalFormatting sqref="A1948:N1949 A2007:A2008">
    <cfRule type="expression" dxfId="1" priority="162">
      <formula>UPPER($N1948)="NO"</formula>
    </cfRule>
  </conditionalFormatting>
  <conditionalFormatting sqref="A1947:N1947 A2006">
    <cfRule type="expression" dxfId="0" priority="163">
      <formula>UPPER($N1947)="SI"</formula>
    </cfRule>
  </conditionalFormatting>
  <conditionalFormatting sqref="A1947:N1947 A2006">
    <cfRule type="expression" dxfId="1" priority="164">
      <formula>UPPER($N1947)="NO"</formula>
    </cfRule>
  </conditionalFormatting>
  <conditionalFormatting sqref="A1945:N1946 A2004:A2005">
    <cfRule type="expression" dxfId="0" priority="165">
      <formula>UPPER($N1945)="SI"</formula>
    </cfRule>
  </conditionalFormatting>
  <conditionalFormatting sqref="A1945:N1946 A2004:A2005">
    <cfRule type="expression" dxfId="1" priority="166">
      <formula>UPPER($N1945)="NO"</formula>
    </cfRule>
  </conditionalFormatting>
  <conditionalFormatting sqref="A1942:N1944 A2001:A2003">
    <cfRule type="expression" dxfId="0" priority="167">
      <formula>UPPER($N1942)="SI"</formula>
    </cfRule>
  </conditionalFormatting>
  <conditionalFormatting sqref="A1942:N1944 A2001:A2003">
    <cfRule type="expression" dxfId="1" priority="168">
      <formula>UPPER($N1942)="NO"</formula>
    </cfRule>
  </conditionalFormatting>
  <conditionalFormatting sqref="A1938:N1941 A1997:A2000">
    <cfRule type="expression" dxfId="0" priority="169">
      <formula>UPPER($N1938)="SI"</formula>
    </cfRule>
  </conditionalFormatting>
  <conditionalFormatting sqref="A1938:N1941 A1997:A2000">
    <cfRule type="expression" dxfId="1" priority="170">
      <formula>UPPER($N1938)="NO"</formula>
    </cfRule>
  </conditionalFormatting>
  <conditionalFormatting sqref="A1937:N1937 A1996">
    <cfRule type="expression" dxfId="0" priority="171">
      <formula>UPPER($N1937)="SI"</formula>
    </cfRule>
  </conditionalFormatting>
  <conditionalFormatting sqref="A1937:N1937 A1996">
    <cfRule type="expression" dxfId="1" priority="172">
      <formula>UPPER($N1937)="NO"</formula>
    </cfRule>
  </conditionalFormatting>
  <conditionalFormatting sqref="A1936:N1936 A1995">
    <cfRule type="expression" dxfId="0" priority="173">
      <formula>UPPER($N1936)="SI"</formula>
    </cfRule>
  </conditionalFormatting>
  <conditionalFormatting sqref="A1936:N1936 A1995">
    <cfRule type="expression" dxfId="1" priority="174">
      <formula>UPPER($N1936)="NO"</formula>
    </cfRule>
  </conditionalFormatting>
  <conditionalFormatting sqref="A1934:N1935 A1993:A1994">
    <cfRule type="expression" dxfId="0" priority="175">
      <formula>UPPER($N1934)="SI"</formula>
    </cfRule>
  </conditionalFormatting>
  <conditionalFormatting sqref="A1934:N1935 A1993:A1994">
    <cfRule type="expression" dxfId="1" priority="176">
      <formula>UPPER($N1934)="NO"</formula>
    </cfRule>
  </conditionalFormatting>
  <conditionalFormatting sqref="A1930:N1933 A1989:A1992">
    <cfRule type="expression" dxfId="0" priority="177">
      <formula>UPPER($N1930)="SI"</formula>
    </cfRule>
  </conditionalFormatting>
  <conditionalFormatting sqref="A1930:N1933 A1989:A1992">
    <cfRule type="expression" dxfId="1" priority="178">
      <formula>UPPER($N1930)="NO"</formula>
    </cfRule>
  </conditionalFormatting>
  <conditionalFormatting sqref="A1927:N1929 A1986:A1988">
    <cfRule type="expression" dxfId="0" priority="179">
      <formula>UPPER($N1927)="SI"</formula>
    </cfRule>
  </conditionalFormatting>
  <conditionalFormatting sqref="A1927:N1929 A1986:A1988">
    <cfRule type="expression" dxfId="1" priority="180">
      <formula>UPPER($N1927)="NO"</formula>
    </cfRule>
  </conditionalFormatting>
  <conditionalFormatting sqref="A1925:N1926 A1984:A1985">
    <cfRule type="expression" dxfId="0" priority="181">
      <formula>UPPER($N1925)="SI"</formula>
    </cfRule>
  </conditionalFormatting>
  <conditionalFormatting sqref="A1925:N1926 A1984:A1985">
    <cfRule type="expression" dxfId="1" priority="182">
      <formula>UPPER($N1925)="NO"</formula>
    </cfRule>
  </conditionalFormatting>
  <conditionalFormatting sqref="A1924:N1924 A1983">
    <cfRule type="expression" dxfId="0" priority="183">
      <formula>UPPER($N1924)="SI"</formula>
    </cfRule>
  </conditionalFormatting>
  <conditionalFormatting sqref="A1924:N1924 A1983">
    <cfRule type="expression" dxfId="1" priority="184">
      <formula>UPPER($N1924)="NO"</formula>
    </cfRule>
  </conditionalFormatting>
  <conditionalFormatting sqref="A1913:N1923 A1972:A1982">
    <cfRule type="expression" dxfId="0" priority="185">
      <formula>UPPER($N1913)="SI"</formula>
    </cfRule>
  </conditionalFormatting>
  <conditionalFormatting sqref="A1913:N1923 A1972:A1982">
    <cfRule type="expression" dxfId="1" priority="186">
      <formula>UPPER($N1913)="NO"</formula>
    </cfRule>
  </conditionalFormatting>
  <conditionalFormatting sqref="A1911:N1912 A1970:A1971">
    <cfRule type="expression" dxfId="0" priority="187">
      <formula>UPPER($N1911)="SI"</formula>
    </cfRule>
  </conditionalFormatting>
  <conditionalFormatting sqref="A1911:N1912 A1970:A1971">
    <cfRule type="expression" dxfId="1" priority="188">
      <formula>UPPER($N1911)="NO"</formula>
    </cfRule>
  </conditionalFormatting>
  <conditionalFormatting sqref="A1909:N1910 A1968:A1969">
    <cfRule type="expression" dxfId="0" priority="189">
      <formula>UPPER($N1909)="SI"</formula>
    </cfRule>
  </conditionalFormatting>
  <conditionalFormatting sqref="A1909:N1910 A1968:A1969">
    <cfRule type="expression" dxfId="1" priority="190">
      <formula>UPPER($N1909)="NO"</formula>
    </cfRule>
  </conditionalFormatting>
  <conditionalFormatting sqref="A1903:N1908 A1962:A1967">
    <cfRule type="expression" dxfId="0" priority="191">
      <formula>UPPER($N1903)="SI"</formula>
    </cfRule>
  </conditionalFormatting>
  <conditionalFormatting sqref="A1:A3435 J1618 J1636 J1725">
    <cfRule type="expression" dxfId="1" priority="192">
      <formula>" =N1="no" "</formula>
    </cfRule>
  </conditionalFormatting>
  <conditionalFormatting sqref="A1903:N1908 A1962:A1967">
    <cfRule type="expression" dxfId="1" priority="193">
      <formula>UPPER($N1903)="NO"</formula>
    </cfRule>
  </conditionalFormatting>
  <conditionalFormatting sqref="A1902:N1902 A1961">
    <cfRule type="expression" dxfId="0" priority="194">
      <formula>UPPER($N1902)="SI"</formula>
    </cfRule>
  </conditionalFormatting>
  <conditionalFormatting sqref="A1902 A1961">
    <cfRule type="expression" dxfId="1" priority="195">
      <formula>" =N1="no" "</formula>
    </cfRule>
  </conditionalFormatting>
  <conditionalFormatting sqref="A1902:N1902 A1961">
    <cfRule type="expression" dxfId="1" priority="196">
      <formula>UPPER($N1902)="NO"</formula>
    </cfRule>
  </conditionalFormatting>
  <conditionalFormatting sqref="A1901:N1901 A1960">
    <cfRule type="expression" dxfId="0" priority="197">
      <formula>UPPER($N1901)="SI"</formula>
    </cfRule>
  </conditionalFormatting>
  <conditionalFormatting sqref="A1901 A1960">
    <cfRule type="expression" dxfId="1" priority="198">
      <formula>" =N1="no" "</formula>
    </cfRule>
  </conditionalFormatting>
  <conditionalFormatting sqref="A1901:N1901 A1960">
    <cfRule type="expression" dxfId="1" priority="199">
      <formula>UPPER($N1901)="NO"</formula>
    </cfRule>
  </conditionalFormatting>
  <conditionalFormatting sqref="A1896:N1900 A1955:A1959">
    <cfRule type="expression" dxfId="0" priority="200">
      <formula>UPPER($N1896)="SI"</formula>
    </cfRule>
  </conditionalFormatting>
  <conditionalFormatting sqref="A1896:A1900 A1955:A1959">
    <cfRule type="expression" dxfId="1" priority="201">
      <formula>" =N1="no" "</formula>
    </cfRule>
  </conditionalFormatting>
  <conditionalFormatting sqref="A1896:N1900 A1955:A1959">
    <cfRule type="expression" dxfId="1" priority="202">
      <formula>UPPER($N1896)="NO"</formula>
    </cfRule>
  </conditionalFormatting>
  <conditionalFormatting sqref="A1895:N1895 A1954">
    <cfRule type="expression" dxfId="0" priority="203">
      <formula>UPPER($N1895)="SI"</formula>
    </cfRule>
  </conditionalFormatting>
  <conditionalFormatting sqref="A1895 A1954">
    <cfRule type="expression" dxfId="1" priority="204">
      <formula>" =N1="no" "</formula>
    </cfRule>
  </conditionalFormatting>
  <conditionalFormatting sqref="A1895:N1895 A1954">
    <cfRule type="expression" dxfId="1" priority="205">
      <formula>UPPER($N1895)="NO"</formula>
    </cfRule>
  </conditionalFormatting>
  <conditionalFormatting sqref="A1893:N1894 A1952:A1953">
    <cfRule type="expression" dxfId="0" priority="206">
      <formula>UPPER($N1893)="SI"</formula>
    </cfRule>
  </conditionalFormatting>
  <conditionalFormatting sqref="A1893:A1894 A1952:A1953">
    <cfRule type="expression" dxfId="1" priority="207">
      <formula>" =N1="no" "</formula>
    </cfRule>
  </conditionalFormatting>
  <conditionalFormatting sqref="A1893:N1894 A1952:A1953">
    <cfRule type="expression" dxfId="1" priority="208">
      <formula>UPPER($N1893)="NO"</formula>
    </cfRule>
  </conditionalFormatting>
  <conditionalFormatting sqref="A1892:N1892 A1951">
    <cfRule type="expression" dxfId="0" priority="209">
      <formula>UPPER($N1892)="SI"</formula>
    </cfRule>
  </conditionalFormatting>
  <conditionalFormatting sqref="A1892 A1951">
    <cfRule type="expression" dxfId="1" priority="210">
      <formula>" =N1="no" "</formula>
    </cfRule>
  </conditionalFormatting>
  <conditionalFormatting sqref="A1892:N1892 A1951">
    <cfRule type="expression" dxfId="1" priority="211">
      <formula>UPPER($N1892)="NO"</formula>
    </cfRule>
  </conditionalFormatting>
  <conditionalFormatting sqref="A1891:N1891 A1950">
    <cfRule type="expression" dxfId="0" priority="212">
      <formula>UPPER($N1891)="SI"</formula>
    </cfRule>
  </conditionalFormatting>
  <conditionalFormatting sqref="A1891 A1950">
    <cfRule type="expression" dxfId="1" priority="213">
      <formula>" =N1="no" "</formula>
    </cfRule>
  </conditionalFormatting>
  <conditionalFormatting sqref="A1891:N1891 A1950">
    <cfRule type="expression" dxfId="1" priority="214">
      <formula>UPPER($N1891)="NO"</formula>
    </cfRule>
  </conditionalFormatting>
  <conditionalFormatting sqref="A1889:N1890 A1948:A1949">
    <cfRule type="expression" dxfId="0" priority="215">
      <formula>UPPER($N1889)="SI"</formula>
    </cfRule>
  </conditionalFormatting>
  <conditionalFormatting sqref="A1889:A1890 A1948:A1949">
    <cfRule type="expression" dxfId="1" priority="216">
      <formula>" =N1="no" "</formula>
    </cfRule>
  </conditionalFormatting>
  <conditionalFormatting sqref="A1889:N1890 A1948:A1949">
    <cfRule type="expression" dxfId="1" priority="217">
      <formula>UPPER($N1889)="NO"</formula>
    </cfRule>
  </conditionalFormatting>
  <conditionalFormatting sqref="A1888:N1888 A1947">
    <cfRule type="expression" dxfId="0" priority="218">
      <formula>UPPER($N1888)="SI"</formula>
    </cfRule>
  </conditionalFormatting>
  <conditionalFormatting sqref="A1888 A1947">
    <cfRule type="expression" dxfId="1" priority="219">
      <formula>" =N1="no" "</formula>
    </cfRule>
  </conditionalFormatting>
  <conditionalFormatting sqref="A1888:N1888 A1947">
    <cfRule type="expression" dxfId="1" priority="220">
      <formula>UPPER($N1888)="NO"</formula>
    </cfRule>
  </conditionalFormatting>
  <conditionalFormatting sqref="A1883:N1887 A1942:A1946">
    <cfRule type="expression" dxfId="0" priority="221">
      <formula>UPPER($N1883)="SI"</formula>
    </cfRule>
  </conditionalFormatting>
  <conditionalFormatting sqref="A1883:A1887 A1942:A1946">
    <cfRule type="expression" dxfId="1" priority="222">
      <formula>" =N1="no" "</formula>
    </cfRule>
  </conditionalFormatting>
  <conditionalFormatting sqref="A1883:N1887 A1942:A1946">
    <cfRule type="expression" dxfId="1" priority="223">
      <formula>UPPER($N1883)="NO"</formula>
    </cfRule>
  </conditionalFormatting>
  <conditionalFormatting sqref="A1881:N1882 A1940:A1941">
    <cfRule type="expression" dxfId="0" priority="224">
      <formula>UPPER($N1881)="SI"</formula>
    </cfRule>
  </conditionalFormatting>
  <conditionalFormatting sqref="A1881:A1882 A1940:A1941">
    <cfRule type="expression" dxfId="1" priority="225">
      <formula>" =N1="no" "</formula>
    </cfRule>
  </conditionalFormatting>
  <conditionalFormatting sqref="A1881:N1882 A1940:A1941">
    <cfRule type="expression" dxfId="1" priority="226">
      <formula>UPPER($N1881)="NO"</formula>
    </cfRule>
  </conditionalFormatting>
  <conditionalFormatting sqref="A1878:N1880 A1937:A1939">
    <cfRule type="expression" dxfId="0" priority="227">
      <formula>UPPER($N1878)="SI"</formula>
    </cfRule>
  </conditionalFormatting>
  <conditionalFormatting sqref="A1878:A1880 A1937:A1939">
    <cfRule type="expression" dxfId="1" priority="228">
      <formula>" =N1="no" "</formula>
    </cfRule>
  </conditionalFormatting>
  <conditionalFormatting sqref="A1878:N1880 A1937:A1939">
    <cfRule type="expression" dxfId="1" priority="229">
      <formula>UPPER($N1878)="NO"</formula>
    </cfRule>
  </conditionalFormatting>
  <conditionalFormatting sqref="A1877:N1877 A1936">
    <cfRule type="expression" dxfId="0" priority="230">
      <formula>UPPER($N1877)="SI"</formula>
    </cfRule>
  </conditionalFormatting>
  <conditionalFormatting sqref="A1877 A1936">
    <cfRule type="expression" dxfId="1" priority="231">
      <formula>" =N1="no" "</formula>
    </cfRule>
  </conditionalFormatting>
  <conditionalFormatting sqref="A1877:N1877 A1936">
    <cfRule type="expression" dxfId="1" priority="232">
      <formula>UPPER($N1877)="NO"</formula>
    </cfRule>
  </conditionalFormatting>
  <conditionalFormatting sqref="A1871:N1876 A1930:A1935">
    <cfRule type="expression" dxfId="0" priority="233">
      <formula>UPPER($N1871)="SI"</formula>
    </cfRule>
  </conditionalFormatting>
  <conditionalFormatting sqref="A1871:A1876 A1930:A1935">
    <cfRule type="expression" dxfId="1" priority="234">
      <formula>" =N1="no" "</formula>
    </cfRule>
  </conditionalFormatting>
  <conditionalFormatting sqref="A1871:N1876 A1930:A1935">
    <cfRule type="expression" dxfId="1" priority="235">
      <formula>UPPER($N1871)="NO"</formula>
    </cfRule>
  </conditionalFormatting>
  <conditionalFormatting sqref="A1869:N1870 A1928:A1929">
    <cfRule type="expression" dxfId="0" priority="236">
      <formula>UPPER($N1869)="SI"</formula>
    </cfRule>
  </conditionalFormatting>
  <conditionalFormatting sqref="A1869:A1870 A1928:A1929">
    <cfRule type="expression" dxfId="1" priority="237">
      <formula>" =N1="no" "</formula>
    </cfRule>
  </conditionalFormatting>
  <conditionalFormatting sqref="A1869:N1870 A1928:A1929">
    <cfRule type="expression" dxfId="1" priority="238">
      <formula>UPPER($N1869)="NO"</formula>
    </cfRule>
  </conditionalFormatting>
  <conditionalFormatting sqref="A1866:N1868 A1925:A1927">
    <cfRule type="expression" dxfId="0" priority="239">
      <formula>UPPER($N1866)="SI"</formula>
    </cfRule>
  </conditionalFormatting>
  <conditionalFormatting sqref="A1866:A1868 A1925:A1927">
    <cfRule type="expression" dxfId="1" priority="240">
      <formula>" =N1="no" "</formula>
    </cfRule>
  </conditionalFormatting>
  <conditionalFormatting sqref="A1866:N1868 A1925:A1927">
    <cfRule type="expression" dxfId="1" priority="241">
      <formula>UPPER($N1866)="NO"</formula>
    </cfRule>
  </conditionalFormatting>
  <conditionalFormatting sqref="A1864:N1865 A1923:A1924">
    <cfRule type="expression" dxfId="0" priority="242">
      <formula>UPPER($N1864)="SI"</formula>
    </cfRule>
  </conditionalFormatting>
  <conditionalFormatting sqref="A1864:A1865 A1923:A1924">
    <cfRule type="expression" dxfId="1" priority="243">
      <formula>" =N1="no" "</formula>
    </cfRule>
  </conditionalFormatting>
  <conditionalFormatting sqref="A1864:N1865 A1923:A1924">
    <cfRule type="expression" dxfId="1" priority="244">
      <formula>UPPER($N1864)="NO"</formula>
    </cfRule>
  </conditionalFormatting>
  <conditionalFormatting sqref="A1862:N1863 A1921:A1922">
    <cfRule type="expression" dxfId="0" priority="245">
      <formula>UPPER($N1862)="SI"</formula>
    </cfRule>
  </conditionalFormatting>
  <conditionalFormatting sqref="A1862:A1863 A1921:A1922">
    <cfRule type="expression" dxfId="1" priority="246">
      <formula>" =N1="no" "</formula>
    </cfRule>
  </conditionalFormatting>
  <conditionalFormatting sqref="A1862:N1863 A1921:A1922">
    <cfRule type="expression" dxfId="1" priority="247">
      <formula>UPPER($N1862)="NO"</formula>
    </cfRule>
  </conditionalFormatting>
  <conditionalFormatting sqref="A1861:N1861 A1920">
    <cfRule type="expression" dxfId="0" priority="248">
      <formula>UPPER($N1861)="SI"</formula>
    </cfRule>
  </conditionalFormatting>
  <conditionalFormatting sqref="A1861 A1920">
    <cfRule type="expression" dxfId="1" priority="249">
      <formula>" =N1="no" "</formula>
    </cfRule>
  </conditionalFormatting>
  <conditionalFormatting sqref="A1861:N1861 A1920">
    <cfRule type="expression" dxfId="1" priority="250">
      <formula>UPPER($N1861)="NO"</formula>
    </cfRule>
  </conditionalFormatting>
  <conditionalFormatting sqref="A1857:N1860 A1916:A1919">
    <cfRule type="expression" dxfId="0" priority="251">
      <formula>UPPER($N1857)="SI"</formula>
    </cfRule>
  </conditionalFormatting>
  <conditionalFormatting sqref="A1857:A1860 A1916:A1919">
    <cfRule type="expression" dxfId="1" priority="252">
      <formula>" =N1="no" "</formula>
    </cfRule>
  </conditionalFormatting>
  <conditionalFormatting sqref="A1857:N1860 A1916:A1919">
    <cfRule type="expression" dxfId="1" priority="253">
      <formula>UPPER($N1857)="NO"</formula>
    </cfRule>
  </conditionalFormatting>
  <conditionalFormatting sqref="A1855:N1856 A1914:A1915">
    <cfRule type="expression" dxfId="0" priority="254">
      <formula>UPPER($N1855)="SI"</formula>
    </cfRule>
  </conditionalFormatting>
  <conditionalFormatting sqref="A1855:A1856 A1914:A1915">
    <cfRule type="expression" dxfId="1" priority="255">
      <formula>" =N1="no" "</formula>
    </cfRule>
  </conditionalFormatting>
  <conditionalFormatting sqref="A1855:N1856 A1914:A1915">
    <cfRule type="expression" dxfId="1" priority="256">
      <formula>UPPER($N1855)="NO"</formula>
    </cfRule>
  </conditionalFormatting>
  <conditionalFormatting sqref="A1850:N1854 A1909:A1913">
    <cfRule type="expression" dxfId="0" priority="257">
      <formula>UPPER($N1850)="SI"</formula>
    </cfRule>
  </conditionalFormatting>
  <conditionalFormatting sqref="A1850:A1854 A1909:A1913">
    <cfRule type="expression" dxfId="1" priority="258">
      <formula>" =N1="no" "</formula>
    </cfRule>
  </conditionalFormatting>
  <conditionalFormatting sqref="A1850:N1854 A1909:A1913">
    <cfRule type="expression" dxfId="1" priority="259">
      <formula>UPPER($N1850)="NO"</formula>
    </cfRule>
  </conditionalFormatting>
  <conditionalFormatting sqref="A1848:N1849 A1907:A1908">
    <cfRule type="expression" dxfId="0" priority="260">
      <formula>UPPER($N1848)="SI"</formula>
    </cfRule>
  </conditionalFormatting>
  <conditionalFormatting sqref="A1848:A1849 A1907:A1908">
    <cfRule type="expression" dxfId="1" priority="261">
      <formula>" =N1="no" "</formula>
    </cfRule>
  </conditionalFormatting>
  <conditionalFormatting sqref="A1848:N1849 A1907:A1908">
    <cfRule type="expression" dxfId="1" priority="262">
      <formula>UPPER($N1848)="NO"</formula>
    </cfRule>
  </conditionalFormatting>
  <conditionalFormatting sqref="A1846:N1847 A1905:A1906">
    <cfRule type="expression" dxfId="0" priority="263">
      <formula>UPPER($N1846)="SI"</formula>
    </cfRule>
  </conditionalFormatting>
  <conditionalFormatting sqref="A1846:A1847 A1905:A1906">
    <cfRule type="expression" dxfId="1" priority="264">
      <formula>" =N1="no" "</formula>
    </cfRule>
  </conditionalFormatting>
  <conditionalFormatting sqref="A1846:N1847 A1905:A1906">
    <cfRule type="expression" dxfId="1" priority="265">
      <formula>UPPER($N1846)="NO"</formula>
    </cfRule>
  </conditionalFormatting>
  <conditionalFormatting sqref="A1844:N1845 A1903:A1904">
    <cfRule type="expression" dxfId="0" priority="266">
      <formula>UPPER($N1844)="SI"</formula>
    </cfRule>
  </conditionalFormatting>
  <conditionalFormatting sqref="A1844:A1845 A1903:A1904">
    <cfRule type="expression" dxfId="1" priority="267">
      <formula>" =N1="no" "</formula>
    </cfRule>
  </conditionalFormatting>
  <conditionalFormatting sqref="A1844:N1845 A1903:A1904">
    <cfRule type="expression" dxfId="1" priority="268">
      <formula>UPPER($N1844)="NO"</formula>
    </cfRule>
  </conditionalFormatting>
  <conditionalFormatting sqref="A1843:N1843 A1902">
    <cfRule type="expression" dxfId="0" priority="269">
      <formula>UPPER($N1843)="SI"</formula>
    </cfRule>
  </conditionalFormatting>
  <conditionalFormatting sqref="A1843 A1902">
    <cfRule type="expression" dxfId="1" priority="270">
      <formula>" =N1="no" "</formula>
    </cfRule>
  </conditionalFormatting>
  <conditionalFormatting sqref="A1843:N1843 A1902">
    <cfRule type="expression" dxfId="1" priority="271">
      <formula>UPPER($N1843)="NO"</formula>
    </cfRule>
  </conditionalFormatting>
  <conditionalFormatting sqref="A1842:N1842 A1901">
    <cfRule type="expression" dxfId="0" priority="272">
      <formula>UPPER($N1842)="SI"</formula>
    </cfRule>
  </conditionalFormatting>
  <conditionalFormatting sqref="A1842 A1901">
    <cfRule type="expression" dxfId="1" priority="273">
      <formula>" =N1="no" "</formula>
    </cfRule>
  </conditionalFormatting>
  <conditionalFormatting sqref="A1842:N1842 A1901">
    <cfRule type="expression" dxfId="1" priority="274">
      <formula>UPPER($N1842)="NO"</formula>
    </cfRule>
  </conditionalFormatting>
  <conditionalFormatting sqref="A1841:N1841 A1900">
    <cfRule type="expression" dxfId="0" priority="275">
      <formula>UPPER($N1841)="SI"</formula>
    </cfRule>
  </conditionalFormatting>
  <conditionalFormatting sqref="A1841 A1900">
    <cfRule type="expression" dxfId="1" priority="276">
      <formula>" =N1="no" "</formula>
    </cfRule>
  </conditionalFormatting>
  <conditionalFormatting sqref="A1841:N1841 A1900">
    <cfRule type="expression" dxfId="1" priority="277">
      <formula>UPPER($N1841)="NO"</formula>
    </cfRule>
  </conditionalFormatting>
  <conditionalFormatting sqref="A1840:N1840 A1899">
    <cfRule type="expression" dxfId="0" priority="278">
      <formula>UPPER($N1840)="SI"</formula>
    </cfRule>
  </conditionalFormatting>
  <conditionalFormatting sqref="A1840 A1899">
    <cfRule type="expression" dxfId="1" priority="279">
      <formula>" =N1="no" "</formula>
    </cfRule>
  </conditionalFormatting>
  <conditionalFormatting sqref="A1840:N1840 A1899">
    <cfRule type="expression" dxfId="1" priority="280">
      <formula>UPPER($N1840)="NO"</formula>
    </cfRule>
  </conditionalFormatting>
  <conditionalFormatting sqref="A1836:N1839 A1895:A1898">
    <cfRule type="expression" dxfId="0" priority="281">
      <formula>UPPER($N1836)="SI"</formula>
    </cfRule>
  </conditionalFormatting>
  <conditionalFormatting sqref="A1836:A1839 A1895:A1898">
    <cfRule type="expression" dxfId="1" priority="282">
      <formula>" =N1="no" "</formula>
    </cfRule>
  </conditionalFormatting>
  <conditionalFormatting sqref="A1836:N1839 A1895:A1898">
    <cfRule type="expression" dxfId="1" priority="283">
      <formula>UPPER($N1836)="NO"</formula>
    </cfRule>
  </conditionalFormatting>
  <conditionalFormatting sqref="A1834:N1835 A1893:A1894">
    <cfRule type="expression" dxfId="0" priority="284">
      <formula>UPPER($N1834)="SI"</formula>
    </cfRule>
  </conditionalFormatting>
  <conditionalFormatting sqref="A1834:A1835 A1893:A1894">
    <cfRule type="expression" dxfId="1" priority="285">
      <formula>" =N1="no" "</formula>
    </cfRule>
  </conditionalFormatting>
  <conditionalFormatting sqref="A1834:N1835 A1893:A1894">
    <cfRule type="expression" dxfId="1" priority="286">
      <formula>UPPER($N1834)="NO"</formula>
    </cfRule>
  </conditionalFormatting>
  <conditionalFormatting sqref="A1832:N1833 A1891:A1892">
    <cfRule type="expression" dxfId="0" priority="287">
      <formula>UPPER($N1832)="SI"</formula>
    </cfRule>
  </conditionalFormatting>
  <conditionalFormatting sqref="A1832:A1833 A1891:A1892">
    <cfRule type="expression" dxfId="1" priority="288">
      <formula>" =N1="no" "</formula>
    </cfRule>
  </conditionalFormatting>
  <conditionalFormatting sqref="A1832:N1833 A1891:A1892">
    <cfRule type="expression" dxfId="1" priority="289">
      <formula>UPPER($N1832)="NO"</formula>
    </cfRule>
  </conditionalFormatting>
  <conditionalFormatting sqref="A1831:N1831 A1890">
    <cfRule type="expression" dxfId="0" priority="290">
      <formula>UPPER($N1831)="SI"</formula>
    </cfRule>
  </conditionalFormatting>
  <conditionalFormatting sqref="A1831 A1890">
    <cfRule type="expression" dxfId="1" priority="291">
      <formula>" =N1="no" "</formula>
    </cfRule>
  </conditionalFormatting>
  <conditionalFormatting sqref="A1831:N1831 A1890">
    <cfRule type="expression" dxfId="1" priority="292">
      <formula>UPPER($N1831)="NO"</formula>
    </cfRule>
  </conditionalFormatting>
  <conditionalFormatting sqref="A1823:N1830 A1882:A1889">
    <cfRule type="expression" dxfId="0" priority="293">
      <formula>UPPER($N1823)="SI"</formula>
    </cfRule>
  </conditionalFormatting>
  <conditionalFormatting sqref="A1823:A1830 A1882:A1889">
    <cfRule type="expression" dxfId="1" priority="294">
      <formula>" =N1="no" "</formula>
    </cfRule>
  </conditionalFormatting>
  <conditionalFormatting sqref="A1823:N1830 A1882:A1889">
    <cfRule type="expression" dxfId="1" priority="295">
      <formula>UPPER($N1823)="NO"</formula>
    </cfRule>
  </conditionalFormatting>
  <conditionalFormatting sqref="A1821:N1822 A1880:A1881">
    <cfRule type="expression" dxfId="0" priority="296">
      <formula>UPPER($N1821)="SI"</formula>
    </cfRule>
  </conditionalFormatting>
  <conditionalFormatting sqref="A1821:A1822 A1880:A1881">
    <cfRule type="expression" dxfId="1" priority="297">
      <formula>" =N1="no" "</formula>
    </cfRule>
  </conditionalFormatting>
  <conditionalFormatting sqref="A1821:N1822 A1880:A1881">
    <cfRule type="expression" dxfId="1" priority="298">
      <formula>UPPER($N1821)="NO"</formula>
    </cfRule>
  </conditionalFormatting>
  <conditionalFormatting sqref="A1819:N1820 A1879">
    <cfRule type="expression" dxfId="0" priority="299">
      <formula>UPPER($N1819)="SI"</formula>
    </cfRule>
  </conditionalFormatting>
  <conditionalFormatting sqref="A1819:A1820 A1879">
    <cfRule type="expression" dxfId="1" priority="300">
      <formula>" =N1="no" "</formula>
    </cfRule>
  </conditionalFormatting>
  <conditionalFormatting sqref="A1819:N1820 A1879">
    <cfRule type="expression" dxfId="1" priority="301">
      <formula>UPPER($N1819)="NO"</formula>
    </cfRule>
  </conditionalFormatting>
  <conditionalFormatting sqref="A1811:N1818 A1878">
    <cfRule type="expression" dxfId="0" priority="302">
      <formula>UPPER($N1811)="SI"</formula>
    </cfRule>
  </conditionalFormatting>
  <conditionalFormatting sqref="A1811:A1818 A1878">
    <cfRule type="expression" dxfId="1" priority="303">
      <formula>" =N1="no" "</formula>
    </cfRule>
  </conditionalFormatting>
  <conditionalFormatting sqref="A1811:N1818 A1878">
    <cfRule type="expression" dxfId="1" priority="304">
      <formula>UPPER($N1811)="NO"</formula>
    </cfRule>
  </conditionalFormatting>
  <conditionalFormatting sqref="A1810:N1810">
    <cfRule type="expression" dxfId="0" priority="305">
      <formula>UPPER($N1810)="SI"</formula>
    </cfRule>
  </conditionalFormatting>
  <conditionalFormatting sqref="A1810">
    <cfRule type="expression" dxfId="1" priority="306">
      <formula>" =N1="no" "</formula>
    </cfRule>
  </conditionalFormatting>
  <conditionalFormatting sqref="A1810:N1810">
    <cfRule type="expression" dxfId="1" priority="307">
      <formula>UPPER($N1810)="NO"</formula>
    </cfRule>
  </conditionalFormatting>
  <conditionalFormatting sqref="A1804:N1809 A1866:A1871">
    <cfRule type="expression" dxfId="0" priority="308">
      <formula>UPPER($N1804)="SI"</formula>
    </cfRule>
  </conditionalFormatting>
  <conditionalFormatting sqref="A1804:A1809 A1866:A1871">
    <cfRule type="expression" dxfId="1" priority="309">
      <formula>" =N1="no" "</formula>
    </cfRule>
  </conditionalFormatting>
  <conditionalFormatting sqref="A1804:N1809 A1866:A1871">
    <cfRule type="expression" dxfId="1" priority="310">
      <formula>UPPER($N1804)="NO"</formula>
    </cfRule>
  </conditionalFormatting>
  <conditionalFormatting sqref="A1796:N1803 A1864:A1865">
    <cfRule type="expression" dxfId="0" priority="311">
      <formula>UPPER($N1796)="SI"</formula>
    </cfRule>
  </conditionalFormatting>
  <conditionalFormatting sqref="A1796:A1803 A1864:A1865">
    <cfRule type="expression" dxfId="1" priority="312">
      <formula>" =N1="no" "</formula>
    </cfRule>
  </conditionalFormatting>
  <conditionalFormatting sqref="A1796:N1803 A1864:A1865">
    <cfRule type="expression" dxfId="1" priority="313">
      <formula>UPPER($N1796)="NO"</formula>
    </cfRule>
  </conditionalFormatting>
  <conditionalFormatting sqref="A1795:N1795 A1860">
    <cfRule type="expression" dxfId="0" priority="314">
      <formula>UPPER($N1795)="SI"</formula>
    </cfRule>
  </conditionalFormatting>
  <conditionalFormatting sqref="A1795 A1860">
    <cfRule type="expression" dxfId="1" priority="315">
      <formula>" =N1="no" "</formula>
    </cfRule>
  </conditionalFormatting>
  <conditionalFormatting sqref="A1795:N1795 A1860">
    <cfRule type="expression" dxfId="1" priority="316">
      <formula>UPPER($N1795)="NO"</formula>
    </cfRule>
  </conditionalFormatting>
  <conditionalFormatting sqref="A1792:N1794 A1858:A1859">
    <cfRule type="expression" dxfId="0" priority="317">
      <formula>UPPER($N1792)="SI"</formula>
    </cfRule>
  </conditionalFormatting>
  <conditionalFormatting sqref="A1792:A1794 A1858:A1859">
    <cfRule type="expression" dxfId="1" priority="318">
      <formula>" =N1="no" "</formula>
    </cfRule>
  </conditionalFormatting>
  <conditionalFormatting sqref="A1792:N1794 A1858:A1859">
    <cfRule type="expression" dxfId="1" priority="319">
      <formula>UPPER($N1792)="NO"</formula>
    </cfRule>
  </conditionalFormatting>
  <conditionalFormatting sqref="A1791:N1791">
    <cfRule type="expression" dxfId="0" priority="320">
      <formula>UPPER($N1791)="SI"</formula>
    </cfRule>
  </conditionalFormatting>
  <conditionalFormatting sqref="A1791">
    <cfRule type="expression" dxfId="1" priority="321">
      <formula>" =N1="no" "</formula>
    </cfRule>
  </conditionalFormatting>
  <conditionalFormatting sqref="A1791:N1791">
    <cfRule type="expression" dxfId="1" priority="322">
      <formula>UPPER($N1791)="NO"</formula>
    </cfRule>
  </conditionalFormatting>
  <conditionalFormatting sqref="A1788:N1790 A1857">
    <cfRule type="expression" dxfId="0" priority="323">
      <formula>UPPER($N1788)="SI"</formula>
    </cfRule>
  </conditionalFormatting>
  <conditionalFormatting sqref="A1788:A1790 A1857">
    <cfRule type="expression" dxfId="1" priority="324">
      <formula>" =N1="no" "</formula>
    </cfRule>
  </conditionalFormatting>
  <conditionalFormatting sqref="A1788:N1790 A1857">
    <cfRule type="expression" dxfId="1" priority="325">
      <formula>UPPER($N1788)="NO"</formula>
    </cfRule>
  </conditionalFormatting>
  <conditionalFormatting sqref="A1787:N1787 A1856">
    <cfRule type="expression" dxfId="0" priority="326">
      <formula>UPPER($N1787)="SI"</formula>
    </cfRule>
  </conditionalFormatting>
  <conditionalFormatting sqref="A1787 A1856">
    <cfRule type="expression" dxfId="1" priority="327">
      <formula>" =N1="no" "</formula>
    </cfRule>
  </conditionalFormatting>
  <conditionalFormatting sqref="A1787:N1787 A1856">
    <cfRule type="expression" dxfId="1" priority="328">
      <formula>UPPER($N1787)="NO"</formula>
    </cfRule>
  </conditionalFormatting>
  <conditionalFormatting sqref="A1785:N1786">
    <cfRule type="expression" dxfId="0" priority="329">
      <formula>UPPER($N1785)="SI"</formula>
    </cfRule>
  </conditionalFormatting>
  <conditionalFormatting sqref="A1785:A1786">
    <cfRule type="expression" dxfId="1" priority="330">
      <formula>" =N1="no" "</formula>
    </cfRule>
  </conditionalFormatting>
  <conditionalFormatting sqref="A1785:N1786">
    <cfRule type="expression" dxfId="1" priority="331">
      <formula>UPPER($N1785)="NO"</formula>
    </cfRule>
  </conditionalFormatting>
  <conditionalFormatting sqref="A1784:N1784 A1855">
    <cfRule type="expression" dxfId="0" priority="332">
      <formula>UPPER($N1784)="SI"</formula>
    </cfRule>
  </conditionalFormatting>
  <conditionalFormatting sqref="A1784 A1855">
    <cfRule type="expression" dxfId="1" priority="333">
      <formula>" =N1="no" "</formula>
    </cfRule>
  </conditionalFormatting>
  <conditionalFormatting sqref="A1784:N1784 A1855">
    <cfRule type="expression" dxfId="1" priority="334">
      <formula>UPPER($N1784)="NO"</formula>
    </cfRule>
  </conditionalFormatting>
  <conditionalFormatting sqref="A1782:N1783 A1853:A1854">
    <cfRule type="expression" dxfId="0" priority="335">
      <formula>UPPER($N1782)="SI"</formula>
    </cfRule>
  </conditionalFormatting>
  <conditionalFormatting sqref="A1782:A1783 A1853:A1854">
    <cfRule type="expression" dxfId="1" priority="336">
      <formula>" =N1="no" "</formula>
    </cfRule>
  </conditionalFormatting>
  <conditionalFormatting sqref="A1782:N1783 A1853:A1854">
    <cfRule type="expression" dxfId="1" priority="337">
      <formula>UPPER($N1782)="NO"</formula>
    </cfRule>
  </conditionalFormatting>
  <conditionalFormatting sqref="A1781:N1781 A1852">
    <cfRule type="expression" dxfId="0" priority="338">
      <formula>UPPER($N1781)="SI"</formula>
    </cfRule>
  </conditionalFormatting>
  <conditionalFormatting sqref="A1781 A1852">
    <cfRule type="expression" dxfId="1" priority="339">
      <formula>" =N1="no" "</formula>
    </cfRule>
  </conditionalFormatting>
  <conditionalFormatting sqref="A1781:N1781 A1852">
    <cfRule type="expression" dxfId="1" priority="340">
      <formula>UPPER($N1781)="NO"</formula>
    </cfRule>
  </conditionalFormatting>
  <conditionalFormatting sqref="A1779:N1780 A1850:A1851">
    <cfRule type="expression" dxfId="0" priority="341">
      <formula>UPPER($N1779)="SI"</formula>
    </cfRule>
  </conditionalFormatting>
  <conditionalFormatting sqref="A1779:A1780 A1850:A1851">
    <cfRule type="expression" dxfId="1" priority="342">
      <formula>" =N1="no" "</formula>
    </cfRule>
  </conditionalFormatting>
  <conditionalFormatting sqref="A1779:N1780 A1850:A1851">
    <cfRule type="expression" dxfId="1" priority="343">
      <formula>UPPER($N1779)="NO"</formula>
    </cfRule>
  </conditionalFormatting>
  <conditionalFormatting sqref="A1770:N1778 A1848:A1849">
    <cfRule type="expression" dxfId="0" priority="344">
      <formula>UPPER($N1770)="SI"</formula>
    </cfRule>
  </conditionalFormatting>
  <conditionalFormatting sqref="A1770:A1778 A1848:A1849">
    <cfRule type="expression" dxfId="1" priority="345">
      <formula>" =N1="no" "</formula>
    </cfRule>
  </conditionalFormatting>
  <conditionalFormatting sqref="A1770:N1778 A1848:A1849">
    <cfRule type="expression" dxfId="1" priority="346">
      <formula>UPPER($N1770)="NO"</formula>
    </cfRule>
  </conditionalFormatting>
  <conditionalFormatting sqref="A1768:N1769 A1845">
    <cfRule type="expression" dxfId="0" priority="347">
      <formula>UPPER($N1768)="SI"</formula>
    </cfRule>
  </conditionalFormatting>
  <conditionalFormatting sqref="A1768:A1769 A1845">
    <cfRule type="expression" dxfId="1" priority="348">
      <formula>" =N1="no" "</formula>
    </cfRule>
  </conditionalFormatting>
  <conditionalFormatting sqref="A1768:N1769 A1845">
    <cfRule type="expression" dxfId="1" priority="349">
      <formula>UPPER($N1768)="NO"</formula>
    </cfRule>
  </conditionalFormatting>
  <conditionalFormatting sqref="A1767:N1767 A1844">
    <cfRule type="expression" dxfId="0" priority="350">
      <formula>UPPER($N1767)="SI"</formula>
    </cfRule>
  </conditionalFormatting>
  <conditionalFormatting sqref="A1767 A1844">
    <cfRule type="expression" dxfId="1" priority="351">
      <formula>" =N1="no" "</formula>
    </cfRule>
  </conditionalFormatting>
  <conditionalFormatting sqref="A1767:N1767 A1844">
    <cfRule type="expression" dxfId="1" priority="352">
      <formula>UPPER($N1767)="NO"</formula>
    </cfRule>
  </conditionalFormatting>
  <conditionalFormatting sqref="A1764:N1766 A1843">
    <cfRule type="expression" dxfId="0" priority="353">
      <formula>UPPER($N1764)="SI"</formula>
    </cfRule>
  </conditionalFormatting>
  <conditionalFormatting sqref="A1764:A1766 A1843">
    <cfRule type="expression" dxfId="1" priority="354">
      <formula>" =N1="no" "</formula>
    </cfRule>
  </conditionalFormatting>
  <conditionalFormatting sqref="A1764:N1766 A1843">
    <cfRule type="expression" dxfId="1" priority="355">
      <formula>UPPER($N1764)="NO"</formula>
    </cfRule>
  </conditionalFormatting>
  <conditionalFormatting sqref="A1761:N1763 A1842">
    <cfRule type="expression" dxfId="0" priority="356">
      <formula>UPPER($N1761)="SI"</formula>
    </cfRule>
  </conditionalFormatting>
  <conditionalFormatting sqref="A1761:A1763 A1842">
    <cfRule type="expression" dxfId="1" priority="357">
      <formula>" =N1="no" "</formula>
    </cfRule>
  </conditionalFormatting>
  <conditionalFormatting sqref="A1761:N1763 A1842">
    <cfRule type="expression" dxfId="1" priority="358">
      <formula>UPPER($N1761)="NO"</formula>
    </cfRule>
  </conditionalFormatting>
  <conditionalFormatting sqref="A1760:N1760">
    <cfRule type="expression" dxfId="0" priority="359">
      <formula>UPPER($N1760)="SI"</formula>
    </cfRule>
  </conditionalFormatting>
  <conditionalFormatting sqref="A1760">
    <cfRule type="expression" dxfId="1" priority="360">
      <formula>" =N1="no" "</formula>
    </cfRule>
  </conditionalFormatting>
  <conditionalFormatting sqref="A1760:N1760">
    <cfRule type="expression" dxfId="1" priority="361">
      <formula>UPPER($N1760)="NO"</formula>
    </cfRule>
  </conditionalFormatting>
  <conditionalFormatting sqref="A1758:N1759">
    <cfRule type="expression" dxfId="0" priority="362">
      <formula>UPPER($N1758)="SI"</formula>
    </cfRule>
  </conditionalFormatting>
  <conditionalFormatting sqref="A1758:A1759">
    <cfRule type="expression" dxfId="1" priority="363">
      <formula>" =N1="no" "</formula>
    </cfRule>
  </conditionalFormatting>
  <conditionalFormatting sqref="A1758:N1759">
    <cfRule type="expression" dxfId="1" priority="364">
      <formula>UPPER($N1758)="NO"</formula>
    </cfRule>
  </conditionalFormatting>
  <conditionalFormatting sqref="A1751:N1757 A1840:A1841">
    <cfRule type="expression" dxfId="0" priority="365">
      <formula>UPPER($N1751)="SI"</formula>
    </cfRule>
  </conditionalFormatting>
  <conditionalFormatting sqref="A1751:A1757 A1840:A1841">
    <cfRule type="expression" dxfId="1" priority="366">
      <formula>" =N1="no" "</formula>
    </cfRule>
  </conditionalFormatting>
  <conditionalFormatting sqref="A1751:N1757 A1840:A1841">
    <cfRule type="expression" dxfId="1" priority="367">
      <formula>UPPER($N1751)="NO"</formula>
    </cfRule>
  </conditionalFormatting>
  <conditionalFormatting sqref="A1750:N1750 A1836">
    <cfRule type="expression" dxfId="0" priority="368">
      <formula>UPPER($N1750)="SI"</formula>
    </cfRule>
  </conditionalFormatting>
  <conditionalFormatting sqref="A1750 A1836">
    <cfRule type="expression" dxfId="1" priority="369">
      <formula>" =N1="no" "</formula>
    </cfRule>
  </conditionalFormatting>
  <conditionalFormatting sqref="A1750:N1750 A1836">
    <cfRule type="expression" dxfId="1" priority="370">
      <formula>UPPER($N1750)="NO"</formula>
    </cfRule>
  </conditionalFormatting>
  <conditionalFormatting sqref="A1749:N1749">
    <cfRule type="expression" dxfId="0" priority="371">
      <formula>UPPER($N1749)="SI"</formula>
    </cfRule>
  </conditionalFormatting>
  <conditionalFormatting sqref="A1749">
    <cfRule type="expression" dxfId="1" priority="372">
      <formula>" =N1="no" "</formula>
    </cfRule>
  </conditionalFormatting>
  <conditionalFormatting sqref="A1749:N1749">
    <cfRule type="expression" dxfId="1" priority="373">
      <formula>UPPER($N1749)="NO"</formula>
    </cfRule>
  </conditionalFormatting>
  <conditionalFormatting sqref="A1748:N1748 A1835">
    <cfRule type="expression" dxfId="0" priority="374">
      <formula>UPPER($N1748)="SI"</formula>
    </cfRule>
  </conditionalFormatting>
  <conditionalFormatting sqref="A1748 A1835">
    <cfRule type="expression" dxfId="1" priority="375">
      <formula>" =N1="no" "</formula>
    </cfRule>
  </conditionalFormatting>
  <conditionalFormatting sqref="A1748:N1748 A1835">
    <cfRule type="expression" dxfId="1" priority="376">
      <formula>UPPER($N1748)="NO"</formula>
    </cfRule>
  </conditionalFormatting>
  <conditionalFormatting sqref="A1745:N1747 A1834">
    <cfRule type="expression" dxfId="0" priority="377">
      <formula>UPPER($N1745)="SI"</formula>
    </cfRule>
  </conditionalFormatting>
  <conditionalFormatting sqref="A1745:A1747 A1834">
    <cfRule type="expression" dxfId="1" priority="378">
      <formula>" =N1="no" "</formula>
    </cfRule>
  </conditionalFormatting>
  <conditionalFormatting sqref="A1745:N1747 A1834">
    <cfRule type="expression" dxfId="1" priority="379">
      <formula>UPPER($N1745)="NO"</formula>
    </cfRule>
  </conditionalFormatting>
  <conditionalFormatting sqref="A1743:N1744 A1831:A1832">
    <cfRule type="expression" dxfId="0" priority="380">
      <formula>UPPER($N1743)="SI"</formula>
    </cfRule>
  </conditionalFormatting>
  <conditionalFormatting sqref="A1743:A1744 A1831:A1832">
    <cfRule type="expression" dxfId="1" priority="381">
      <formula>" =N1="no" "</formula>
    </cfRule>
  </conditionalFormatting>
  <conditionalFormatting sqref="A1743:N1744 A1831:A1832">
    <cfRule type="expression" dxfId="1" priority="382">
      <formula>UPPER($N1743)="NO"</formula>
    </cfRule>
  </conditionalFormatting>
  <conditionalFormatting sqref="A1740:N1742 A1830">
    <cfRule type="expression" dxfId="0" priority="383">
      <formula>UPPER($N1740)="SI"</formula>
    </cfRule>
  </conditionalFormatting>
  <conditionalFormatting sqref="A1740:A1742 A1830">
    <cfRule type="expression" dxfId="1" priority="384">
      <formula>" =N1="no" "</formula>
    </cfRule>
  </conditionalFormatting>
  <conditionalFormatting sqref="A1740:N1742 A1830">
    <cfRule type="expression" dxfId="1" priority="385">
      <formula>UPPER($N1740)="NO"</formula>
    </cfRule>
  </conditionalFormatting>
  <conditionalFormatting sqref="A1739:N1739">
    <cfRule type="expression" dxfId="0" priority="386">
      <formula>UPPER($N1739)="SI"</formula>
    </cfRule>
  </conditionalFormatting>
  <conditionalFormatting sqref="A1739">
    <cfRule type="expression" dxfId="1" priority="387">
      <formula>" =N1="no" "</formula>
    </cfRule>
  </conditionalFormatting>
  <conditionalFormatting sqref="A1739:N1739">
    <cfRule type="expression" dxfId="1" priority="388">
      <formula>UPPER($N1739)="NO"</formula>
    </cfRule>
  </conditionalFormatting>
  <conditionalFormatting sqref="A1737:N1738 A1827:A1828">
    <cfRule type="expression" dxfId="0" priority="389">
      <formula>UPPER($N1737)="SI"</formula>
    </cfRule>
  </conditionalFormatting>
  <conditionalFormatting sqref="A1737:A1738 A1827:A1828">
    <cfRule type="expression" dxfId="1" priority="390">
      <formula>" =N1="no" "</formula>
    </cfRule>
  </conditionalFormatting>
  <conditionalFormatting sqref="A1737:N1738 A1827:A1828">
    <cfRule type="expression" dxfId="1" priority="391">
      <formula>UPPER($N1737)="NO"</formula>
    </cfRule>
  </conditionalFormatting>
  <conditionalFormatting sqref="A1736:N1736 A1826">
    <cfRule type="expression" dxfId="0" priority="392">
      <formula>UPPER($N1736)="SI"</formula>
    </cfRule>
  </conditionalFormatting>
  <conditionalFormatting sqref="A1736 A1826">
    <cfRule type="expression" dxfId="1" priority="393">
      <formula>" =N1="no" "</formula>
    </cfRule>
  </conditionalFormatting>
  <conditionalFormatting sqref="A1736:N1736 A1826">
    <cfRule type="expression" dxfId="1" priority="394">
      <formula>UPPER($N1736)="NO"</formula>
    </cfRule>
  </conditionalFormatting>
  <conditionalFormatting sqref="A1734:N1735 A1825">
    <cfRule type="expression" dxfId="0" priority="395">
      <formula>UPPER($N1734)="SI"</formula>
    </cfRule>
  </conditionalFormatting>
  <conditionalFormatting sqref="A1734:A1735 A1825">
    <cfRule type="expression" dxfId="1" priority="396">
      <formula>" =N1="no" "</formula>
    </cfRule>
  </conditionalFormatting>
  <conditionalFormatting sqref="A1734:N1735 A1825">
    <cfRule type="expression" dxfId="1" priority="397">
      <formula>UPPER($N1734)="NO"</formula>
    </cfRule>
  </conditionalFormatting>
  <conditionalFormatting sqref="A1732:N1733 A1823:A1824">
    <cfRule type="expression" dxfId="0" priority="398">
      <formula>UPPER($N1732)="SI"</formula>
    </cfRule>
  </conditionalFormatting>
  <conditionalFormatting sqref="A1732:A1733 A1823:A1824">
    <cfRule type="expression" dxfId="1" priority="399">
      <formula>" =N1="no" "</formula>
    </cfRule>
  </conditionalFormatting>
  <conditionalFormatting sqref="A1732:N1733 A1823:A1824">
    <cfRule type="expression" dxfId="1" priority="400">
      <formula>UPPER($N1732)="NO"</formula>
    </cfRule>
  </conditionalFormatting>
  <conditionalFormatting sqref="A1731:N1731 A1822">
    <cfRule type="expression" dxfId="0" priority="401">
      <formula>UPPER($N1731)="SI"</formula>
    </cfRule>
  </conditionalFormatting>
  <conditionalFormatting sqref="A1731 A1822">
    <cfRule type="expression" dxfId="1" priority="402">
      <formula>" =N1="no" "</formula>
    </cfRule>
  </conditionalFormatting>
  <conditionalFormatting sqref="A1731:N1731 A1822">
    <cfRule type="expression" dxfId="1" priority="403">
      <formula>UPPER($N1731)="NO"</formula>
    </cfRule>
  </conditionalFormatting>
  <conditionalFormatting sqref="A1729:N1730">
    <cfRule type="expression" dxfId="0" priority="404">
      <formula>UPPER($N1729)="SI"</formula>
    </cfRule>
  </conditionalFormatting>
  <conditionalFormatting sqref="A1729:A1730">
    <cfRule type="expression" dxfId="1" priority="405">
      <formula>" =N1="no" "</formula>
    </cfRule>
  </conditionalFormatting>
  <conditionalFormatting sqref="A1729:N1730">
    <cfRule type="expression" dxfId="1" priority="406">
      <formula>UPPER($N1729)="NO"</formula>
    </cfRule>
  </conditionalFormatting>
  <conditionalFormatting sqref="A1728:N1728 A1821">
    <cfRule type="expression" dxfId="0" priority="407">
      <formula>UPPER($N1728)="SI"</formula>
    </cfRule>
  </conditionalFormatting>
  <conditionalFormatting sqref="A1728 A1821">
    <cfRule type="expression" dxfId="1" priority="408">
      <formula>" =N1="no" "</formula>
    </cfRule>
  </conditionalFormatting>
  <conditionalFormatting sqref="A1728:N1728 A1821">
    <cfRule type="expression" dxfId="1" priority="409">
      <formula>UPPER($N1728)="NO"</formula>
    </cfRule>
  </conditionalFormatting>
  <conditionalFormatting sqref="A1727:N1727 A1820">
    <cfRule type="expression" dxfId="0" priority="410">
      <formula>UPPER($N1727)="SI"</formula>
    </cfRule>
  </conditionalFormatting>
  <conditionalFormatting sqref="A1727 A1820">
    <cfRule type="expression" dxfId="1" priority="411">
      <formula>" =N1="no" "</formula>
    </cfRule>
  </conditionalFormatting>
  <conditionalFormatting sqref="A1727:N1727 A1820">
    <cfRule type="expression" dxfId="1" priority="412">
      <formula>UPPER($N1727)="NO"</formula>
    </cfRule>
  </conditionalFormatting>
  <conditionalFormatting sqref="A1725:N1726 A1818">
    <cfRule type="expression" dxfId="0" priority="413">
      <formula>UPPER($N1725)="SI"</formula>
    </cfRule>
  </conditionalFormatting>
  <conditionalFormatting sqref="A1725:A1726 J1725 A1818">
    <cfRule type="expression" dxfId="1" priority="414">
      <formula>" =N1="no" "</formula>
    </cfRule>
  </conditionalFormatting>
  <conditionalFormatting sqref="A1725:N1726 A1818">
    <cfRule type="expression" dxfId="1" priority="415">
      <formula>UPPER($N1725)="NO"</formula>
    </cfRule>
  </conditionalFormatting>
  <conditionalFormatting sqref="A1724:N1724">
    <cfRule type="expression" dxfId="0" priority="416">
      <formula>UPPER($N1724)="SI"</formula>
    </cfRule>
  </conditionalFormatting>
  <conditionalFormatting sqref="A1724">
    <cfRule type="expression" dxfId="1" priority="417">
      <formula>" =N1="no" "</formula>
    </cfRule>
  </conditionalFormatting>
  <conditionalFormatting sqref="A1724:N1724">
    <cfRule type="expression" dxfId="1" priority="418">
      <formula>UPPER($N1724)="NO"</formula>
    </cfRule>
  </conditionalFormatting>
  <conditionalFormatting sqref="A1714:N1723 A1815">
    <cfRule type="expression" dxfId="0" priority="419">
      <formula>UPPER($N1714)="SI"</formula>
    </cfRule>
  </conditionalFormatting>
  <conditionalFormatting sqref="A1714:A1723 A1815">
    <cfRule type="expression" dxfId="1" priority="420">
      <formula>" =N1="no" "</formula>
    </cfRule>
  </conditionalFormatting>
  <conditionalFormatting sqref="A1714:N1723 A1815">
    <cfRule type="expression" dxfId="1" priority="421">
      <formula>UPPER($N1714)="NO"</formula>
    </cfRule>
  </conditionalFormatting>
  <conditionalFormatting sqref="A1707:N1713 A1811">
    <cfRule type="expression" dxfId="0" priority="422">
      <formula>UPPER($N1707)="SI"</formula>
    </cfRule>
  </conditionalFormatting>
  <conditionalFormatting sqref="A1707:A1713 A1811">
    <cfRule type="expression" dxfId="1" priority="423">
      <formula>" =N1="no" "</formula>
    </cfRule>
  </conditionalFormatting>
  <conditionalFormatting sqref="A1707:N1713 A1811">
    <cfRule type="expression" dxfId="1" priority="424">
      <formula>UPPER($N1707)="NO"</formula>
    </cfRule>
  </conditionalFormatting>
  <conditionalFormatting sqref="A1706:N1706">
    <cfRule type="expression" dxfId="0" priority="425">
      <formula>UPPER($N1706)="SI"</formula>
    </cfRule>
  </conditionalFormatting>
  <conditionalFormatting sqref="A1706">
    <cfRule type="expression" dxfId="1" priority="426">
      <formula>" =N1="no" "</formula>
    </cfRule>
  </conditionalFormatting>
  <conditionalFormatting sqref="A1706:N1706">
    <cfRule type="expression" dxfId="1" priority="427">
      <formula>UPPER($N1706)="NO"</formula>
    </cfRule>
  </conditionalFormatting>
  <conditionalFormatting sqref="A1703:N1705">
    <cfRule type="expression" dxfId="0" priority="428">
      <formula>UPPER($N1703)="SI"</formula>
    </cfRule>
  </conditionalFormatting>
  <conditionalFormatting sqref="A1703:A1705">
    <cfRule type="expression" dxfId="1" priority="429">
      <formula>" =N1="no" "</formula>
    </cfRule>
  </conditionalFormatting>
  <conditionalFormatting sqref="A1703:N1705">
    <cfRule type="expression" dxfId="1" priority="430">
      <formula>UPPER($N1703)="NO"</formula>
    </cfRule>
  </conditionalFormatting>
  <conditionalFormatting sqref="A1699:N1702 A1806">
    <cfRule type="expression" dxfId="0" priority="431">
      <formula>UPPER($N1699)="SI"</formula>
    </cfRule>
  </conditionalFormatting>
  <conditionalFormatting sqref="A1699:A1702 A1806">
    <cfRule type="expression" dxfId="1" priority="432">
      <formula>" =N1="no" "</formula>
    </cfRule>
  </conditionalFormatting>
  <conditionalFormatting sqref="A1699:N1702 A1806">
    <cfRule type="expression" dxfId="1" priority="433">
      <formula>UPPER($N1699)="NO"</formula>
    </cfRule>
  </conditionalFormatting>
  <conditionalFormatting sqref="A1693:N1698 A1803:A1805">
    <cfRule type="expression" dxfId="0" priority="434">
      <formula>UPPER($N1693)="SI"</formula>
    </cfRule>
  </conditionalFormatting>
  <conditionalFormatting sqref="A1693:A1698 A1803:A1805">
    <cfRule type="expression" dxfId="1" priority="435">
      <formula>" =N1="no" "</formula>
    </cfRule>
  </conditionalFormatting>
  <conditionalFormatting sqref="A1693:N1698 A1803:A1805">
    <cfRule type="expression" dxfId="1" priority="436">
      <formula>UPPER($N1693)="NO"</formula>
    </cfRule>
  </conditionalFormatting>
  <conditionalFormatting sqref="A1687:N1692 A1802">
    <cfRule type="expression" dxfId="0" priority="437">
      <formula>UPPER($N1687)="SI"</formula>
    </cfRule>
  </conditionalFormatting>
  <conditionalFormatting sqref="A1687:A1692 A1802">
    <cfRule type="expression" dxfId="1" priority="438">
      <formula>" =N1="no" "</formula>
    </cfRule>
  </conditionalFormatting>
  <conditionalFormatting sqref="A1687:N1692 A1802">
    <cfRule type="expression" dxfId="1" priority="439">
      <formula>UPPER($N1687)="NO"</formula>
    </cfRule>
  </conditionalFormatting>
  <conditionalFormatting sqref="A1685:N1686">
    <cfRule type="expression" dxfId="0" priority="440">
      <formula>UPPER($N1685)="SI"</formula>
    </cfRule>
  </conditionalFormatting>
  <conditionalFormatting sqref="A1685:A1686">
    <cfRule type="expression" dxfId="1" priority="441">
      <formula>" =N1="no" "</formula>
    </cfRule>
  </conditionalFormatting>
  <conditionalFormatting sqref="A1685:N1686">
    <cfRule type="expression" dxfId="1" priority="442">
      <formula>UPPER($N1685)="NO"</formula>
    </cfRule>
  </conditionalFormatting>
  <conditionalFormatting sqref="A1684:N1684">
    <cfRule type="expression" dxfId="0" priority="443">
      <formula>UPPER($N1684)="SI"</formula>
    </cfRule>
  </conditionalFormatting>
  <conditionalFormatting sqref="A1684">
    <cfRule type="expression" dxfId="1" priority="444">
      <formula>" =N1="no" "</formula>
    </cfRule>
  </conditionalFormatting>
  <conditionalFormatting sqref="A1684:N1684">
    <cfRule type="expression" dxfId="1" priority="445">
      <formula>UPPER($N1684)="NO"</formula>
    </cfRule>
  </conditionalFormatting>
  <conditionalFormatting sqref="A1683:N1683 A1795">
    <cfRule type="expression" dxfId="0" priority="446">
      <formula>UPPER($N1683)="SI"</formula>
    </cfRule>
  </conditionalFormatting>
  <conditionalFormatting sqref="A1683 A1795">
    <cfRule type="expression" dxfId="1" priority="447">
      <formula>" =N1="no" "</formula>
    </cfRule>
  </conditionalFormatting>
  <conditionalFormatting sqref="A1683:N1683 A1795">
    <cfRule type="expression" dxfId="1" priority="448">
      <formula>UPPER($N1683)="NO"</formula>
    </cfRule>
  </conditionalFormatting>
  <conditionalFormatting sqref="A1682:N1682 A1794">
    <cfRule type="expression" dxfId="0" priority="449">
      <formula>UPPER($N1682)="SI"</formula>
    </cfRule>
  </conditionalFormatting>
  <conditionalFormatting sqref="A1682 A1794">
    <cfRule type="expression" dxfId="1" priority="450">
      <formula>" =N1="no" "</formula>
    </cfRule>
  </conditionalFormatting>
  <conditionalFormatting sqref="A1682:N1682 A1794">
    <cfRule type="expression" dxfId="1" priority="451">
      <formula>UPPER($N1682)="NO"</formula>
    </cfRule>
  </conditionalFormatting>
  <conditionalFormatting sqref="A1681:N1681 A1793">
    <cfRule type="expression" dxfId="0" priority="452">
      <formula>UPPER($N1681)="SI"</formula>
    </cfRule>
  </conditionalFormatting>
  <conditionalFormatting sqref="A1681 A1793">
    <cfRule type="expression" dxfId="1" priority="453">
      <formula>" =N1="no" "</formula>
    </cfRule>
  </conditionalFormatting>
  <conditionalFormatting sqref="A1681:N1681 A1793">
    <cfRule type="expression" dxfId="1" priority="454">
      <formula>UPPER($N1681)="NO"</formula>
    </cfRule>
  </conditionalFormatting>
  <conditionalFormatting sqref="A1669:N1680 A1787:A1788">
    <cfRule type="expression" dxfId="0" priority="455">
      <formula>UPPER($N1669)="SI"</formula>
    </cfRule>
  </conditionalFormatting>
  <conditionalFormatting sqref="A1669:A1680 A1787:A1788">
    <cfRule type="expression" dxfId="1" priority="456">
      <formula>" =N1="no" "</formula>
    </cfRule>
  </conditionalFormatting>
  <conditionalFormatting sqref="A1669:N1680 A1787:A1788">
    <cfRule type="expression" dxfId="1" priority="457">
      <formula>UPPER($N1669)="NO"</formula>
    </cfRule>
  </conditionalFormatting>
  <conditionalFormatting sqref="A1668:N1668 A1779">
    <cfRule type="expression" dxfId="0" priority="458">
      <formula>UPPER($N1668)="SI"</formula>
    </cfRule>
  </conditionalFormatting>
  <conditionalFormatting sqref="A1668 A1779">
    <cfRule type="expression" dxfId="1" priority="459">
      <formula>" =N1="no" "</formula>
    </cfRule>
  </conditionalFormatting>
  <conditionalFormatting sqref="A1668:N1668 A1779">
    <cfRule type="expression" dxfId="1" priority="460">
      <formula>UPPER($N1668)="NO"</formula>
    </cfRule>
  </conditionalFormatting>
  <conditionalFormatting sqref="A1665:N1667 A1775:A1776">
    <cfRule type="expression" dxfId="0" priority="461">
      <formula>UPPER($N1665)="SI"</formula>
    </cfRule>
  </conditionalFormatting>
  <conditionalFormatting sqref="A1665:A1667 A1775:A1776">
    <cfRule type="expression" dxfId="1" priority="462">
      <formula>" =N1="no" "</formula>
    </cfRule>
  </conditionalFormatting>
  <conditionalFormatting sqref="A1665:N1667 A1775:A1776">
    <cfRule type="expression" dxfId="1" priority="463">
      <formula>UPPER($N1665)="NO"</formula>
    </cfRule>
  </conditionalFormatting>
  <conditionalFormatting sqref="A1664:N1664">
    <cfRule type="expression" dxfId="0" priority="464">
      <formula>UPPER($N1664)="SI"</formula>
    </cfRule>
  </conditionalFormatting>
  <conditionalFormatting sqref="A1664">
    <cfRule type="expression" dxfId="1" priority="465">
      <formula>" =N1="no" "</formula>
    </cfRule>
  </conditionalFormatting>
  <conditionalFormatting sqref="A1664:N1664">
    <cfRule type="expression" dxfId="1" priority="466">
      <formula>UPPER($N1664)="NO"</formula>
    </cfRule>
  </conditionalFormatting>
  <conditionalFormatting sqref="A1663:N1663 A1773">
    <cfRule type="expression" dxfId="0" priority="467">
      <formula>UPPER($N1663)="SI"</formula>
    </cfRule>
  </conditionalFormatting>
  <conditionalFormatting sqref="A1663 A1773">
    <cfRule type="expression" dxfId="1" priority="468">
      <formula>" =N1="no" "</formula>
    </cfRule>
  </conditionalFormatting>
  <conditionalFormatting sqref="A1663:N1663 A1773">
    <cfRule type="expression" dxfId="1" priority="469">
      <formula>UPPER($N1663)="NO"</formula>
    </cfRule>
  </conditionalFormatting>
  <conditionalFormatting sqref="A1662:N1662">
    <cfRule type="expression" dxfId="0" priority="470">
      <formula>UPPER($N1662)="SI"</formula>
    </cfRule>
  </conditionalFormatting>
  <conditionalFormatting sqref="A1662">
    <cfRule type="expression" dxfId="1" priority="471">
      <formula>" =N1="no" "</formula>
    </cfRule>
  </conditionalFormatting>
  <conditionalFormatting sqref="A1662:N1662">
    <cfRule type="expression" dxfId="1" priority="472">
      <formula>UPPER($N1662)="NO"</formula>
    </cfRule>
  </conditionalFormatting>
  <conditionalFormatting sqref="A1660:N1661 A1771">
    <cfRule type="expression" dxfId="0" priority="473">
      <formula>UPPER($N1660)="SI"</formula>
    </cfRule>
  </conditionalFormatting>
  <conditionalFormatting sqref="A1660:A1661 A1771">
    <cfRule type="expression" dxfId="1" priority="474">
      <formula>" =N1="no" "</formula>
    </cfRule>
  </conditionalFormatting>
  <conditionalFormatting sqref="A1660:N1661 A1771">
    <cfRule type="expression" dxfId="1" priority="475">
      <formula>UPPER($N1660)="NO"</formula>
    </cfRule>
  </conditionalFormatting>
  <conditionalFormatting sqref="A1659:N1659">
    <cfRule type="expression" dxfId="0" priority="476">
      <formula>UPPER($N1659)="SI"</formula>
    </cfRule>
  </conditionalFormatting>
  <conditionalFormatting sqref="A1659">
    <cfRule type="expression" dxfId="1" priority="477">
      <formula>" =N1="no" "</formula>
    </cfRule>
  </conditionalFormatting>
  <conditionalFormatting sqref="A1659:N1659">
    <cfRule type="expression" dxfId="1" priority="478">
      <formula>UPPER($N1659)="NO"</formula>
    </cfRule>
  </conditionalFormatting>
  <conditionalFormatting sqref="A1658:N1658 A1768">
    <cfRule type="expression" dxfId="0" priority="479">
      <formula>UPPER($N1658)="SI"</formula>
    </cfRule>
  </conditionalFormatting>
  <conditionalFormatting sqref="A1658 A1768">
    <cfRule type="expression" dxfId="1" priority="480">
      <formula>" =N1="no" "</formula>
    </cfRule>
  </conditionalFormatting>
  <conditionalFormatting sqref="A1658:N1658 A1768">
    <cfRule type="expression" dxfId="1" priority="481">
      <formula>UPPER($N1658)="NO"</formula>
    </cfRule>
  </conditionalFormatting>
  <conditionalFormatting sqref="A1657:N1657 A1767">
    <cfRule type="expression" dxfId="0" priority="482">
      <formula>UPPER($N1657)="SI"</formula>
    </cfRule>
  </conditionalFormatting>
  <conditionalFormatting sqref="A1657 A1767">
    <cfRule type="expression" dxfId="1" priority="483">
      <formula>" =N1="no" "</formula>
    </cfRule>
  </conditionalFormatting>
  <conditionalFormatting sqref="A1657:N1657 A1767">
    <cfRule type="expression" dxfId="1" priority="484">
      <formula>UPPER($N1657)="NO"</formula>
    </cfRule>
  </conditionalFormatting>
  <conditionalFormatting sqref="A1656:N1656 A1764">
    <cfRule type="expression" dxfId="0" priority="485">
      <formula>UPPER($N1656)="SI"</formula>
    </cfRule>
  </conditionalFormatting>
  <conditionalFormatting sqref="A1656 A1764">
    <cfRule type="expression" dxfId="1" priority="486">
      <formula>" =N1="no" "</formula>
    </cfRule>
  </conditionalFormatting>
  <conditionalFormatting sqref="A1656:N1656 A1764">
    <cfRule type="expression" dxfId="1" priority="487">
      <formula>UPPER($N1656)="NO"</formula>
    </cfRule>
  </conditionalFormatting>
  <conditionalFormatting sqref="A1654:N1655">
    <cfRule type="expression" dxfId="0" priority="488">
      <formula>UPPER($N1654)="SI"</formula>
    </cfRule>
  </conditionalFormatting>
  <conditionalFormatting sqref="A1654:A1655">
    <cfRule type="expression" dxfId="1" priority="489">
      <formula>" =N1="no" "</formula>
    </cfRule>
  </conditionalFormatting>
  <conditionalFormatting sqref="A1654:N1655">
    <cfRule type="expression" dxfId="1" priority="490">
      <formula>UPPER($N1654)="NO"</formula>
    </cfRule>
  </conditionalFormatting>
  <conditionalFormatting sqref="A1650:N1653 A1762">
    <cfRule type="expression" dxfId="0" priority="491">
      <formula>UPPER($N1650)="SI"</formula>
    </cfRule>
  </conditionalFormatting>
  <conditionalFormatting sqref="A1650:A1653 A1762">
    <cfRule type="expression" dxfId="1" priority="492">
      <formula>" =N1="no" "</formula>
    </cfRule>
  </conditionalFormatting>
  <conditionalFormatting sqref="A1650:N1653 A1762">
    <cfRule type="expression" dxfId="1" priority="493">
      <formula>UPPER($N1650)="NO"</formula>
    </cfRule>
  </conditionalFormatting>
  <conditionalFormatting sqref="A1647:N1649 A1756">
    <cfRule type="expression" dxfId="0" priority="494">
      <formula>UPPER($N1647)="SI"</formula>
    </cfRule>
  </conditionalFormatting>
  <conditionalFormatting sqref="A1647:A1649 A1756">
    <cfRule type="expression" dxfId="1" priority="495">
      <formula>" =N1="no" "</formula>
    </cfRule>
  </conditionalFormatting>
  <conditionalFormatting sqref="A1647:N1649 A1756">
    <cfRule type="expression" dxfId="1" priority="496">
      <formula>UPPER($N1647)="NO"</formula>
    </cfRule>
  </conditionalFormatting>
  <conditionalFormatting sqref="A1645:N1646">
    <cfRule type="expression" dxfId="0" priority="497">
      <formula>UPPER($N1645)="SI"</formula>
    </cfRule>
  </conditionalFormatting>
  <conditionalFormatting sqref="A1645:A1646">
    <cfRule type="expression" dxfId="1" priority="498">
      <formula>" =N1="no" "</formula>
    </cfRule>
  </conditionalFormatting>
  <conditionalFormatting sqref="A1645:N1646">
    <cfRule type="expression" dxfId="1" priority="499">
      <formula>UPPER($N1645)="NO"</formula>
    </cfRule>
  </conditionalFormatting>
  <conditionalFormatting sqref="A1642:N1644 A1755">
    <cfRule type="expression" dxfId="0" priority="500">
      <formula>UPPER($N1642)="SI"</formula>
    </cfRule>
  </conditionalFormatting>
  <conditionalFormatting sqref="A1642:A1644 A1755">
    <cfRule type="expression" dxfId="1" priority="501">
      <formula>" =N1="no" "</formula>
    </cfRule>
  </conditionalFormatting>
  <conditionalFormatting sqref="A1642:N1644 A1755">
    <cfRule type="expression" dxfId="1" priority="502">
      <formula>UPPER($N1642)="NO"</formula>
    </cfRule>
  </conditionalFormatting>
  <conditionalFormatting sqref="A1634:N1641 A1751:A1752">
    <cfRule type="expression" dxfId="0" priority="503">
      <formula>UPPER($N1634)="SI"</formula>
    </cfRule>
  </conditionalFormatting>
  <conditionalFormatting sqref="A1634:A1641 J1636 A1751:A1752">
    <cfRule type="expression" dxfId="1" priority="504">
      <formula>" =N1="no" "</formula>
    </cfRule>
  </conditionalFormatting>
  <conditionalFormatting sqref="A1634:N1641 A1751:A1752">
    <cfRule type="expression" dxfId="1" priority="505">
      <formula>UPPER($N1634)="NO"</formula>
    </cfRule>
  </conditionalFormatting>
  <conditionalFormatting sqref="A1631:N1633 A1744">
    <cfRule type="expression" dxfId="0" priority="506">
      <formula>UPPER($N1631)="SI"</formula>
    </cfRule>
  </conditionalFormatting>
  <conditionalFormatting sqref="A1631:A1633 A1744">
    <cfRule type="expression" dxfId="1" priority="507">
      <formula>" =N1="no" "</formula>
    </cfRule>
  </conditionalFormatting>
  <conditionalFormatting sqref="A1631:N1633 A1744">
    <cfRule type="expression" dxfId="1" priority="508">
      <formula>UPPER($N1631)="NO"</formula>
    </cfRule>
  </conditionalFormatting>
  <conditionalFormatting sqref="A1630:N1630 A1743">
    <cfRule type="expression" dxfId="0" priority="509">
      <formula>UPPER($N1630)="SI"</formula>
    </cfRule>
  </conditionalFormatting>
  <conditionalFormatting sqref="A1630 A1743">
    <cfRule type="expression" dxfId="1" priority="510">
      <formula>" =N1="no" "</formula>
    </cfRule>
  </conditionalFormatting>
  <conditionalFormatting sqref="A1630:N1630 A1743">
    <cfRule type="expression" dxfId="1" priority="511">
      <formula>UPPER($N1630)="NO"</formula>
    </cfRule>
  </conditionalFormatting>
  <conditionalFormatting sqref="A1629:N1629 A1742">
    <cfRule type="expression" dxfId="0" priority="512">
      <formula>UPPER($N1629)="SI"</formula>
    </cfRule>
  </conditionalFormatting>
  <conditionalFormatting sqref="A1629 A1742">
    <cfRule type="expression" dxfId="1" priority="513">
      <formula>" =N1="no" "</formula>
    </cfRule>
  </conditionalFormatting>
  <conditionalFormatting sqref="A1629:N1629 A1742">
    <cfRule type="expression" dxfId="1" priority="514">
      <formula>UPPER($N1629)="NO"</formula>
    </cfRule>
  </conditionalFormatting>
  <conditionalFormatting sqref="A1626:N1628 A1740">
    <cfRule type="expression" dxfId="0" priority="515">
      <formula>UPPER($N1626)="SI"</formula>
    </cfRule>
  </conditionalFormatting>
  <conditionalFormatting sqref="A1626:A1628 A1740">
    <cfRule type="expression" dxfId="1" priority="516">
      <formula>" =N1="no" "</formula>
    </cfRule>
  </conditionalFormatting>
  <conditionalFormatting sqref="A1626:N1628 A1740">
    <cfRule type="expression" dxfId="1" priority="517">
      <formula>UPPER($N1626)="NO"</formula>
    </cfRule>
  </conditionalFormatting>
  <conditionalFormatting sqref="A1621:N1625 A1735:A1737">
    <cfRule type="expression" dxfId="0" priority="518">
      <formula>UPPER($N1621)="SI"</formula>
    </cfRule>
  </conditionalFormatting>
  <conditionalFormatting sqref="A1621:A1625 A1735:A1737">
    <cfRule type="expression" dxfId="1" priority="519">
      <formula>" =N1="no" "</formula>
    </cfRule>
  </conditionalFormatting>
  <conditionalFormatting sqref="A1621:N1625 A1735:A1737">
    <cfRule type="expression" dxfId="1" priority="520">
      <formula>UPPER($N1621)="NO"</formula>
    </cfRule>
  </conditionalFormatting>
  <conditionalFormatting sqref="A1617:N1620 A1731:A1732">
    <cfRule type="expression" dxfId="0" priority="521">
      <formula>UPPER($N1617)="SI"</formula>
    </cfRule>
  </conditionalFormatting>
  <conditionalFormatting sqref="A1617:A1620 J1618 A1731:A1732">
    <cfRule type="expression" dxfId="1" priority="522">
      <formula>" =N1="no" "</formula>
    </cfRule>
  </conditionalFormatting>
  <conditionalFormatting sqref="A1617:N1620 A1731:A1732">
    <cfRule type="expression" dxfId="1" priority="523">
      <formula>UPPER($N1617)="NO"</formula>
    </cfRule>
  </conditionalFormatting>
  <conditionalFormatting sqref="A1614:N1616 A1728">
    <cfRule type="expression" dxfId="0" priority="524">
      <formula>UPPER($N1614)="SI"</formula>
    </cfRule>
  </conditionalFormatting>
  <conditionalFormatting sqref="A1614:A1616 A1728">
    <cfRule type="expression" dxfId="1" priority="525">
      <formula>" =N1="no" "</formula>
    </cfRule>
  </conditionalFormatting>
  <conditionalFormatting sqref="A1614:N1616 A1728">
    <cfRule type="expression" dxfId="1" priority="526">
      <formula>UPPER($N1614)="NO"</formula>
    </cfRule>
  </conditionalFormatting>
  <conditionalFormatting sqref="A1606:N1613 A1726">
    <cfRule type="expression" dxfId="0" priority="527">
      <formula>UPPER($N1606)="SI"</formula>
    </cfRule>
  </conditionalFormatting>
  <conditionalFormatting sqref="A1606:A1613 A1726">
    <cfRule type="expression" dxfId="1" priority="528">
      <formula>" =N1="no" "</formula>
    </cfRule>
  </conditionalFormatting>
  <conditionalFormatting sqref="A1606:N1613 A1726">
    <cfRule type="expression" dxfId="1" priority="529">
      <formula>UPPER($N1606)="NO"</formula>
    </cfRule>
  </conditionalFormatting>
  <conditionalFormatting sqref="A1603:N1605 A1711:A1712">
    <cfRule type="expression" dxfId="0" priority="530">
      <formula>UPPER($N1603)="SI"</formula>
    </cfRule>
  </conditionalFormatting>
  <conditionalFormatting sqref="A1603:A1605 A1711:A1712">
    <cfRule type="expression" dxfId="1" priority="531">
      <formula>" =N1="no" "</formula>
    </cfRule>
  </conditionalFormatting>
  <conditionalFormatting sqref="A1603:N1605 A1711:A1712">
    <cfRule type="expression" dxfId="1" priority="532">
      <formula>UPPER($N1603)="NO"</formula>
    </cfRule>
  </conditionalFormatting>
  <conditionalFormatting sqref="A1596:N1602 A1707">
    <cfRule type="expression" dxfId="0" priority="533">
      <formula>UPPER($N1596)="SI"</formula>
    </cfRule>
  </conditionalFormatting>
  <conditionalFormatting sqref="A1596:A1602 A1707">
    <cfRule type="expression" dxfId="1" priority="534">
      <formula>" =N1="no" "</formula>
    </cfRule>
  </conditionalFormatting>
  <conditionalFormatting sqref="A1596:N1602 A1707">
    <cfRule type="expression" dxfId="1" priority="535">
      <formula>UPPER($N1596)="NO"</formula>
    </cfRule>
  </conditionalFormatting>
  <conditionalFormatting sqref="A1593:N1595 A1690">
    <cfRule type="expression" dxfId="0" priority="536">
      <formula>UPPER($N1593)="SI"</formula>
    </cfRule>
  </conditionalFormatting>
  <conditionalFormatting sqref="A1593:A1595 A1690">
    <cfRule type="expression" dxfId="1" priority="537">
      <formula>" =N1="no" "</formula>
    </cfRule>
  </conditionalFormatting>
  <conditionalFormatting sqref="A1593:N1595 A1690">
    <cfRule type="expression" dxfId="1" priority="538">
      <formula>UPPER($N1593)="NO"</formula>
    </cfRule>
  </conditionalFormatting>
  <conditionalFormatting sqref="A1592:N1592 A1689">
    <cfRule type="expression" dxfId="0" priority="539">
      <formula>UPPER($N1592)="SI"</formula>
    </cfRule>
  </conditionalFormatting>
  <conditionalFormatting sqref="A1592 A1689">
    <cfRule type="expression" dxfId="1" priority="540">
      <formula>" =N1="no" "</formula>
    </cfRule>
  </conditionalFormatting>
  <conditionalFormatting sqref="A1592:N1592 A1689">
    <cfRule type="expression" dxfId="1" priority="541">
      <formula>UPPER($N1592)="NO"</formula>
    </cfRule>
  </conditionalFormatting>
  <conditionalFormatting sqref="A1591:N1591 A1687">
    <cfRule type="expression" dxfId="0" priority="542">
      <formula>UPPER($N1591)="SI"</formula>
    </cfRule>
  </conditionalFormatting>
  <conditionalFormatting sqref="A1591 A1687">
    <cfRule type="expression" dxfId="1" priority="543">
      <formula>" =N1="no" "</formula>
    </cfRule>
  </conditionalFormatting>
  <conditionalFormatting sqref="A1591:N1591 A1687">
    <cfRule type="expression" dxfId="1" priority="544">
      <formula>UPPER($N1591)="NO"</formula>
    </cfRule>
  </conditionalFormatting>
  <conditionalFormatting sqref="A1590:N1590">
    <cfRule type="expression" dxfId="0" priority="545">
      <formula>UPPER($N1590)="SI"</formula>
    </cfRule>
  </conditionalFormatting>
  <conditionalFormatting sqref="A1590">
    <cfRule type="expression" dxfId="1" priority="546">
      <formula>" =N1="no" "</formula>
    </cfRule>
  </conditionalFormatting>
  <conditionalFormatting sqref="A1590:N1590">
    <cfRule type="expression" dxfId="1" priority="547">
      <formula>UPPER($N1590)="NO"</formula>
    </cfRule>
  </conditionalFormatting>
  <conditionalFormatting sqref="A1582:N1589 A1683">
    <cfRule type="expression" dxfId="0" priority="548">
      <formula>UPPER($N1582)="SI"</formula>
    </cfRule>
  </conditionalFormatting>
  <conditionalFormatting sqref="A1582:A1589 A1683">
    <cfRule type="expression" dxfId="1" priority="549">
      <formula>" =N1="no" "</formula>
    </cfRule>
  </conditionalFormatting>
  <conditionalFormatting sqref="A1582:N1589 A1683">
    <cfRule type="expression" dxfId="1" priority="550">
      <formula>UPPER($N1582)="NO"</formula>
    </cfRule>
  </conditionalFormatting>
  <conditionalFormatting sqref="A1579:N1581">
    <cfRule type="expression" dxfId="0" priority="551">
      <formula>UPPER($N1579)="SI"</formula>
    </cfRule>
  </conditionalFormatting>
  <conditionalFormatting sqref="A1579:A1581">
    <cfRule type="expression" dxfId="1" priority="552">
      <formula>" =N1="no" "</formula>
    </cfRule>
  </conditionalFormatting>
  <conditionalFormatting sqref="A1579:N1581">
    <cfRule type="expression" dxfId="1" priority="553">
      <formula>UPPER($N1579)="NO"</formula>
    </cfRule>
  </conditionalFormatting>
  <conditionalFormatting sqref="A1578:N1578 A1675">
    <cfRule type="expression" dxfId="0" priority="554">
      <formula>UPPER($N1578)="SI"</formula>
    </cfRule>
  </conditionalFormatting>
  <conditionalFormatting sqref="A1578 A1675">
    <cfRule type="expression" dxfId="1" priority="555">
      <formula>" =N1="no" "</formula>
    </cfRule>
  </conditionalFormatting>
  <conditionalFormatting sqref="A1578:N1578 A1675">
    <cfRule type="expression" dxfId="1" priority="556">
      <formula>UPPER($N1578)="NO"</formula>
    </cfRule>
  </conditionalFormatting>
  <conditionalFormatting sqref="A1570:N1577 A1671:A1674">
    <cfRule type="expression" dxfId="0" priority="557">
      <formula>UPPER($N1570)="SI"</formula>
    </cfRule>
  </conditionalFormatting>
  <conditionalFormatting sqref="A1570:A1577 A1671:A1674">
    <cfRule type="expression" dxfId="1" priority="558">
      <formula>" =N1="no" "</formula>
    </cfRule>
  </conditionalFormatting>
  <conditionalFormatting sqref="A1570:N1577 A1671:A1674">
    <cfRule type="expression" dxfId="1" priority="559">
      <formula>UPPER($N1570)="NO"</formula>
    </cfRule>
  </conditionalFormatting>
  <conditionalFormatting sqref="A1564:N1569 A1665:A1666">
    <cfRule type="expression" dxfId="0" priority="560">
      <formula>UPPER($N1564)="SI"</formula>
    </cfRule>
  </conditionalFormatting>
  <conditionalFormatting sqref="A1564:A1569 A1665:A1666">
    <cfRule type="expression" dxfId="1" priority="561">
      <formula>" =N1="no" "</formula>
    </cfRule>
  </conditionalFormatting>
  <conditionalFormatting sqref="A1564:N1569 A1665:A1666">
    <cfRule type="expression" dxfId="1" priority="562">
      <formula>UPPER($N1564)="NO"</formula>
    </cfRule>
  </conditionalFormatting>
  <conditionalFormatting sqref="A1558:N1563 A1658">
    <cfRule type="expression" dxfId="0" priority="563">
      <formula>UPPER($N1558)="SI"</formula>
    </cfRule>
  </conditionalFormatting>
  <conditionalFormatting sqref="A1558:A1563 A1658">
    <cfRule type="expression" dxfId="1" priority="564">
      <formula>" =N1="no" "</formula>
    </cfRule>
  </conditionalFormatting>
  <conditionalFormatting sqref="A1558:N1563 A1658">
    <cfRule type="expression" dxfId="1" priority="565">
      <formula>UPPER($N1558)="NO"</formula>
    </cfRule>
  </conditionalFormatting>
  <conditionalFormatting sqref="A1556:N1557 A1652">
    <cfRule type="expression" dxfId="0" priority="566">
      <formula>UPPER($N1556)="SI"</formula>
    </cfRule>
  </conditionalFormatting>
  <conditionalFormatting sqref="A1556:A1557 A1652">
    <cfRule type="expression" dxfId="1" priority="567">
      <formula>" =N1="no" "</formula>
    </cfRule>
  </conditionalFormatting>
  <conditionalFormatting sqref="A1556:N1557 A1652">
    <cfRule type="expression" dxfId="1" priority="568">
      <formula>UPPER($N1556)="NO"</formula>
    </cfRule>
  </conditionalFormatting>
  <conditionalFormatting sqref="A1555:N1555">
    <cfRule type="expression" dxfId="0" priority="569">
      <formula>UPPER($N1555)="SI"</formula>
    </cfRule>
  </conditionalFormatting>
  <conditionalFormatting sqref="A1555">
    <cfRule type="expression" dxfId="1" priority="570">
      <formula>" =N1="no" "</formula>
    </cfRule>
  </conditionalFormatting>
  <conditionalFormatting sqref="A1555:N1555">
    <cfRule type="expression" dxfId="1" priority="571">
      <formula>UPPER($N1555)="NO"</formula>
    </cfRule>
  </conditionalFormatting>
  <conditionalFormatting sqref="A1554:N1554 A1649">
    <cfRule type="expression" dxfId="0" priority="572">
      <formula>UPPER($N1554)="SI"</formula>
    </cfRule>
  </conditionalFormatting>
  <conditionalFormatting sqref="A1554 A1649">
    <cfRule type="expression" dxfId="1" priority="573">
      <formula>" =N1="no" "</formula>
    </cfRule>
  </conditionalFormatting>
  <conditionalFormatting sqref="A1554:N1554 A1649">
    <cfRule type="expression" dxfId="1" priority="574">
      <formula>UPPER($N1554)="NO"</formula>
    </cfRule>
  </conditionalFormatting>
  <conditionalFormatting sqref="A1553:N1553 A1644">
    <cfRule type="expression" dxfId="0" priority="575">
      <formula>UPPER($N1553)="SI"</formula>
    </cfRule>
  </conditionalFormatting>
  <conditionalFormatting sqref="A1553 A1644">
    <cfRule type="expression" dxfId="1" priority="576">
      <formula>" =N1="no" "</formula>
    </cfRule>
  </conditionalFormatting>
  <conditionalFormatting sqref="A1553:N1553 A1644">
    <cfRule type="expression" dxfId="1" priority="577">
      <formula>UPPER($N1553)="NO"</formula>
    </cfRule>
  </conditionalFormatting>
  <conditionalFormatting sqref="A1552:N1552">
    <cfRule type="expression" dxfId="0" priority="578">
      <formula>UPPER($N1552)="SI"</formula>
    </cfRule>
  </conditionalFormatting>
  <conditionalFormatting sqref="A1552">
    <cfRule type="expression" dxfId="1" priority="579">
      <formula>" =N1="no" "</formula>
    </cfRule>
  </conditionalFormatting>
  <conditionalFormatting sqref="A1552:N1552">
    <cfRule type="expression" dxfId="1" priority="580">
      <formula>UPPER($N1552)="NO"</formula>
    </cfRule>
  </conditionalFormatting>
  <conditionalFormatting sqref="A1549:N1551">
    <cfRule type="expression" dxfId="0" priority="581">
      <formula>UPPER($N1549)="SI"</formula>
    </cfRule>
  </conditionalFormatting>
  <conditionalFormatting sqref="A1549:A1551">
    <cfRule type="expression" dxfId="1" priority="582">
      <formula>" =N1="no" "</formula>
    </cfRule>
  </conditionalFormatting>
  <conditionalFormatting sqref="A1549:N1551">
    <cfRule type="expression" dxfId="1" priority="583">
      <formula>UPPER($N1549)="NO"</formula>
    </cfRule>
  </conditionalFormatting>
  <conditionalFormatting sqref="A1548:N1548 A1642">
    <cfRule type="expression" dxfId="0" priority="584">
      <formula>UPPER($N1548)="SI"</formula>
    </cfRule>
  </conditionalFormatting>
  <conditionalFormatting sqref="A1548 A1642">
    <cfRule type="expression" dxfId="1" priority="585">
      <formula>" =N1="no" "</formula>
    </cfRule>
  </conditionalFormatting>
  <conditionalFormatting sqref="A1548:N1548 A1642">
    <cfRule type="expression" dxfId="1" priority="586">
      <formula>UPPER($N1548)="NO"</formula>
    </cfRule>
  </conditionalFormatting>
  <conditionalFormatting sqref="A1547:N1547">
    <cfRule type="expression" dxfId="0" priority="587">
      <formula>UPPER($N1547)="SI"</formula>
    </cfRule>
  </conditionalFormatting>
  <conditionalFormatting sqref="A1547">
    <cfRule type="expression" dxfId="1" priority="588">
      <formula>" =N1="no" "</formula>
    </cfRule>
  </conditionalFormatting>
  <conditionalFormatting sqref="A1547:N1547">
    <cfRule type="expression" dxfId="1" priority="589">
      <formula>UPPER($N1547)="NO"</formula>
    </cfRule>
  </conditionalFormatting>
  <conditionalFormatting sqref="A1544:N1546 A1640">
    <cfRule type="expression" dxfId="0" priority="590">
      <formula>UPPER($N1544)="SI"</formula>
    </cfRule>
  </conditionalFormatting>
  <conditionalFormatting sqref="A1544:A1546 A1640">
    <cfRule type="expression" dxfId="1" priority="591">
      <formula>" =N1="no" "</formula>
    </cfRule>
  </conditionalFormatting>
  <conditionalFormatting sqref="A1544:N1546 A1640">
    <cfRule type="expression" dxfId="1" priority="592">
      <formula>UPPER($N1544)="NO"</formula>
    </cfRule>
  </conditionalFormatting>
  <conditionalFormatting sqref="A1542:N1543 A1639">
    <cfRule type="expression" dxfId="0" priority="593">
      <formula>UPPER($N1542)="SI"</formula>
    </cfRule>
  </conditionalFormatting>
  <conditionalFormatting sqref="A1542:A1543 A1639">
    <cfRule type="expression" dxfId="1" priority="594">
      <formula>" =N1="no" "</formula>
    </cfRule>
  </conditionalFormatting>
  <conditionalFormatting sqref="A1542:N1543 A1639">
    <cfRule type="expression" dxfId="1" priority="595">
      <formula>UPPER($N1542)="NO"</formula>
    </cfRule>
  </conditionalFormatting>
  <conditionalFormatting sqref="A1539:N1541 A1637">
    <cfRule type="expression" dxfId="0" priority="596">
      <formula>UPPER($N1539)="SI"</formula>
    </cfRule>
  </conditionalFormatting>
  <conditionalFormatting sqref="A1539:A1541 A1637">
    <cfRule type="expression" dxfId="1" priority="597">
      <formula>" =N1="no" "</formula>
    </cfRule>
  </conditionalFormatting>
  <conditionalFormatting sqref="A1539:N1541 A1637">
    <cfRule type="expression" dxfId="1" priority="598">
      <formula>UPPER($N1539)="NO"</formula>
    </cfRule>
  </conditionalFormatting>
  <conditionalFormatting sqref="A1538:N1538 A1635">
    <cfRule type="expression" dxfId="0" priority="599">
      <formula>UPPER($N1538)="SI"</formula>
    </cfRule>
  </conditionalFormatting>
  <conditionalFormatting sqref="A1538 A1635">
    <cfRule type="expression" dxfId="1" priority="600">
      <formula>" =N1="no" "</formula>
    </cfRule>
  </conditionalFormatting>
  <conditionalFormatting sqref="A1538:N1538 A1635">
    <cfRule type="expression" dxfId="1" priority="601">
      <formula>UPPER($N1538)="NO"</formula>
    </cfRule>
  </conditionalFormatting>
  <conditionalFormatting sqref="A1535:N1537 A1633:A1634">
    <cfRule type="expression" dxfId="0" priority="602">
      <formula>UPPER($N1535)="SI"</formula>
    </cfRule>
  </conditionalFormatting>
  <conditionalFormatting sqref="A1535:A1537 A1633:A1634">
    <cfRule type="expression" dxfId="1" priority="603">
      <formula>" =N1="no" "</formula>
    </cfRule>
  </conditionalFormatting>
  <conditionalFormatting sqref="A1535:N1537 A1633:A1634">
    <cfRule type="expression" dxfId="1" priority="604">
      <formula>UPPER($N1535)="NO"</formula>
    </cfRule>
  </conditionalFormatting>
  <conditionalFormatting sqref="A1529:N1534 A1629">
    <cfRule type="expression" dxfId="0" priority="605">
      <formula>UPPER($N1529)="SI"</formula>
    </cfRule>
  </conditionalFormatting>
  <conditionalFormatting sqref="A1529:A1534 A1629">
    <cfRule type="expression" dxfId="1" priority="606">
      <formula>" =N1="no" "</formula>
    </cfRule>
  </conditionalFormatting>
  <conditionalFormatting sqref="A1529:N1534 A1629">
    <cfRule type="expression" dxfId="1" priority="607">
      <formula>UPPER($N1529)="NO"</formula>
    </cfRule>
  </conditionalFormatting>
  <conditionalFormatting sqref="A1516:N1528 A1625">
    <cfRule type="expression" dxfId="0" priority="608">
      <formula>UPPER($N1516)="SI"</formula>
    </cfRule>
  </conditionalFormatting>
  <conditionalFormatting sqref="A1516:A1528 A1625">
    <cfRule type="expression" dxfId="1" priority="609">
      <formula>" =N1="no" "</formula>
    </cfRule>
  </conditionalFormatting>
  <conditionalFormatting sqref="A1516:N1528 A1625">
    <cfRule type="expression" dxfId="1" priority="610">
      <formula>UPPER($N1516)="NO"</formula>
    </cfRule>
  </conditionalFormatting>
  <conditionalFormatting sqref="A1506:N1515 A1618 J1618">
    <cfRule type="expression" dxfId="0" priority="611">
      <formula>UPPER($N1506)="SI"</formula>
    </cfRule>
  </conditionalFormatting>
  <conditionalFormatting sqref="A1506:A1515 A1618 J1618">
    <cfRule type="expression" dxfId="1" priority="612">
      <formula>" =N1="no" "</formula>
    </cfRule>
  </conditionalFormatting>
  <conditionalFormatting sqref="A1506:N1515 A1618 J1618">
    <cfRule type="expression" dxfId="1" priority="613">
      <formula>UPPER($N1506)="NO"</formula>
    </cfRule>
  </conditionalFormatting>
  <conditionalFormatting sqref="A1499:N1505 A1607">
    <cfRule type="expression" dxfId="0" priority="614">
      <formula>UPPER($N1499)="SI"</formula>
    </cfRule>
  </conditionalFormatting>
  <conditionalFormatting sqref="A1499:A1505 A1607">
    <cfRule type="expression" dxfId="1" priority="615">
      <formula>" =N1="no" "</formula>
    </cfRule>
  </conditionalFormatting>
  <conditionalFormatting sqref="A1499:N1505 A1607">
    <cfRule type="expression" dxfId="1" priority="616">
      <formula>UPPER($N1499)="NO"</formula>
    </cfRule>
  </conditionalFormatting>
  <conditionalFormatting sqref="A1498:N1498">
    <cfRule type="expression" dxfId="0" priority="617">
      <formula>UPPER($N1498)="SI"</formula>
    </cfRule>
  </conditionalFormatting>
  <conditionalFormatting sqref="A1498">
    <cfRule type="expression" dxfId="1" priority="618">
      <formula>" =N1="no" "</formula>
    </cfRule>
  </conditionalFormatting>
  <conditionalFormatting sqref="A1498:N1498">
    <cfRule type="expression" dxfId="1" priority="619">
      <formula>UPPER($N1498)="NO"</formula>
    </cfRule>
  </conditionalFormatting>
  <conditionalFormatting sqref="A1496:N1497">
    <cfRule type="expression" dxfId="0" priority="620">
      <formula>UPPER($N1496)="SI"</formula>
    </cfRule>
  </conditionalFormatting>
  <conditionalFormatting sqref="A1496:A1497">
    <cfRule type="expression" dxfId="1" priority="621">
      <formula>" =N1="no" "</formula>
    </cfRule>
  </conditionalFormatting>
  <conditionalFormatting sqref="A1496:N1497">
    <cfRule type="expression" dxfId="1" priority="622">
      <formula>UPPER($N1496)="NO"</formula>
    </cfRule>
  </conditionalFormatting>
  <conditionalFormatting sqref="A1494:N1495 A1603">
    <cfRule type="expression" dxfId="0" priority="623">
      <formula>UPPER($N1494)="SI"</formula>
    </cfRule>
  </conditionalFormatting>
  <conditionalFormatting sqref="A1494:A1495 A1603">
    <cfRule type="expression" dxfId="1" priority="624">
      <formula>" =N1="no" "</formula>
    </cfRule>
  </conditionalFormatting>
  <conditionalFormatting sqref="A1494:N1495 A1603">
    <cfRule type="expression" dxfId="1" priority="625">
      <formula>UPPER($N1494)="NO"</formula>
    </cfRule>
  </conditionalFormatting>
  <conditionalFormatting sqref="A1492:N1493 A1600:A1601">
    <cfRule type="expression" dxfId="0" priority="626">
      <formula>UPPER($N1492)="SI"</formula>
    </cfRule>
  </conditionalFormatting>
  <conditionalFormatting sqref="A1492:A1493 A1600:A1601">
    <cfRule type="expression" dxfId="1" priority="627">
      <formula>" =N1="no" "</formula>
    </cfRule>
  </conditionalFormatting>
  <conditionalFormatting sqref="A1492:N1493 A1600:A1601">
    <cfRule type="expression" dxfId="1" priority="628">
      <formula>UPPER($N1492)="NO"</formula>
    </cfRule>
  </conditionalFormatting>
  <conditionalFormatting sqref="A1489:N1491 A1598:A1599">
    <cfRule type="expression" dxfId="0" priority="629">
      <formula>UPPER($N1489)="SI"</formula>
    </cfRule>
  </conditionalFormatting>
  <conditionalFormatting sqref="A1489:A1491 A1598:A1599">
    <cfRule type="expression" dxfId="1" priority="630">
      <formula>" =N1="no" "</formula>
    </cfRule>
  </conditionalFormatting>
  <conditionalFormatting sqref="A1489:N1491 A1598:A1599">
    <cfRule type="expression" dxfId="1" priority="631">
      <formula>UPPER($N1489)="NO"</formula>
    </cfRule>
  </conditionalFormatting>
  <conditionalFormatting sqref="A1485:N1488 A1596:A1597">
    <cfRule type="expression" dxfId="0" priority="632">
      <formula>UPPER($N1485)="SI"</formula>
    </cfRule>
  </conditionalFormatting>
  <conditionalFormatting sqref="A1485:A1488 A1596:A1597">
    <cfRule type="expression" dxfId="1" priority="633">
      <formula>" =N1="no" "</formula>
    </cfRule>
  </conditionalFormatting>
  <conditionalFormatting sqref="A1485:N1488 A1596:A1597">
    <cfRule type="expression" dxfId="1" priority="634">
      <formula>UPPER($N1485)="NO"</formula>
    </cfRule>
  </conditionalFormatting>
  <conditionalFormatting sqref="A1484:N1484">
    <cfRule type="expression" dxfId="0" priority="635">
      <formula>UPPER($N1484)="SI"</formula>
    </cfRule>
  </conditionalFormatting>
  <conditionalFormatting sqref="A1484">
    <cfRule type="expression" dxfId="1" priority="636">
      <formula>" =N1="no" "</formula>
    </cfRule>
  </conditionalFormatting>
  <conditionalFormatting sqref="A1484:N1484">
    <cfRule type="expression" dxfId="1" priority="637">
      <formula>UPPER($N1484)="NO"</formula>
    </cfRule>
  </conditionalFormatting>
  <conditionalFormatting sqref="A1477:N1483 A1592">
    <cfRule type="expression" dxfId="0" priority="638">
      <formula>UPPER($N1477)="SI"</formula>
    </cfRule>
  </conditionalFormatting>
  <conditionalFormatting sqref="A1477:A1483 A1592">
    <cfRule type="expression" dxfId="1" priority="639">
      <formula>" =N1="no" "</formula>
    </cfRule>
  </conditionalFormatting>
  <conditionalFormatting sqref="A1477:N1483 A1592">
    <cfRule type="expression" dxfId="1" priority="640">
      <formula>UPPER($N1477)="NO"</formula>
    </cfRule>
  </conditionalFormatting>
  <conditionalFormatting sqref="A1476:N1476 A1586">
    <cfRule type="expression" dxfId="0" priority="641">
      <formula>UPPER($N1476)="SI"</formula>
    </cfRule>
  </conditionalFormatting>
  <conditionalFormatting sqref="A1476 A1586">
    <cfRule type="expression" dxfId="1" priority="642">
      <formula>" =N1="no" "</formula>
    </cfRule>
  </conditionalFormatting>
  <conditionalFormatting sqref="A1476:N1476 A1586">
    <cfRule type="expression" dxfId="1" priority="643">
      <formula>UPPER($N1476)="NO"</formula>
    </cfRule>
  </conditionalFormatting>
  <conditionalFormatting sqref="A1466:N1475 A1583:A1584">
    <cfRule type="expression" dxfId="0" priority="644">
      <formula>UPPER($N1466)="SI"</formula>
    </cfRule>
  </conditionalFormatting>
  <conditionalFormatting sqref="A1466:A1475 A1583:A1584">
    <cfRule type="expression" dxfId="1" priority="645">
      <formula>" =N1="no" "</formula>
    </cfRule>
  </conditionalFormatting>
  <conditionalFormatting sqref="A1466:N1475 A1583:A1584">
    <cfRule type="expression" dxfId="1" priority="646">
      <formula>UPPER($N1466)="NO"</formula>
    </cfRule>
  </conditionalFormatting>
  <conditionalFormatting sqref="A1464:N1465 A1573:A1574">
    <cfRule type="expression" dxfId="0" priority="647">
      <formula>UPPER($N1464)="SI"</formula>
    </cfRule>
  </conditionalFormatting>
  <conditionalFormatting sqref="A1464:A1465 A1573:A1574">
    <cfRule type="expression" dxfId="1" priority="648">
      <formula>" =N1="no" "</formula>
    </cfRule>
  </conditionalFormatting>
  <conditionalFormatting sqref="A1464:N1465 A1573:A1574">
    <cfRule type="expression" dxfId="1" priority="649">
      <formula>UPPER($N1464)="NO"</formula>
    </cfRule>
  </conditionalFormatting>
  <conditionalFormatting sqref="A1457:N1463 A1570">
    <cfRule type="expression" dxfId="0" priority="650">
      <formula>UPPER($N1457)="SI"</formula>
    </cfRule>
  </conditionalFormatting>
  <conditionalFormatting sqref="A1457:A1463 A1570">
    <cfRule type="expression" dxfId="1" priority="651">
      <formula>" =N1="no" "</formula>
    </cfRule>
  </conditionalFormatting>
  <conditionalFormatting sqref="A1457:N1463 A1570">
    <cfRule type="expression" dxfId="1" priority="652">
      <formula>UPPER($N1457)="NO"</formula>
    </cfRule>
  </conditionalFormatting>
  <conditionalFormatting sqref="A1454:N1456 A1566">
    <cfRule type="expression" dxfId="0" priority="653">
      <formula>UPPER($N1454)="SI"</formula>
    </cfRule>
  </conditionalFormatting>
  <conditionalFormatting sqref="A1454:A1456 A1566">
    <cfRule type="expression" dxfId="1" priority="654">
      <formula>" =N1="no" "</formula>
    </cfRule>
  </conditionalFormatting>
  <conditionalFormatting sqref="A1454:N1456 A1566">
    <cfRule type="expression" dxfId="1" priority="655">
      <formula>UPPER($N1454)="NO"</formula>
    </cfRule>
  </conditionalFormatting>
  <conditionalFormatting sqref="A1453:N1453 A1560">
    <cfRule type="expression" dxfId="0" priority="656">
      <formula>UPPER($N1453)="SI"</formula>
    </cfRule>
  </conditionalFormatting>
  <conditionalFormatting sqref="A1453 A1560">
    <cfRule type="expression" dxfId="1" priority="657">
      <formula>" =N1="no" "</formula>
    </cfRule>
  </conditionalFormatting>
  <conditionalFormatting sqref="A1453:N1453 A1560">
    <cfRule type="expression" dxfId="1" priority="658">
      <formula>UPPER($N1453)="NO"</formula>
    </cfRule>
  </conditionalFormatting>
  <conditionalFormatting sqref="A1451:N1452 A1559">
    <cfRule type="expression" dxfId="0" priority="659">
      <formula>UPPER($N1451)="SI"</formula>
    </cfRule>
  </conditionalFormatting>
  <conditionalFormatting sqref="A1451:A1452 A1559">
    <cfRule type="expression" dxfId="1" priority="660">
      <formula>" =N1="no" "</formula>
    </cfRule>
  </conditionalFormatting>
  <conditionalFormatting sqref="A1451:N1452 A1559">
    <cfRule type="expression" dxfId="1" priority="661">
      <formula>UPPER($N1451)="NO"</formula>
    </cfRule>
  </conditionalFormatting>
  <conditionalFormatting sqref="A1446:N1450 A1553:A1554">
    <cfRule type="expression" dxfId="0" priority="662">
      <formula>UPPER($N1446)="SI"</formula>
    </cfRule>
  </conditionalFormatting>
  <conditionalFormatting sqref="A1446:A1450 A1553:A1554">
    <cfRule type="expression" dxfId="1" priority="663">
      <formula>" =N1="no" "</formula>
    </cfRule>
  </conditionalFormatting>
  <conditionalFormatting sqref="A1446:N1450 A1553:A1554">
    <cfRule type="expression" dxfId="1" priority="664">
      <formula>UPPER($N1446)="NO"</formula>
    </cfRule>
  </conditionalFormatting>
  <conditionalFormatting sqref="A1438:N1445 A1542">
    <cfRule type="expression" dxfId="0" priority="665">
      <formula>UPPER($N1438)="SI"</formula>
    </cfRule>
  </conditionalFormatting>
  <conditionalFormatting sqref="A1438:A1445 A1542">
    <cfRule type="expression" dxfId="1" priority="666">
      <formula>" =N1="no" "</formula>
    </cfRule>
  </conditionalFormatting>
  <conditionalFormatting sqref="A1438:N1445 A1542">
    <cfRule type="expression" dxfId="1" priority="667">
      <formula>UPPER($N1438)="NO"</formula>
    </cfRule>
  </conditionalFormatting>
  <conditionalFormatting sqref="A1436:N1437 A1535">
    <cfRule type="expression" dxfId="0" priority="668">
      <formula>UPPER($N1436)="SI"</formula>
    </cfRule>
  </conditionalFormatting>
  <conditionalFormatting sqref="A1436:A1437 A1535">
    <cfRule type="expression" dxfId="1" priority="669">
      <formula>" =N1="no" "</formula>
    </cfRule>
  </conditionalFormatting>
  <conditionalFormatting sqref="A1436:N1437 A1535">
    <cfRule type="expression" dxfId="1" priority="670">
      <formula>UPPER($N1436)="NO"</formula>
    </cfRule>
  </conditionalFormatting>
  <conditionalFormatting sqref="A1430:N1435 A1531">
    <cfRule type="expression" dxfId="0" priority="671">
      <formula>UPPER($N1430)="SI"</formula>
    </cfRule>
  </conditionalFormatting>
  <conditionalFormatting sqref="A1430:A1435 A1531">
    <cfRule type="expression" dxfId="1" priority="672">
      <formula>" =N1="no" "</formula>
    </cfRule>
  </conditionalFormatting>
  <conditionalFormatting sqref="A1430:N1435 A1531">
    <cfRule type="expression" dxfId="1" priority="673">
      <formula>UPPER($N1430)="NO"</formula>
    </cfRule>
  </conditionalFormatting>
  <conditionalFormatting sqref="A1429:N1429 A1524">
    <cfRule type="expression" dxfId="0" priority="674">
      <formula>UPPER($N1429)="SI"</formula>
    </cfRule>
  </conditionalFormatting>
  <conditionalFormatting sqref="A1429 A1524">
    <cfRule type="expression" dxfId="1" priority="675">
      <formula>" =N1="no" "</formula>
    </cfRule>
  </conditionalFormatting>
  <conditionalFormatting sqref="A1429:N1429 A1524">
    <cfRule type="expression" dxfId="1" priority="676">
      <formula>UPPER($N1429)="NO"</formula>
    </cfRule>
  </conditionalFormatting>
  <conditionalFormatting sqref="A1428:N1428 A1523">
    <cfRule type="expression" dxfId="0" priority="677">
      <formula>UPPER($N1428)="SI"</formula>
    </cfRule>
  </conditionalFormatting>
  <conditionalFormatting sqref="A1428 A1523">
    <cfRule type="expression" dxfId="1" priority="678">
      <formula>" =N1="no" "</formula>
    </cfRule>
  </conditionalFormatting>
  <conditionalFormatting sqref="A1428:N1428 A1523">
    <cfRule type="expression" dxfId="1" priority="679">
      <formula>UPPER($N1428)="NO"</formula>
    </cfRule>
  </conditionalFormatting>
  <conditionalFormatting sqref="A1426:N1427 A1521">
    <cfRule type="expression" dxfId="0" priority="680">
      <formula>UPPER($N1426)="SI"</formula>
    </cfRule>
  </conditionalFormatting>
  <conditionalFormatting sqref="A1426:A1427 A1521">
    <cfRule type="expression" dxfId="1" priority="681">
      <formula>" =N1="no" "</formula>
    </cfRule>
  </conditionalFormatting>
  <conditionalFormatting sqref="A1426:N1427 A1521">
    <cfRule type="expression" dxfId="1" priority="682">
      <formula>UPPER($N1426)="NO"</formula>
    </cfRule>
  </conditionalFormatting>
  <conditionalFormatting sqref="A1421:N1425 A1515">
    <cfRule type="expression" dxfId="0" priority="683">
      <formula>UPPER($N1421)="SI"</formula>
    </cfRule>
  </conditionalFormatting>
  <conditionalFormatting sqref="A1421:A1425 A1515">
    <cfRule type="expression" dxfId="1" priority="684">
      <formula>" =N1="no" "</formula>
    </cfRule>
  </conditionalFormatting>
  <conditionalFormatting sqref="A1421:N1425 A1515">
    <cfRule type="expression" dxfId="1" priority="685">
      <formula>UPPER($N1421)="NO"</formula>
    </cfRule>
  </conditionalFormatting>
  <conditionalFormatting sqref="A1420:N1420 A1512">
    <cfRule type="expression" dxfId="0" priority="686">
      <formula>UPPER($N1420)="SI"</formula>
    </cfRule>
  </conditionalFormatting>
  <conditionalFormatting sqref="A1420 A1512">
    <cfRule type="expression" dxfId="1" priority="687">
      <formula>" =N1="no" "</formula>
    </cfRule>
  </conditionalFormatting>
  <conditionalFormatting sqref="A1420:N1420 A1512">
    <cfRule type="expression" dxfId="1" priority="688">
      <formula>UPPER($N1420)="NO"</formula>
    </cfRule>
  </conditionalFormatting>
  <conditionalFormatting sqref="A1419:N1419">
    <cfRule type="expression" dxfId="0" priority="689">
      <formula>UPPER($N1419)="SI"</formula>
    </cfRule>
  </conditionalFormatting>
  <conditionalFormatting sqref="A1419">
    <cfRule type="expression" dxfId="1" priority="690">
      <formula>" =N1="no" "</formula>
    </cfRule>
  </conditionalFormatting>
  <conditionalFormatting sqref="A1419:N1419">
    <cfRule type="expression" dxfId="1" priority="691">
      <formula>UPPER($N1419)="NO"</formula>
    </cfRule>
  </conditionalFormatting>
  <conditionalFormatting sqref="A1416:N1418">
    <cfRule type="expression" dxfId="0" priority="692">
      <formula>UPPER($N1416)="SI"</formula>
    </cfRule>
  </conditionalFormatting>
  <conditionalFormatting sqref="A1416:A1418">
    <cfRule type="expression" dxfId="1" priority="693">
      <formula>" =N1="no" "</formula>
    </cfRule>
  </conditionalFormatting>
  <conditionalFormatting sqref="A1416:N1418">
    <cfRule type="expression" dxfId="1" priority="694">
      <formula>UPPER($N1416)="NO"</formula>
    </cfRule>
  </conditionalFormatting>
  <conditionalFormatting sqref="A1415:N1415">
    <cfRule type="expression" dxfId="0" priority="695">
      <formula>UPPER($N1415)="SI"</formula>
    </cfRule>
  </conditionalFormatting>
  <conditionalFormatting sqref="A1415">
    <cfRule type="expression" dxfId="1" priority="696">
      <formula>" =N1="no" "</formula>
    </cfRule>
  </conditionalFormatting>
  <conditionalFormatting sqref="A1415:N1415">
    <cfRule type="expression" dxfId="1" priority="697">
      <formula>UPPER($N1415)="NO"</formula>
    </cfRule>
  </conditionalFormatting>
  <conditionalFormatting sqref="A1414:N1414 A1511">
    <cfRule type="expression" dxfId="0" priority="698">
      <formula>UPPER($N1414)="SI"</formula>
    </cfRule>
  </conditionalFormatting>
  <conditionalFormatting sqref="A1414 A1511">
    <cfRule type="expression" dxfId="1" priority="699">
      <formula>" =N1="no" "</formula>
    </cfRule>
  </conditionalFormatting>
  <conditionalFormatting sqref="A1414:N1414 A1511">
    <cfRule type="expression" dxfId="1" priority="700">
      <formula>UPPER($N1414)="NO"</formula>
    </cfRule>
  </conditionalFormatting>
  <conditionalFormatting sqref="A1412:N1413">
    <cfRule type="expression" dxfId="0" priority="701">
      <formula>UPPER($N1412)="SI"</formula>
    </cfRule>
  </conditionalFormatting>
  <conditionalFormatting sqref="A1412:A1413">
    <cfRule type="expression" dxfId="1" priority="702">
      <formula>" =N1="no" "</formula>
    </cfRule>
  </conditionalFormatting>
  <conditionalFormatting sqref="A1412:N1413">
    <cfRule type="expression" dxfId="1" priority="703">
      <formula>UPPER($N1412)="NO"</formula>
    </cfRule>
  </conditionalFormatting>
  <conditionalFormatting sqref="A1409:N1411 A1509">
    <cfRule type="expression" dxfId="0" priority="704">
      <formula>UPPER($N1409)="SI"</formula>
    </cfRule>
  </conditionalFormatting>
  <conditionalFormatting sqref="A1409:A1411 A1509">
    <cfRule type="expression" dxfId="1" priority="705">
      <formula>" =N1="no" "</formula>
    </cfRule>
  </conditionalFormatting>
  <conditionalFormatting sqref="A1409:N1411 A1509">
    <cfRule type="expression" dxfId="1" priority="706">
      <formula>UPPER($N1409)="NO"</formula>
    </cfRule>
  </conditionalFormatting>
  <conditionalFormatting sqref="A1408:N1408">
    <cfRule type="expression" dxfId="0" priority="707">
      <formula>UPPER($N1408)="SI"</formula>
    </cfRule>
  </conditionalFormatting>
  <conditionalFormatting sqref="A1408">
    <cfRule type="expression" dxfId="1" priority="708">
      <formula>" =N1="no" "</formula>
    </cfRule>
  </conditionalFormatting>
  <conditionalFormatting sqref="A1408:N1408">
    <cfRule type="expression" dxfId="1" priority="709">
      <formula>UPPER($N1408)="NO"</formula>
    </cfRule>
  </conditionalFormatting>
  <conditionalFormatting sqref="A1406:N1407 A1506">
    <cfRule type="expression" dxfId="0" priority="710">
      <formula>UPPER($N1406)="SI"</formula>
    </cfRule>
  </conditionalFormatting>
  <conditionalFormatting sqref="A1406:A1407 A1506">
    <cfRule type="expression" dxfId="1" priority="711">
      <formula>" =N1="no" "</formula>
    </cfRule>
  </conditionalFormatting>
  <conditionalFormatting sqref="A1406:N1407 A1506">
    <cfRule type="expression" dxfId="1" priority="712">
      <formula>UPPER($N1406)="NO"</formula>
    </cfRule>
  </conditionalFormatting>
  <conditionalFormatting sqref="A1404:N1405 A1505">
    <cfRule type="expression" dxfId="0" priority="713">
      <formula>UPPER($N1404)="SI"</formula>
    </cfRule>
  </conditionalFormatting>
  <conditionalFormatting sqref="A1404:A1405 A1505">
    <cfRule type="expression" dxfId="1" priority="714">
      <formula>" =N1="no" "</formula>
    </cfRule>
  </conditionalFormatting>
  <conditionalFormatting sqref="A1404:N1405 A1505">
    <cfRule type="expression" dxfId="1" priority="715">
      <formula>UPPER($N1404)="NO"</formula>
    </cfRule>
  </conditionalFormatting>
  <conditionalFormatting sqref="A1403:N1403">
    <cfRule type="expression" dxfId="0" priority="716">
      <formula>UPPER($N1403)="SI"</formula>
    </cfRule>
  </conditionalFormatting>
  <conditionalFormatting sqref="A1403">
    <cfRule type="expression" dxfId="1" priority="717">
      <formula>" =N1="no" "</formula>
    </cfRule>
  </conditionalFormatting>
  <conditionalFormatting sqref="A1403:N1403">
    <cfRule type="expression" dxfId="1" priority="718">
      <formula>UPPER($N1403)="NO"</formula>
    </cfRule>
  </conditionalFormatting>
  <conditionalFormatting sqref="A1402:N1402">
    <cfRule type="expression" dxfId="0" priority="719">
      <formula>UPPER($N1402)="SI"</formula>
    </cfRule>
  </conditionalFormatting>
  <conditionalFormatting sqref="A1402">
    <cfRule type="expression" dxfId="1" priority="720">
      <formula>" =N1="no" "</formula>
    </cfRule>
  </conditionalFormatting>
  <conditionalFormatting sqref="A1402:N1402">
    <cfRule type="expression" dxfId="1" priority="721">
      <formula>UPPER($N1402)="NO"</formula>
    </cfRule>
  </conditionalFormatting>
  <conditionalFormatting sqref="A1401:N1401 A1503">
    <cfRule type="expression" dxfId="0" priority="722">
      <formula>UPPER($N1401)="SI"</formula>
    </cfRule>
  </conditionalFormatting>
  <conditionalFormatting sqref="A1401 A1503">
    <cfRule type="expression" dxfId="1" priority="723">
      <formula>" =N1="no" "</formula>
    </cfRule>
  </conditionalFormatting>
  <conditionalFormatting sqref="A1401:N1401 A1503">
    <cfRule type="expression" dxfId="1" priority="724">
      <formula>UPPER($N1401)="NO"</formula>
    </cfRule>
  </conditionalFormatting>
  <conditionalFormatting sqref="A1400:N1400">
    <cfRule type="expression" dxfId="0" priority="725">
      <formula>UPPER($N1400)="SI"</formula>
    </cfRule>
  </conditionalFormatting>
  <conditionalFormatting sqref="A1400">
    <cfRule type="expression" dxfId="1" priority="726">
      <formula>" =N1="no" "</formula>
    </cfRule>
  </conditionalFormatting>
  <conditionalFormatting sqref="A1400:N1400">
    <cfRule type="expression" dxfId="1" priority="727">
      <formula>UPPER($N1400)="NO"</formula>
    </cfRule>
  </conditionalFormatting>
  <conditionalFormatting sqref="A1399:N1399 A1500">
    <cfRule type="expression" dxfId="0" priority="728">
      <formula>UPPER($N1399)="SI"</formula>
    </cfRule>
  </conditionalFormatting>
  <conditionalFormatting sqref="A1399 A1500">
    <cfRule type="expression" dxfId="1" priority="729">
      <formula>" =N1="no" "</formula>
    </cfRule>
  </conditionalFormatting>
  <conditionalFormatting sqref="A1399:N1399 A1500">
    <cfRule type="expression" dxfId="1" priority="730">
      <formula>UPPER($N1399)="NO"</formula>
    </cfRule>
  </conditionalFormatting>
  <conditionalFormatting sqref="A1397:N1398 A1499">
    <cfRule type="expression" dxfId="0" priority="731">
      <formula>UPPER($N1397)="SI"</formula>
    </cfRule>
  </conditionalFormatting>
  <conditionalFormatting sqref="A1397:A1398 A1499">
    <cfRule type="expression" dxfId="1" priority="732">
      <formula>" =N1="no" "</formula>
    </cfRule>
  </conditionalFormatting>
  <conditionalFormatting sqref="A1397:N1398 A1499">
    <cfRule type="expression" dxfId="1" priority="733">
      <formula>UPPER($N1397)="NO"</formula>
    </cfRule>
  </conditionalFormatting>
  <conditionalFormatting sqref="A1394:N1396 A1492:A1493">
    <cfRule type="expression" dxfId="0" priority="734">
      <formula>UPPER($N1394)="SI"</formula>
    </cfRule>
  </conditionalFormatting>
  <conditionalFormatting sqref="A1394:A1396 A1492:A1493">
    <cfRule type="expression" dxfId="1" priority="735">
      <formula>" =N1="no" "</formula>
    </cfRule>
  </conditionalFormatting>
  <conditionalFormatting sqref="A1394:N1396 A1492:A1493">
    <cfRule type="expression" dxfId="1" priority="736">
      <formula>UPPER($N1394)="NO"</formula>
    </cfRule>
  </conditionalFormatting>
  <conditionalFormatting sqref="A1393:N1393 A1490">
    <cfRule type="expression" dxfId="0" priority="737">
      <formula>UPPER($N1393)="SI"</formula>
    </cfRule>
  </conditionalFormatting>
  <conditionalFormatting sqref="A1393 A1490">
    <cfRule type="expression" dxfId="1" priority="738">
      <formula>" =N1="no" "</formula>
    </cfRule>
  </conditionalFormatting>
  <conditionalFormatting sqref="A1393:N1393 A1490">
    <cfRule type="expression" dxfId="1" priority="739">
      <formula>UPPER($N1393)="NO"</formula>
    </cfRule>
  </conditionalFormatting>
  <conditionalFormatting sqref="A1391:N1392 A1489">
    <cfRule type="expression" dxfId="0" priority="740">
      <formula>UPPER($N1391)="SI"</formula>
    </cfRule>
  </conditionalFormatting>
  <conditionalFormatting sqref="A1391:A1392 A1489">
    <cfRule type="expression" dxfId="1" priority="741">
      <formula>" =N1="no" "</formula>
    </cfRule>
  </conditionalFormatting>
  <conditionalFormatting sqref="A1391:N1392 A1489">
    <cfRule type="expression" dxfId="1" priority="742">
      <formula>UPPER($N1391)="NO"</formula>
    </cfRule>
  </conditionalFormatting>
  <conditionalFormatting sqref="A1386:N1390 A1487:A1488">
    <cfRule type="expression" dxfId="0" priority="743">
      <formula>UPPER($N1386)="SI"</formula>
    </cfRule>
  </conditionalFormatting>
  <conditionalFormatting sqref="A1386:A1390 A1487:A1488">
    <cfRule type="expression" dxfId="1" priority="744">
      <formula>" =N1="no" "</formula>
    </cfRule>
  </conditionalFormatting>
  <conditionalFormatting sqref="A1386:N1390 A1487:A1488">
    <cfRule type="expression" dxfId="1" priority="745">
      <formula>UPPER($N1386)="NO"</formula>
    </cfRule>
  </conditionalFormatting>
  <conditionalFormatting sqref="A1382:N1385 A1482">
    <cfRule type="expression" dxfId="0" priority="746">
      <formula>UPPER($N1382)="SI"</formula>
    </cfRule>
  </conditionalFormatting>
  <conditionalFormatting sqref="A1382:A1385 A1482">
    <cfRule type="expression" dxfId="1" priority="747">
      <formula>" =N1="no" "</formula>
    </cfRule>
  </conditionalFormatting>
  <conditionalFormatting sqref="A1382:N1385 A1482">
    <cfRule type="expression" dxfId="1" priority="748">
      <formula>UPPER($N1382)="NO"</formula>
    </cfRule>
  </conditionalFormatting>
  <conditionalFormatting sqref="A1381:N1381 A1477">
    <cfRule type="expression" dxfId="0" priority="749">
      <formula>UPPER($N1381)="SI"</formula>
    </cfRule>
  </conditionalFormatting>
  <conditionalFormatting sqref="A1381 A1477">
    <cfRule type="expression" dxfId="1" priority="750">
      <formula>" =N1="no" "</formula>
    </cfRule>
  </conditionalFormatting>
  <conditionalFormatting sqref="A1381:N1381 A1477">
    <cfRule type="expression" dxfId="1" priority="751">
      <formula>UPPER($N1381)="NO"</formula>
    </cfRule>
  </conditionalFormatting>
  <conditionalFormatting sqref="A1380:N1380 A1476">
    <cfRule type="expression" dxfId="0" priority="752">
      <formula>UPPER($N1380)="SI"</formula>
    </cfRule>
  </conditionalFormatting>
  <conditionalFormatting sqref="A1380 A1476">
    <cfRule type="expression" dxfId="1" priority="753">
      <formula>" =N1="no" "</formula>
    </cfRule>
  </conditionalFormatting>
  <conditionalFormatting sqref="A1380:N1380 A1476">
    <cfRule type="expression" dxfId="1" priority="754">
      <formula>UPPER($N1380)="NO"</formula>
    </cfRule>
  </conditionalFormatting>
  <conditionalFormatting sqref="A1377:N1379 A1474:A1475">
    <cfRule type="expression" dxfId="0" priority="755">
      <formula>UPPER($N1377)="SI"</formula>
    </cfRule>
  </conditionalFormatting>
  <conditionalFormatting sqref="A1377:A1379 A1474:A1475">
    <cfRule type="expression" dxfId="1" priority="756">
      <formula>" =N1="no" "</formula>
    </cfRule>
  </conditionalFormatting>
  <conditionalFormatting sqref="A1377:N1379 A1474:A1475">
    <cfRule type="expression" dxfId="1" priority="757">
      <formula>UPPER($N1377)="NO"</formula>
    </cfRule>
  </conditionalFormatting>
  <conditionalFormatting sqref="A1374:N1376 A1469:A1470">
    <cfRule type="expression" dxfId="0" priority="758">
      <formula>UPPER($N1374)="SI"</formula>
    </cfRule>
  </conditionalFormatting>
  <conditionalFormatting sqref="A1374:A1376 A1469:A1470">
    <cfRule type="expression" dxfId="1" priority="759">
      <formula>" =N1="no" "</formula>
    </cfRule>
  </conditionalFormatting>
  <conditionalFormatting sqref="A1374:N1376 A1469:A1470">
    <cfRule type="expression" dxfId="1" priority="760">
      <formula>UPPER($N1374)="NO"</formula>
    </cfRule>
  </conditionalFormatting>
  <conditionalFormatting sqref="A1370:N1373 A1468">
    <cfRule type="expression" dxfId="0" priority="761">
      <formula>UPPER($N1370)="SI"</formula>
    </cfRule>
  </conditionalFormatting>
  <conditionalFormatting sqref="A1370:A1373 A1468">
    <cfRule type="expression" dxfId="1" priority="762">
      <formula>" =N1="no" "</formula>
    </cfRule>
  </conditionalFormatting>
  <conditionalFormatting sqref="A1370:N1373 A1468">
    <cfRule type="expression" dxfId="1" priority="763">
      <formula>UPPER($N1370)="NO"</formula>
    </cfRule>
  </conditionalFormatting>
  <conditionalFormatting sqref="A1369:N1369 A1464">
    <cfRule type="expression" dxfId="0" priority="764">
      <formula>UPPER($N1369)="SI"</formula>
    </cfRule>
  </conditionalFormatting>
  <conditionalFormatting sqref="A1369 A1464">
    <cfRule type="expression" dxfId="1" priority="765">
      <formula>" =N1="no" "</formula>
    </cfRule>
  </conditionalFormatting>
  <conditionalFormatting sqref="A1369:N1369 A1464">
    <cfRule type="expression" dxfId="1" priority="766">
      <formula>UPPER($N1369)="NO"</formula>
    </cfRule>
  </conditionalFormatting>
  <conditionalFormatting sqref="A1368:N1368">
    <cfRule type="expression" dxfId="0" priority="767">
      <formula>UPPER($N1368)="SI"</formula>
    </cfRule>
  </conditionalFormatting>
  <conditionalFormatting sqref="A1368">
    <cfRule type="expression" dxfId="1" priority="768">
      <formula>" =N1="no" "</formula>
    </cfRule>
  </conditionalFormatting>
  <conditionalFormatting sqref="A1368:N1368">
    <cfRule type="expression" dxfId="1" priority="769">
      <formula>UPPER($N1368)="NO"</formula>
    </cfRule>
  </conditionalFormatting>
  <conditionalFormatting sqref="A1366:N1367 A1460">
    <cfRule type="expression" dxfId="0" priority="770">
      <formula>UPPER($N1366)="SI"</formula>
    </cfRule>
  </conditionalFormatting>
  <conditionalFormatting sqref="A1366:A1367 A1460">
    <cfRule type="expression" dxfId="1" priority="771">
      <formula>" =N1="no" "</formula>
    </cfRule>
  </conditionalFormatting>
  <conditionalFormatting sqref="A1366:N1367 A1460">
    <cfRule type="expression" dxfId="1" priority="772">
      <formula>UPPER($N1366)="NO"</formula>
    </cfRule>
  </conditionalFormatting>
  <conditionalFormatting sqref="A1365:N1365 A1458">
    <cfRule type="expression" dxfId="0" priority="773">
      <formula>UPPER($N1365)="SI"</formula>
    </cfRule>
  </conditionalFormatting>
  <conditionalFormatting sqref="A1365 A1458">
    <cfRule type="expression" dxfId="1" priority="774">
      <formula>" =N1="no" "</formula>
    </cfRule>
  </conditionalFormatting>
  <conditionalFormatting sqref="A1365:N1365 A1458">
    <cfRule type="expression" dxfId="1" priority="775">
      <formula>UPPER($N1365)="NO"</formula>
    </cfRule>
  </conditionalFormatting>
  <conditionalFormatting sqref="A1362:N1364 A1456:A1457">
    <cfRule type="expression" dxfId="0" priority="776">
      <formula>UPPER($N1362)="SI"</formula>
    </cfRule>
  </conditionalFormatting>
  <conditionalFormatting sqref="A1362:A1364 A1456:A1457">
    <cfRule type="expression" dxfId="1" priority="777">
      <formula>" =N1="no" "</formula>
    </cfRule>
  </conditionalFormatting>
  <conditionalFormatting sqref="A1362:N1364 A1456:A1457">
    <cfRule type="expression" dxfId="1" priority="778">
      <formula>UPPER($N1362)="NO"</formula>
    </cfRule>
  </conditionalFormatting>
  <conditionalFormatting sqref="A1361:N1361">
    <cfRule type="expression" dxfId="0" priority="779">
      <formula>UPPER($N1361)="SI"</formula>
    </cfRule>
  </conditionalFormatting>
  <conditionalFormatting sqref="A1361">
    <cfRule type="expression" dxfId="1" priority="780">
      <formula>" =N1="no" "</formula>
    </cfRule>
  </conditionalFormatting>
  <conditionalFormatting sqref="A1361:N1361">
    <cfRule type="expression" dxfId="1" priority="781">
      <formula>UPPER($N1361)="NO"</formula>
    </cfRule>
  </conditionalFormatting>
  <conditionalFormatting sqref="A1360:N1360 A1455">
    <cfRule type="expression" dxfId="0" priority="782">
      <formula>UPPER($N1360)="SI"</formula>
    </cfRule>
  </conditionalFormatting>
  <conditionalFormatting sqref="A1360 A1455">
    <cfRule type="expression" dxfId="1" priority="783">
      <formula>" =N1="no" "</formula>
    </cfRule>
  </conditionalFormatting>
  <conditionalFormatting sqref="A1360:N1360 A1455">
    <cfRule type="expression" dxfId="1" priority="784">
      <formula>UPPER($N1360)="NO"</formula>
    </cfRule>
  </conditionalFormatting>
  <conditionalFormatting sqref="A1359:N1359">
    <cfRule type="expression" dxfId="0" priority="785">
      <formula>UPPER($N1359)="SI"</formula>
    </cfRule>
  </conditionalFormatting>
  <conditionalFormatting sqref="A1359">
    <cfRule type="expression" dxfId="1" priority="786">
      <formula>" =N1="no" "</formula>
    </cfRule>
  </conditionalFormatting>
  <conditionalFormatting sqref="A1359:N1359">
    <cfRule type="expression" dxfId="1" priority="787">
      <formula>UPPER($N1359)="NO"</formula>
    </cfRule>
  </conditionalFormatting>
  <conditionalFormatting sqref="A1358:N1358">
    <cfRule type="expression" dxfId="0" priority="788">
      <formula>UPPER($N1358)="SI"</formula>
    </cfRule>
  </conditionalFormatting>
  <conditionalFormatting sqref="A1358">
    <cfRule type="expression" dxfId="1" priority="789">
      <formula>" =N1="no" "</formula>
    </cfRule>
  </conditionalFormatting>
  <conditionalFormatting sqref="A1358:N1358">
    <cfRule type="expression" dxfId="1" priority="790">
      <formula>UPPER($N1358)="NO"</formula>
    </cfRule>
  </conditionalFormatting>
  <conditionalFormatting sqref="A1353:N1357 A1453:A1454">
    <cfRule type="expression" dxfId="0" priority="791">
      <formula>UPPER($N1353)="SI"</formula>
    </cfRule>
  </conditionalFormatting>
  <conditionalFormatting sqref="A1353:A1357 A1453:A1454">
    <cfRule type="expression" dxfId="1" priority="792">
      <formula>" =N1="no" "</formula>
    </cfRule>
  </conditionalFormatting>
  <conditionalFormatting sqref="A1353:N1357 A1453:A1454">
    <cfRule type="expression" dxfId="1" priority="793">
      <formula>UPPER($N1353)="NO"</formula>
    </cfRule>
  </conditionalFormatting>
  <conditionalFormatting sqref="A1351:N1352 A1451:A1452">
    <cfRule type="expression" dxfId="0" priority="794">
      <formula>UPPER($N1351)="SI"</formula>
    </cfRule>
  </conditionalFormatting>
  <conditionalFormatting sqref="A1351:A1352 A1451:A1452">
    <cfRule type="expression" dxfId="1" priority="795">
      <formula>" =N1="no" "</formula>
    </cfRule>
  </conditionalFormatting>
  <conditionalFormatting sqref="A1351:N1352 A1451:A1452">
    <cfRule type="expression" dxfId="1" priority="796">
      <formula>UPPER($N1351)="NO"</formula>
    </cfRule>
  </conditionalFormatting>
  <conditionalFormatting sqref="A1344:N1350 A1449:A1450">
    <cfRule type="expression" dxfId="0" priority="797">
      <formula>UPPER($N1344)="SI"</formula>
    </cfRule>
  </conditionalFormatting>
  <conditionalFormatting sqref="A1344:A1350 A1449:A1450">
    <cfRule type="expression" dxfId="1" priority="798">
      <formula>" =N1="no" "</formula>
    </cfRule>
  </conditionalFormatting>
  <conditionalFormatting sqref="A1344:N1350 A1449:A1450">
    <cfRule type="expression" dxfId="1" priority="799">
      <formula>UPPER($N1344)="NO"</formula>
    </cfRule>
  </conditionalFormatting>
  <conditionalFormatting sqref="A1343:N1343 A1443">
    <cfRule type="expression" dxfId="0" priority="800">
      <formula>UPPER($N1343)="SI"</formula>
    </cfRule>
  </conditionalFormatting>
  <conditionalFormatting sqref="A1343 A1443">
    <cfRule type="expression" dxfId="1" priority="801">
      <formula>" =N1="no" "</formula>
    </cfRule>
  </conditionalFormatting>
  <conditionalFormatting sqref="A1343:N1343 A1443">
    <cfRule type="expression" dxfId="1" priority="802">
      <formula>UPPER($N1343)="NO"</formula>
    </cfRule>
  </conditionalFormatting>
  <conditionalFormatting sqref="A1341:N1342 A1442">
    <cfRule type="expression" dxfId="0" priority="803">
      <formula>UPPER($N1341)="SI"</formula>
    </cfRule>
  </conditionalFormatting>
  <conditionalFormatting sqref="A1341:A1342 A1442">
    <cfRule type="expression" dxfId="1" priority="804">
      <formula>" =N1="no" "</formula>
    </cfRule>
  </conditionalFormatting>
  <conditionalFormatting sqref="A1341:N1342 A1442">
    <cfRule type="expression" dxfId="1" priority="805">
      <formula>UPPER($N1341)="NO"</formula>
    </cfRule>
  </conditionalFormatting>
  <conditionalFormatting sqref="A1339:N1340 A1439:A1440">
    <cfRule type="expression" dxfId="0" priority="806">
      <formula>UPPER($N1339)="SI"</formula>
    </cfRule>
  </conditionalFormatting>
  <conditionalFormatting sqref="A1339:A1340 A1439:A1440">
    <cfRule type="expression" dxfId="1" priority="807">
      <formula>" =N1="no" "</formula>
    </cfRule>
  </conditionalFormatting>
  <conditionalFormatting sqref="A1339:N1340 A1439:A1440">
    <cfRule type="expression" dxfId="1" priority="808">
      <formula>UPPER($N1339)="NO"</formula>
    </cfRule>
  </conditionalFormatting>
  <conditionalFormatting sqref="A1338:N1338">
    <cfRule type="expression" dxfId="0" priority="809">
      <formula>UPPER($N1338)="SI"</formula>
    </cfRule>
  </conditionalFormatting>
  <conditionalFormatting sqref="A1338">
    <cfRule type="expression" dxfId="1" priority="810">
      <formula>" =N1="no" "</formula>
    </cfRule>
  </conditionalFormatting>
  <conditionalFormatting sqref="A1338:N1338">
    <cfRule type="expression" dxfId="1" priority="811">
      <formula>UPPER($N1338)="NO"</formula>
    </cfRule>
  </conditionalFormatting>
  <conditionalFormatting sqref="A1337:N1337">
    <cfRule type="expression" dxfId="0" priority="812">
      <formula>UPPER($N1337)="SI"</formula>
    </cfRule>
  </conditionalFormatting>
  <conditionalFormatting sqref="A1337">
    <cfRule type="expression" dxfId="1" priority="813">
      <formula>" =N1="no" "</formula>
    </cfRule>
  </conditionalFormatting>
  <conditionalFormatting sqref="A1337:N1337">
    <cfRule type="expression" dxfId="1" priority="814">
      <formula>UPPER($N1337)="NO"</formula>
    </cfRule>
  </conditionalFormatting>
  <conditionalFormatting sqref="A1333:N1336 A1437:A1438">
    <cfRule type="expression" dxfId="0" priority="815">
      <formula>UPPER($N1333)="SI"</formula>
    </cfRule>
  </conditionalFormatting>
  <conditionalFormatting sqref="A1333:A1336 A1437:A1438">
    <cfRule type="expression" dxfId="1" priority="816">
      <formula>" =N1="no" "</formula>
    </cfRule>
  </conditionalFormatting>
  <conditionalFormatting sqref="A1333:N1336 A1437:A1438">
    <cfRule type="expression" dxfId="1" priority="817">
      <formula>UPPER($N1333)="NO"</formula>
    </cfRule>
  </conditionalFormatting>
  <conditionalFormatting sqref="A1331:N1332 A1435:A1436">
    <cfRule type="expression" dxfId="0" priority="818">
      <formula>UPPER($N1331)="SI"</formula>
    </cfRule>
  </conditionalFormatting>
  <conditionalFormatting sqref="A1331:A1332 A1435:A1436">
    <cfRule type="expression" dxfId="1" priority="819">
      <formula>" =N1="no" "</formula>
    </cfRule>
  </conditionalFormatting>
  <conditionalFormatting sqref="A1331:N1332 A1435:A1436">
    <cfRule type="expression" dxfId="1" priority="820">
      <formula>UPPER($N1331)="NO"</formula>
    </cfRule>
  </conditionalFormatting>
  <conditionalFormatting sqref="A1329:N1330 A1433">
    <cfRule type="expression" dxfId="0" priority="821">
      <formula>UPPER($N1329)="SI"</formula>
    </cfRule>
  </conditionalFormatting>
  <conditionalFormatting sqref="A1329:A1330 A1433">
    <cfRule type="expression" dxfId="1" priority="822">
      <formula>" =N1="no" "</formula>
    </cfRule>
  </conditionalFormatting>
  <conditionalFormatting sqref="A1329:N1330 A1433">
    <cfRule type="expression" dxfId="1" priority="823">
      <formula>UPPER($N1329)="NO"</formula>
    </cfRule>
  </conditionalFormatting>
  <conditionalFormatting sqref="A1327:N1328">
    <cfRule type="expression" dxfId="0" priority="824">
      <formula>UPPER($N1327)="SI"</formula>
    </cfRule>
  </conditionalFormatting>
  <conditionalFormatting sqref="A1327:A1328">
    <cfRule type="expression" dxfId="1" priority="825">
      <formula>" =N1="no" "</formula>
    </cfRule>
  </conditionalFormatting>
  <conditionalFormatting sqref="A1327:N1328">
    <cfRule type="expression" dxfId="1" priority="826">
      <formula>UPPER($N1327)="NO"</formula>
    </cfRule>
  </conditionalFormatting>
  <conditionalFormatting sqref="A1326:N1326 A1431">
    <cfRule type="expression" dxfId="0" priority="827">
      <formula>UPPER($N1326)="SI"</formula>
    </cfRule>
  </conditionalFormatting>
  <conditionalFormatting sqref="A1326 A1431">
    <cfRule type="expression" dxfId="1" priority="828">
      <formula>" =N1="no" "</formula>
    </cfRule>
  </conditionalFormatting>
  <conditionalFormatting sqref="A1326:N1326 A1431">
    <cfRule type="expression" dxfId="1" priority="829">
      <formula>UPPER($N1326)="NO"</formula>
    </cfRule>
  </conditionalFormatting>
  <conditionalFormatting sqref="A1325:N1325">
    <cfRule type="expression" dxfId="0" priority="830">
      <formula>UPPER($N1325)="SI"</formula>
    </cfRule>
  </conditionalFormatting>
  <conditionalFormatting sqref="A1325">
    <cfRule type="expression" dxfId="1" priority="831">
      <formula>" =N1="no" "</formula>
    </cfRule>
  </conditionalFormatting>
  <conditionalFormatting sqref="A1325:N1325">
    <cfRule type="expression" dxfId="1" priority="832">
      <formula>UPPER($N1325)="NO"</formula>
    </cfRule>
  </conditionalFormatting>
  <conditionalFormatting sqref="A1324:N1324 A1429">
    <cfRule type="expression" dxfId="0" priority="833">
      <formula>UPPER($N1324)="SI"</formula>
    </cfRule>
  </conditionalFormatting>
  <conditionalFormatting sqref="A1324 A1429">
    <cfRule type="expression" dxfId="1" priority="834">
      <formula>" =N1="no" "</formula>
    </cfRule>
  </conditionalFormatting>
  <conditionalFormatting sqref="A1324:N1324 A1429">
    <cfRule type="expression" dxfId="1" priority="835">
      <formula>UPPER($N1324)="NO"</formula>
    </cfRule>
  </conditionalFormatting>
  <conditionalFormatting sqref="A1323:N1323">
    <cfRule type="expression" dxfId="0" priority="836">
      <formula>UPPER($N1323)="SI"</formula>
    </cfRule>
  </conditionalFormatting>
  <conditionalFormatting sqref="A1323">
    <cfRule type="expression" dxfId="1" priority="837">
      <formula>" =N1="no" "</formula>
    </cfRule>
  </conditionalFormatting>
  <conditionalFormatting sqref="A1323:N1323">
    <cfRule type="expression" dxfId="1" priority="838">
      <formula>UPPER($N1323)="NO"</formula>
    </cfRule>
  </conditionalFormatting>
  <conditionalFormatting sqref="A1320:N1322 A1428">
    <cfRule type="expression" dxfId="0" priority="839">
      <formula>UPPER($N1320)="SI"</formula>
    </cfRule>
  </conditionalFormatting>
  <conditionalFormatting sqref="A1320:A1322 A1428">
    <cfRule type="expression" dxfId="1" priority="840">
      <formula>" =N1="no" "</formula>
    </cfRule>
  </conditionalFormatting>
  <conditionalFormatting sqref="A1320:N1322 A1428">
    <cfRule type="expression" dxfId="1" priority="841">
      <formula>UPPER($N1320)="NO"</formula>
    </cfRule>
  </conditionalFormatting>
  <conditionalFormatting sqref="A1319:N1319 A1427">
    <cfRule type="expression" dxfId="0" priority="842">
      <formula>UPPER($N1319)="SI"</formula>
    </cfRule>
  </conditionalFormatting>
  <conditionalFormatting sqref="A1319 A1427">
    <cfRule type="expression" dxfId="1" priority="843">
      <formula>" =N1="no" "</formula>
    </cfRule>
  </conditionalFormatting>
  <conditionalFormatting sqref="A1319:N1319 A1427">
    <cfRule type="expression" dxfId="1" priority="844">
      <formula>UPPER($N1319)="NO"</formula>
    </cfRule>
  </conditionalFormatting>
  <conditionalFormatting sqref="A1314:N1318 A1425:A1426">
    <cfRule type="expression" dxfId="0" priority="845">
      <formula>UPPER($N1314)="SI"</formula>
    </cfRule>
  </conditionalFormatting>
  <conditionalFormatting sqref="A1314:A1318 A1425:A1426">
    <cfRule type="expression" dxfId="1" priority="846">
      <formula>" =N1="no" "</formula>
    </cfRule>
  </conditionalFormatting>
  <conditionalFormatting sqref="A1314:N1318 A1425:A1426">
    <cfRule type="expression" dxfId="1" priority="847">
      <formula>UPPER($N1314)="NO"</formula>
    </cfRule>
  </conditionalFormatting>
  <conditionalFormatting sqref="A1313:N1313">
    <cfRule type="expression" dxfId="0" priority="848">
      <formula>UPPER($N1313)="SI"</formula>
    </cfRule>
  </conditionalFormatting>
  <conditionalFormatting sqref="A1313">
    <cfRule type="expression" dxfId="1" priority="849">
      <formula>" =N1="no" "</formula>
    </cfRule>
  </conditionalFormatting>
  <conditionalFormatting sqref="A1313:N1313">
    <cfRule type="expression" dxfId="1" priority="850">
      <formula>UPPER($N1313)="NO"</formula>
    </cfRule>
  </conditionalFormatting>
  <conditionalFormatting sqref="A1307:N1312 A1420:A1421">
    <cfRule type="expression" dxfId="0" priority="851">
      <formula>UPPER($N1307)="SI"</formula>
    </cfRule>
  </conditionalFormatting>
  <conditionalFormatting sqref="A1307:A1312 A1420:A1421">
    <cfRule type="expression" dxfId="1" priority="852">
      <formula>" =N1="no" "</formula>
    </cfRule>
  </conditionalFormatting>
  <conditionalFormatting sqref="A1307:N1312 A1420:A1421">
    <cfRule type="expression" dxfId="1" priority="853">
      <formula>UPPER($N1307)="NO"</formula>
    </cfRule>
  </conditionalFormatting>
  <conditionalFormatting sqref="A1306:N1306">
    <cfRule type="expression" dxfId="0" priority="854">
      <formula>UPPER($N1306)="SI"</formula>
    </cfRule>
  </conditionalFormatting>
  <conditionalFormatting sqref="A1306">
    <cfRule type="expression" dxfId="1" priority="855">
      <formula>" =N1="no" "</formula>
    </cfRule>
  </conditionalFormatting>
  <conditionalFormatting sqref="A1306:N1306">
    <cfRule type="expression" dxfId="1" priority="856">
      <formula>UPPER($N1306)="NO"</formula>
    </cfRule>
  </conditionalFormatting>
  <conditionalFormatting sqref="A1305:N1305 A1406">
    <cfRule type="expression" dxfId="0" priority="857">
      <formula>UPPER($N1305)="SI"</formula>
    </cfRule>
  </conditionalFormatting>
  <conditionalFormatting sqref="A1305 A1406">
    <cfRule type="expression" dxfId="1" priority="858">
      <formula>" =N1="no" "</formula>
    </cfRule>
  </conditionalFormatting>
  <conditionalFormatting sqref="A1305:N1305 A1406">
    <cfRule type="expression" dxfId="1" priority="859">
      <formula>UPPER($N1305)="NO"</formula>
    </cfRule>
  </conditionalFormatting>
  <conditionalFormatting sqref="A1303:N1304 A1405">
    <cfRule type="expression" dxfId="0" priority="860">
      <formula>UPPER($N1303)="SI"</formula>
    </cfRule>
  </conditionalFormatting>
  <conditionalFormatting sqref="A1303:A1304 A1405">
    <cfRule type="expression" dxfId="1" priority="861">
      <formula>" =N1="no" "</formula>
    </cfRule>
  </conditionalFormatting>
  <conditionalFormatting sqref="A1303:N1304 A1405">
    <cfRule type="expression" dxfId="1" priority="862">
      <formula>UPPER($N1303)="NO"</formula>
    </cfRule>
  </conditionalFormatting>
  <conditionalFormatting sqref="A1302:N1302 A1401">
    <cfRule type="expression" dxfId="0" priority="863">
      <formula>UPPER($N1302)="SI"</formula>
    </cfRule>
  </conditionalFormatting>
  <conditionalFormatting sqref="A1302 A1401">
    <cfRule type="expression" dxfId="1" priority="864">
      <formula>" =N1="no" "</formula>
    </cfRule>
  </conditionalFormatting>
  <conditionalFormatting sqref="A1302:N1302 A1401">
    <cfRule type="expression" dxfId="1" priority="865">
      <formula>UPPER($N1302)="NO"</formula>
    </cfRule>
  </conditionalFormatting>
  <conditionalFormatting sqref="A1296:N1301 A1395:A1399">
    <cfRule type="expression" dxfId="0" priority="866">
      <formula>UPPER($N1296)="SI"</formula>
    </cfRule>
  </conditionalFormatting>
  <conditionalFormatting sqref="A1296:A1301 A1395:A1399">
    <cfRule type="expression" dxfId="1" priority="867">
      <formula>" =N1="no" "</formula>
    </cfRule>
  </conditionalFormatting>
  <conditionalFormatting sqref="A1296:N1301 A1395:A1399">
    <cfRule type="expression" dxfId="1" priority="868">
      <formula>UPPER($N1296)="NO"</formula>
    </cfRule>
  </conditionalFormatting>
  <conditionalFormatting sqref="A1294:N1295 A1392">
    <cfRule type="expression" dxfId="0" priority="869">
      <formula>UPPER($N1294)="SI"</formula>
    </cfRule>
  </conditionalFormatting>
  <conditionalFormatting sqref="A1294:A1295 A1392">
    <cfRule type="expression" dxfId="1" priority="870">
      <formula>" =N1="no" "</formula>
    </cfRule>
  </conditionalFormatting>
  <conditionalFormatting sqref="A1294:N1295 A1392">
    <cfRule type="expression" dxfId="1" priority="871">
      <formula>UPPER($N1294)="NO"</formula>
    </cfRule>
  </conditionalFormatting>
  <conditionalFormatting sqref="A1283:N1293 A1390">
    <cfRule type="expression" dxfId="0" priority="872">
      <formula>UPPER($N1283)="SI"</formula>
    </cfRule>
  </conditionalFormatting>
  <conditionalFormatting sqref="A1283:A1293 A1390">
    <cfRule type="expression" dxfId="1" priority="873">
      <formula>" =N1="no" "</formula>
    </cfRule>
  </conditionalFormatting>
  <conditionalFormatting sqref="A1283:N1293 A1390">
    <cfRule type="expression" dxfId="1" priority="874">
      <formula>UPPER($N1283)="NO"</formula>
    </cfRule>
  </conditionalFormatting>
  <conditionalFormatting sqref="A1281:N1282 A1378:A1379">
    <cfRule type="expression" dxfId="0" priority="875">
      <formula>UPPER($N1281)="SI"</formula>
    </cfRule>
  </conditionalFormatting>
  <conditionalFormatting sqref="A1281:A1282 A1378:A1379">
    <cfRule type="expression" dxfId="1" priority="876">
      <formula>" =N1="no" "</formula>
    </cfRule>
  </conditionalFormatting>
  <conditionalFormatting sqref="A1281:N1282 A1378:A1379">
    <cfRule type="expression" dxfId="1" priority="877">
      <formula>UPPER($N1281)="NO"</formula>
    </cfRule>
  </conditionalFormatting>
  <conditionalFormatting sqref="A1279:N1280 A1376">
    <cfRule type="expression" dxfId="0" priority="878">
      <formula>UPPER($N1279)="SI"</formula>
    </cfRule>
  </conditionalFormatting>
  <conditionalFormatting sqref="A1279:A1280 A1376">
    <cfRule type="expression" dxfId="1" priority="879">
      <formula>" =N1="no" "</formula>
    </cfRule>
  </conditionalFormatting>
  <conditionalFormatting sqref="A1279:N1280 A1376">
    <cfRule type="expression" dxfId="1" priority="880">
      <formula>UPPER($N1279)="NO"</formula>
    </cfRule>
  </conditionalFormatting>
  <conditionalFormatting sqref="A1275:N1278 A1375">
    <cfRule type="expression" dxfId="0" priority="881">
      <formula>UPPER($N1275)="SI"</formula>
    </cfRule>
  </conditionalFormatting>
  <conditionalFormatting sqref="A1275:A1278 A1375">
    <cfRule type="expression" dxfId="1" priority="882">
      <formula>" =N1="no" "</formula>
    </cfRule>
  </conditionalFormatting>
  <conditionalFormatting sqref="A1275:N1278 A1375">
    <cfRule type="expression" dxfId="1" priority="883">
      <formula>UPPER($N1275)="NO"</formula>
    </cfRule>
  </conditionalFormatting>
  <conditionalFormatting sqref="A1274:N1274 A1371">
    <cfRule type="expression" dxfId="0" priority="884">
      <formula>UPPER($N1274)="SI"</formula>
    </cfRule>
  </conditionalFormatting>
  <conditionalFormatting sqref="A1274 A1371">
    <cfRule type="expression" dxfId="1" priority="885">
      <formula>" =N1="no" "</formula>
    </cfRule>
  </conditionalFormatting>
  <conditionalFormatting sqref="A1274:N1274 A1371">
    <cfRule type="expression" dxfId="1" priority="886">
      <formula>UPPER($N1274)="NO"</formula>
    </cfRule>
  </conditionalFormatting>
  <conditionalFormatting sqref="A1265:N1273 A1369:A1370">
    <cfRule type="expression" dxfId="0" priority="887">
      <formula>UPPER($N1265)="SI"</formula>
    </cfRule>
  </conditionalFormatting>
  <conditionalFormatting sqref="A1265:A1273 A1369:A1370">
    <cfRule type="expression" dxfId="1" priority="888">
      <formula>" =N1="no" "</formula>
    </cfRule>
  </conditionalFormatting>
  <conditionalFormatting sqref="A1265:N1273 A1369:A1370">
    <cfRule type="expression" dxfId="1" priority="889">
      <formula>UPPER($N1265)="NO"</formula>
    </cfRule>
  </conditionalFormatting>
  <conditionalFormatting sqref="A1264:N1264 A1353">
    <cfRule type="expression" dxfId="0" priority="890">
      <formula>UPPER($N1264)="SI"</formula>
    </cfRule>
  </conditionalFormatting>
  <conditionalFormatting sqref="A1264 A1353">
    <cfRule type="expression" dxfId="1" priority="891">
      <formula>" =N1="no" "</formula>
    </cfRule>
  </conditionalFormatting>
  <conditionalFormatting sqref="A1264:N1264 A1353">
    <cfRule type="expression" dxfId="1" priority="892">
      <formula>UPPER($N1264)="NO"</formula>
    </cfRule>
  </conditionalFormatting>
  <conditionalFormatting sqref="A1263:N1263 A1352">
    <cfRule type="expression" dxfId="0" priority="893">
      <formula>UPPER($N1263)="SI"</formula>
    </cfRule>
  </conditionalFormatting>
  <conditionalFormatting sqref="A1263 A1352">
    <cfRule type="expression" dxfId="1" priority="894">
      <formula>" =N1="no" "</formula>
    </cfRule>
  </conditionalFormatting>
  <conditionalFormatting sqref="A1263:N1263 A1352">
    <cfRule type="expression" dxfId="1" priority="895">
      <formula>UPPER($N1263)="NO"</formula>
    </cfRule>
  </conditionalFormatting>
  <conditionalFormatting sqref="A1262:N1262 A1351">
    <cfRule type="expression" dxfId="0" priority="896">
      <formula>UPPER($N1262)="SI"</formula>
    </cfRule>
  </conditionalFormatting>
  <conditionalFormatting sqref="A1262 A1351">
    <cfRule type="expression" dxfId="1" priority="897">
      <formula>" =N1="no" "</formula>
    </cfRule>
  </conditionalFormatting>
  <conditionalFormatting sqref="A1262:N1262 A1351">
    <cfRule type="expression" dxfId="1" priority="898">
      <formula>UPPER($N1262)="NO"</formula>
    </cfRule>
  </conditionalFormatting>
  <conditionalFormatting sqref="A1256:N1261 A1348:A1349">
    <cfRule type="expression" dxfId="0" priority="899">
      <formula>UPPER($N1256)="SI"</formula>
    </cfRule>
  </conditionalFormatting>
  <conditionalFormatting sqref="A1256:A1261 A1348:A1349">
    <cfRule type="expression" dxfId="1" priority="900">
      <formula>" =N1="no" "</formula>
    </cfRule>
  </conditionalFormatting>
  <conditionalFormatting sqref="A1256:N1261 A1348:A1349">
    <cfRule type="expression" dxfId="1" priority="901">
      <formula>UPPER($N1256)="NO"</formula>
    </cfRule>
  </conditionalFormatting>
  <conditionalFormatting sqref="A1248:N1255 A1343:A1345">
    <cfRule type="expression" dxfId="0" priority="902">
      <formula>UPPER($N1248)="SI"</formula>
    </cfRule>
  </conditionalFormatting>
  <conditionalFormatting sqref="A1248:A1255 A1343:A1345">
    <cfRule type="expression" dxfId="1" priority="903">
      <formula>" =N1="no" "</formula>
    </cfRule>
  </conditionalFormatting>
  <conditionalFormatting sqref="A1248:N1255 A1343:A1345">
    <cfRule type="expression" dxfId="1" priority="904">
      <formula>UPPER($N1248)="NO"</formula>
    </cfRule>
  </conditionalFormatting>
  <conditionalFormatting sqref="A1246:N1247 A1339">
    <cfRule type="expression" dxfId="0" priority="905">
      <formula>UPPER($N1246)="SI"</formula>
    </cfRule>
  </conditionalFormatting>
  <conditionalFormatting sqref="A1246:A1247 A1339">
    <cfRule type="expression" dxfId="1" priority="906">
      <formula>" =N1="no" "</formula>
    </cfRule>
  </conditionalFormatting>
  <conditionalFormatting sqref="A1246:N1247 A1339">
    <cfRule type="expression" dxfId="1" priority="907">
      <formula>UPPER($N1246)="NO"</formula>
    </cfRule>
  </conditionalFormatting>
  <conditionalFormatting sqref="A1243:N1245">
    <cfRule type="expression" dxfId="0" priority="908">
      <formula>UPPER($N1243)="SI"</formula>
    </cfRule>
  </conditionalFormatting>
  <conditionalFormatting sqref="A1243:A1245">
    <cfRule type="expression" dxfId="1" priority="909">
      <formula>" =N1="no" "</formula>
    </cfRule>
  </conditionalFormatting>
  <conditionalFormatting sqref="A1243:N1245">
    <cfRule type="expression" dxfId="1" priority="910">
      <formula>UPPER($N1243)="NO"</formula>
    </cfRule>
  </conditionalFormatting>
  <conditionalFormatting sqref="A1242:N1242 A1335">
    <cfRule type="expression" dxfId="0" priority="911">
      <formula>UPPER($N1242)="SI"</formula>
    </cfRule>
  </conditionalFormatting>
  <conditionalFormatting sqref="A1242 A1335">
    <cfRule type="expression" dxfId="1" priority="912">
      <formula>" =N1="no" "</formula>
    </cfRule>
  </conditionalFormatting>
  <conditionalFormatting sqref="A1242:N1242 A1335">
    <cfRule type="expression" dxfId="1" priority="913">
      <formula>UPPER($N1242)="NO"</formula>
    </cfRule>
  </conditionalFormatting>
  <conditionalFormatting sqref="A1241:N1241">
    <cfRule type="expression" dxfId="0" priority="914">
      <formula>UPPER($N1241)="SI"</formula>
    </cfRule>
  </conditionalFormatting>
  <conditionalFormatting sqref="A1241">
    <cfRule type="expression" dxfId="1" priority="915">
      <formula>" =N1="no" "</formula>
    </cfRule>
  </conditionalFormatting>
  <conditionalFormatting sqref="A1241:N1241">
    <cfRule type="expression" dxfId="1" priority="916">
      <formula>UPPER($N1241)="NO"</formula>
    </cfRule>
  </conditionalFormatting>
  <conditionalFormatting sqref="A1239:N1240 A1331:A1332">
    <cfRule type="expression" dxfId="0" priority="917">
      <formula>UPPER($N1239)="SI"</formula>
    </cfRule>
  </conditionalFormatting>
  <conditionalFormatting sqref="A1239:A1240 A1331:A1332">
    <cfRule type="expression" dxfId="1" priority="918">
      <formula>" =N1="no" "</formula>
    </cfRule>
  </conditionalFormatting>
  <conditionalFormatting sqref="A1239:N1240 A1331:A1332">
    <cfRule type="expression" dxfId="1" priority="919">
      <formula>UPPER($N1239)="NO"</formula>
    </cfRule>
  </conditionalFormatting>
  <conditionalFormatting sqref="A1237:N1238">
    <cfRule type="expression" dxfId="0" priority="920">
      <formula>UPPER($N1237)="SI"</formula>
    </cfRule>
  </conditionalFormatting>
  <conditionalFormatting sqref="A1237:A1238">
    <cfRule type="expression" dxfId="1" priority="921">
      <formula>" =N1="no" "</formula>
    </cfRule>
  </conditionalFormatting>
  <conditionalFormatting sqref="A1237:N1238">
    <cfRule type="expression" dxfId="1" priority="922">
      <formula>UPPER($N1237)="NO"</formula>
    </cfRule>
  </conditionalFormatting>
  <conditionalFormatting sqref="A1233:N1236 A1329">
    <cfRule type="expression" dxfId="0" priority="923">
      <formula>UPPER($N1233)="SI"</formula>
    </cfRule>
  </conditionalFormatting>
  <conditionalFormatting sqref="A1233:A1236 A1329">
    <cfRule type="expression" dxfId="1" priority="924">
      <formula>" =N1="no" "</formula>
    </cfRule>
  </conditionalFormatting>
  <conditionalFormatting sqref="A1233:N1236 A1329">
    <cfRule type="expression" dxfId="1" priority="925">
      <formula>UPPER($N1233)="NO"</formula>
    </cfRule>
  </conditionalFormatting>
  <conditionalFormatting sqref="A1232:N1232 A1324">
    <cfRule type="expression" dxfId="0" priority="926">
      <formula>UPPER($N1232)="SI"</formula>
    </cfRule>
  </conditionalFormatting>
  <conditionalFormatting sqref="A1232 A1324">
    <cfRule type="expression" dxfId="1" priority="927">
      <formula>" =N1="no" "</formula>
    </cfRule>
  </conditionalFormatting>
  <conditionalFormatting sqref="A1232:N1232 A1324">
    <cfRule type="expression" dxfId="1" priority="928">
      <formula>UPPER($N1232)="NO"</formula>
    </cfRule>
  </conditionalFormatting>
  <conditionalFormatting sqref="A1231:N1231">
    <cfRule type="expression" dxfId="0" priority="929">
      <formula>UPPER($N1231)="SI"</formula>
    </cfRule>
  </conditionalFormatting>
  <conditionalFormatting sqref="A1231">
    <cfRule type="expression" dxfId="1" priority="930">
      <formula>" =N1="no" "</formula>
    </cfRule>
  </conditionalFormatting>
  <conditionalFormatting sqref="A1231:N1231">
    <cfRule type="expression" dxfId="1" priority="931">
      <formula>UPPER($N1231)="NO"</formula>
    </cfRule>
  </conditionalFormatting>
  <conditionalFormatting sqref="A1227:N1230 A1321">
    <cfRule type="expression" dxfId="0" priority="932">
      <formula>UPPER($N1227)="SI"</formula>
    </cfRule>
  </conditionalFormatting>
  <conditionalFormatting sqref="A1227:A1230 A1321">
    <cfRule type="expression" dxfId="1" priority="933">
      <formula>" =N1="no" "</formula>
    </cfRule>
  </conditionalFormatting>
  <conditionalFormatting sqref="A1227:N1230 A1321">
    <cfRule type="expression" dxfId="1" priority="934">
      <formula>UPPER($N1227)="NO"</formula>
    </cfRule>
  </conditionalFormatting>
  <conditionalFormatting sqref="A1213:N1226 A1316:A1317">
    <cfRule type="expression" dxfId="0" priority="935">
      <formula>UPPER($N1213)="SI"</formula>
    </cfRule>
  </conditionalFormatting>
  <conditionalFormatting sqref="A1213:A1226 A1316:A1317">
    <cfRule type="expression" dxfId="1" priority="936">
      <formula>" =N1="no" "</formula>
    </cfRule>
  </conditionalFormatting>
  <conditionalFormatting sqref="A1213:N1226 A1316:A1317">
    <cfRule type="expression" dxfId="1" priority="937">
      <formula>UPPER($N1213)="NO"</formula>
    </cfRule>
  </conditionalFormatting>
  <conditionalFormatting sqref="A1206:N1212 A1299">
    <cfRule type="expression" dxfId="0" priority="938">
      <formula>UPPER($N1206)="SI"</formula>
    </cfRule>
  </conditionalFormatting>
  <conditionalFormatting sqref="A1206:A1212 A1299">
    <cfRule type="expression" dxfId="1" priority="939">
      <formula>" =N1="no" "</formula>
    </cfRule>
  </conditionalFormatting>
  <conditionalFormatting sqref="A1206:N1212 A1299">
    <cfRule type="expression" dxfId="1" priority="940">
      <formula>UPPER($N1206)="NO"</formula>
    </cfRule>
  </conditionalFormatting>
  <conditionalFormatting sqref="A1203:N1205 A1293:A1294">
    <cfRule type="expression" dxfId="0" priority="941">
      <formula>UPPER($N1203)="SI"</formula>
    </cfRule>
  </conditionalFormatting>
  <conditionalFormatting sqref="A1203:A1205 A1293:A1294">
    <cfRule type="expression" dxfId="1" priority="942">
      <formula>" =N1="no" "</formula>
    </cfRule>
  </conditionalFormatting>
  <conditionalFormatting sqref="A1203:N1205 A1293:A1294">
    <cfRule type="expression" dxfId="1" priority="943">
      <formula>UPPER($N1203)="NO"</formula>
    </cfRule>
  </conditionalFormatting>
  <conditionalFormatting sqref="A1202:N1202">
    <cfRule type="expression" dxfId="0" priority="944">
      <formula>UPPER($N1202)="SI"</formula>
    </cfRule>
  </conditionalFormatting>
  <conditionalFormatting sqref="A1202">
    <cfRule type="expression" dxfId="1" priority="945">
      <formula>" =N1="no" "</formula>
    </cfRule>
  </conditionalFormatting>
  <conditionalFormatting sqref="A1202:N1202">
    <cfRule type="expression" dxfId="1" priority="946">
      <formula>UPPER($N1202)="NO"</formula>
    </cfRule>
  </conditionalFormatting>
  <conditionalFormatting sqref="A1198:N1201 A1289">
    <cfRule type="expression" dxfId="0" priority="947">
      <formula>UPPER($N1198)="SI"</formula>
    </cfRule>
  </conditionalFormatting>
  <conditionalFormatting sqref="A1198:A1201 A1289">
    <cfRule type="expression" dxfId="1" priority="948">
      <formula>" =N1="no" "</formula>
    </cfRule>
  </conditionalFormatting>
  <conditionalFormatting sqref="A1198:N1201 A1289">
    <cfRule type="expression" dxfId="1" priority="949">
      <formula>UPPER($N1198)="NO"</formula>
    </cfRule>
  </conditionalFormatting>
  <conditionalFormatting sqref="A1195:N1197 A1286">
    <cfRule type="expression" dxfId="0" priority="950">
      <formula>UPPER($N1195)="SI"</formula>
    </cfRule>
  </conditionalFormatting>
  <conditionalFormatting sqref="A1195:A1197 A1286">
    <cfRule type="expression" dxfId="1" priority="951">
      <formula>" =N1="no" "</formula>
    </cfRule>
  </conditionalFormatting>
  <conditionalFormatting sqref="A1195:N1197 A1286">
    <cfRule type="expression" dxfId="1" priority="952">
      <formula>UPPER($N1195)="NO"</formula>
    </cfRule>
  </conditionalFormatting>
  <conditionalFormatting sqref="A1191:N1194 A1282:A1285">
    <cfRule type="expression" dxfId="0" priority="953">
      <formula>UPPER($N1191)="SI"</formula>
    </cfRule>
  </conditionalFormatting>
  <conditionalFormatting sqref="A1191:A1194 A1282:A1285">
    <cfRule type="expression" dxfId="1" priority="954">
      <formula>" =N1="no" "</formula>
    </cfRule>
  </conditionalFormatting>
  <conditionalFormatting sqref="A1191:N1194 A1282:A1285">
    <cfRule type="expression" dxfId="1" priority="955">
      <formula>UPPER($N1191)="NO"</formula>
    </cfRule>
  </conditionalFormatting>
  <conditionalFormatting sqref="A1182:N1190 A1280:A1281">
    <cfRule type="expression" dxfId="0" priority="956">
      <formula>UPPER($N1182)="SI"</formula>
    </cfRule>
  </conditionalFormatting>
  <conditionalFormatting sqref="A1182:A1190 A1280:A1281">
    <cfRule type="expression" dxfId="1" priority="957">
      <formula>" =N1="no" "</formula>
    </cfRule>
  </conditionalFormatting>
  <conditionalFormatting sqref="A1182:N1190 A1280:A1281">
    <cfRule type="expression" dxfId="1" priority="958">
      <formula>UPPER($N1182)="NO"</formula>
    </cfRule>
  </conditionalFormatting>
  <conditionalFormatting sqref="A1177:N1181 A1272">
    <cfRule type="expression" dxfId="0" priority="959">
      <formula>UPPER($N1177)="SI"</formula>
    </cfRule>
  </conditionalFormatting>
  <conditionalFormatting sqref="A1177:A1181 A1272">
    <cfRule type="expression" dxfId="1" priority="960">
      <formula>" =N1="no" "</formula>
    </cfRule>
  </conditionalFormatting>
  <conditionalFormatting sqref="A1177:N1181 A1272">
    <cfRule type="expression" dxfId="1" priority="961">
      <formula>UPPER($N1177)="NO"</formula>
    </cfRule>
  </conditionalFormatting>
  <conditionalFormatting sqref="A1176:N1176 A1270">
    <cfRule type="expression" dxfId="0" priority="962">
      <formula>UPPER($N1176)="SI"</formula>
    </cfRule>
  </conditionalFormatting>
  <conditionalFormatting sqref="A1176 A1270">
    <cfRule type="expression" dxfId="1" priority="963">
      <formula>" =N1="no" "</formula>
    </cfRule>
  </conditionalFormatting>
  <conditionalFormatting sqref="A1176:N1176 A1270">
    <cfRule type="expression" dxfId="1" priority="964">
      <formula>UPPER($N1176)="NO"</formula>
    </cfRule>
  </conditionalFormatting>
  <conditionalFormatting sqref="A1173:N1175 A1269">
    <cfRule type="expression" dxfId="0" priority="965">
      <formula>UPPER($N1173)="SI"</formula>
    </cfRule>
  </conditionalFormatting>
  <conditionalFormatting sqref="A1173:A1175 A1269">
    <cfRule type="expression" dxfId="1" priority="966">
      <formula>" =N1="no" "</formula>
    </cfRule>
  </conditionalFormatting>
  <conditionalFormatting sqref="A1173:N1175 A1269">
    <cfRule type="expression" dxfId="1" priority="967">
      <formula>UPPER($N1173)="NO"</formula>
    </cfRule>
  </conditionalFormatting>
  <conditionalFormatting sqref="A1172:N1172 A1266">
    <cfRule type="expression" dxfId="0" priority="968">
      <formula>UPPER($N1172)="SI"</formula>
    </cfRule>
  </conditionalFormatting>
  <conditionalFormatting sqref="A1172 A1266">
    <cfRule type="expression" dxfId="1" priority="969">
      <formula>" =N1="no" "</formula>
    </cfRule>
  </conditionalFormatting>
  <conditionalFormatting sqref="A1172:N1172 A1266">
    <cfRule type="expression" dxfId="1" priority="970">
      <formula>UPPER($N1172)="NO"</formula>
    </cfRule>
  </conditionalFormatting>
  <conditionalFormatting sqref="A1167:N1171 A1263:A1265">
    <cfRule type="expression" dxfId="0" priority="971">
      <formula>UPPER($N1167)="SI"</formula>
    </cfRule>
  </conditionalFormatting>
  <conditionalFormatting sqref="A1167:A1171 A1263:A1265">
    <cfRule type="expression" dxfId="1" priority="972">
      <formula>" =N1="no" "</formula>
    </cfRule>
  </conditionalFormatting>
  <conditionalFormatting sqref="A1167:N1171 A1263:A1265">
    <cfRule type="expression" dxfId="1" priority="973">
      <formula>UPPER($N1167)="NO"</formula>
    </cfRule>
  </conditionalFormatting>
  <conditionalFormatting sqref="A1160:N1166 A1262">
    <cfRule type="expression" dxfId="0" priority="974">
      <formula>UPPER($N1160)="SI"</formula>
    </cfRule>
  </conditionalFormatting>
  <conditionalFormatting sqref="A1160:A1166 A1262">
    <cfRule type="expression" dxfId="1" priority="975">
      <formula>" =N1="no" "</formula>
    </cfRule>
  </conditionalFormatting>
  <conditionalFormatting sqref="A1160:N1166 A1262">
    <cfRule type="expression" dxfId="1" priority="976">
      <formula>UPPER($N1160)="NO"</formula>
    </cfRule>
  </conditionalFormatting>
  <conditionalFormatting sqref="A1159:N1159 A1260">
    <cfRule type="expression" dxfId="0" priority="977">
      <formula>UPPER($N1159)="SI"</formula>
    </cfRule>
  </conditionalFormatting>
  <conditionalFormatting sqref="A1159 A1260">
    <cfRule type="expression" dxfId="1" priority="978">
      <formula>" =N1="no" "</formula>
    </cfRule>
  </conditionalFormatting>
  <conditionalFormatting sqref="A1159:N1159 A1260">
    <cfRule type="expression" dxfId="1" priority="979">
      <formula>UPPER($N1159)="NO"</formula>
    </cfRule>
  </conditionalFormatting>
  <conditionalFormatting sqref="A1157:N1158 A1258">
    <cfRule type="expression" dxfId="0" priority="980">
      <formula>UPPER($N1157)="SI"</formula>
    </cfRule>
  </conditionalFormatting>
  <conditionalFormatting sqref="A1157:A1158 A1258">
    <cfRule type="expression" dxfId="1" priority="981">
      <formula>" =N1="no" "</formula>
    </cfRule>
  </conditionalFormatting>
  <conditionalFormatting sqref="A1157:N1158 A1258">
    <cfRule type="expression" dxfId="1" priority="982">
      <formula>UPPER($N1157)="NO"</formula>
    </cfRule>
  </conditionalFormatting>
  <conditionalFormatting sqref="A1150:N1156 A1253:A1254">
    <cfRule type="expression" dxfId="0" priority="983">
      <formula>UPPER($N1150)="SI"</formula>
    </cfRule>
  </conditionalFormatting>
  <conditionalFormatting sqref="A1150:A1156 A1253:A1254">
    <cfRule type="expression" dxfId="1" priority="984">
      <formula>" =N1="no" "</formula>
    </cfRule>
  </conditionalFormatting>
  <conditionalFormatting sqref="A1150:N1156 A1253:A1254">
    <cfRule type="expression" dxfId="1" priority="985">
      <formula>UPPER($N1150)="NO"</formula>
    </cfRule>
  </conditionalFormatting>
  <conditionalFormatting sqref="A1146:N1149 A1252">
    <cfRule type="expression" dxfId="0" priority="986">
      <formula>UPPER($N1146)="SI"</formula>
    </cfRule>
  </conditionalFormatting>
  <conditionalFormatting sqref="A1146:A1149 A1252">
    <cfRule type="expression" dxfId="1" priority="987">
      <formula>" =N1="no" "</formula>
    </cfRule>
  </conditionalFormatting>
  <conditionalFormatting sqref="A1146:N1149 A1252">
    <cfRule type="expression" dxfId="1" priority="988">
      <formula>UPPER($N1146)="NO"</formula>
    </cfRule>
  </conditionalFormatting>
  <conditionalFormatting sqref="A1145:N1145">
    <cfRule type="expression" dxfId="0" priority="989">
      <formula>UPPER($N1145)="SI"</formula>
    </cfRule>
  </conditionalFormatting>
  <conditionalFormatting sqref="A1145">
    <cfRule type="expression" dxfId="1" priority="990">
      <formula>" =N1="no" "</formula>
    </cfRule>
  </conditionalFormatting>
  <conditionalFormatting sqref="A1145:N1145">
    <cfRule type="expression" dxfId="1" priority="991">
      <formula>UPPER($N1145)="NO"</formula>
    </cfRule>
  </conditionalFormatting>
  <conditionalFormatting sqref="A1141:N1144 A1248">
    <cfRule type="expression" dxfId="0" priority="992">
      <formula>UPPER($N1141)="SI"</formula>
    </cfRule>
  </conditionalFormatting>
  <conditionalFormatting sqref="A1141:A1144 A1248">
    <cfRule type="expression" dxfId="1" priority="993">
      <formula>" =N1="no" "</formula>
    </cfRule>
  </conditionalFormatting>
  <conditionalFormatting sqref="A1141:N1144 A1248">
    <cfRule type="expression" dxfId="1" priority="994">
      <formula>UPPER($N1141)="NO"</formula>
    </cfRule>
  </conditionalFormatting>
  <conditionalFormatting sqref="A1137:N1140 A1242">
    <cfRule type="expression" dxfId="0" priority="995">
      <formula>UPPER($N1137)="SI"</formula>
    </cfRule>
  </conditionalFormatting>
  <conditionalFormatting sqref="A1137:A1140 A1242">
    <cfRule type="expression" dxfId="1" priority="996">
      <formula>" =N1="no" "</formula>
    </cfRule>
  </conditionalFormatting>
  <conditionalFormatting sqref="A1137:N1140 A1242">
    <cfRule type="expression" dxfId="1" priority="997">
      <formula>UPPER($N1137)="NO"</formula>
    </cfRule>
  </conditionalFormatting>
  <conditionalFormatting sqref="A1136:N1136 A1240">
    <cfRule type="expression" dxfId="0" priority="998">
      <formula>UPPER($N1136)="SI"</formula>
    </cfRule>
  </conditionalFormatting>
  <conditionalFormatting sqref="A1136 A1240">
    <cfRule type="expression" dxfId="1" priority="999">
      <formula>" =N1="no" "</formula>
    </cfRule>
  </conditionalFormatting>
  <conditionalFormatting sqref="A1136:N1136 A1240">
    <cfRule type="expression" dxfId="1" priority="1000">
      <formula>UPPER($N1136)="NO"</formula>
    </cfRule>
  </conditionalFormatting>
  <conditionalFormatting sqref="A1130:N1135 A1239">
    <cfRule type="expression" dxfId="0" priority="1001">
      <formula>UPPER($N1130)="SI"</formula>
    </cfRule>
  </conditionalFormatting>
  <conditionalFormatting sqref="A1130:A1135 A1239">
    <cfRule type="expression" dxfId="1" priority="1002">
      <formula>" =N1="no" "</formula>
    </cfRule>
  </conditionalFormatting>
  <conditionalFormatting sqref="A1130:N1135 A1239">
    <cfRule type="expression" dxfId="1" priority="1003">
      <formula>UPPER($N1130)="NO"</formula>
    </cfRule>
  </conditionalFormatting>
  <conditionalFormatting sqref="A1123:N1129 A1232">
    <cfRule type="expression" dxfId="0" priority="1004">
      <formula>UPPER($N1123)="SI"</formula>
    </cfRule>
  </conditionalFormatting>
  <conditionalFormatting sqref="A1123:A1129 A1232">
    <cfRule type="expression" dxfId="1" priority="1005">
      <formula>" =N1="no" "</formula>
    </cfRule>
  </conditionalFormatting>
  <conditionalFormatting sqref="A1123:N1129 A1232">
    <cfRule type="expression" dxfId="1" priority="1006">
      <formula>UPPER($N1123)="NO"</formula>
    </cfRule>
  </conditionalFormatting>
  <conditionalFormatting sqref="A1119:N1122 A1220:A1223">
    <cfRule type="expression" dxfId="0" priority="1007">
      <formula>UPPER($N1119)="SI"</formula>
    </cfRule>
  </conditionalFormatting>
  <conditionalFormatting sqref="A1119:A1122 A1220:A1223">
    <cfRule type="expression" dxfId="1" priority="1008">
      <formula>" =N1="no" "</formula>
    </cfRule>
  </conditionalFormatting>
  <conditionalFormatting sqref="A1119:N1122 A1220:A1223">
    <cfRule type="expression" dxfId="1" priority="1009">
      <formula>UPPER($N1119)="NO"</formula>
    </cfRule>
  </conditionalFormatting>
  <conditionalFormatting sqref="A1118:N1118">
    <cfRule type="expression" dxfId="0" priority="1010">
      <formula>UPPER($N1118)="SI"</formula>
    </cfRule>
  </conditionalFormatting>
  <conditionalFormatting sqref="A1118">
    <cfRule type="expression" dxfId="1" priority="1011">
      <formula>" =N1="no" "</formula>
    </cfRule>
  </conditionalFormatting>
  <conditionalFormatting sqref="A1118:N1118">
    <cfRule type="expression" dxfId="1" priority="1012">
      <formula>UPPER($N1118)="NO"</formula>
    </cfRule>
  </conditionalFormatting>
  <conditionalFormatting sqref="A1117:N1117 A1219">
    <cfRule type="expression" dxfId="0" priority="1013">
      <formula>UPPER($N1117)="SI"</formula>
    </cfRule>
  </conditionalFormatting>
  <conditionalFormatting sqref="A1117 A1219">
    <cfRule type="expression" dxfId="1" priority="1014">
      <formula>" =N1="no" "</formula>
    </cfRule>
  </conditionalFormatting>
  <conditionalFormatting sqref="A1117:N1117 A1219">
    <cfRule type="expression" dxfId="1" priority="1015">
      <formula>UPPER($N1117)="NO"</formula>
    </cfRule>
  </conditionalFormatting>
  <conditionalFormatting sqref="A1116:N1116 A1218">
    <cfRule type="expression" dxfId="0" priority="1016">
      <formula>UPPER($N1116)="SI"</formula>
    </cfRule>
  </conditionalFormatting>
  <conditionalFormatting sqref="A1116 A1218">
    <cfRule type="expression" dxfId="1" priority="1017">
      <formula>" =N1="no" "</formula>
    </cfRule>
  </conditionalFormatting>
  <conditionalFormatting sqref="A1116:N1116 A1218">
    <cfRule type="expression" dxfId="1" priority="1018">
      <formula>UPPER($N1116)="NO"</formula>
    </cfRule>
  </conditionalFormatting>
  <conditionalFormatting sqref="A1108:N1115 A1217">
    <cfRule type="expression" dxfId="0" priority="1019">
      <formula>UPPER($N1108)="SI"</formula>
    </cfRule>
  </conditionalFormatting>
  <conditionalFormatting sqref="A1108:A1115 A1217">
    <cfRule type="expression" dxfId="1" priority="1020">
      <formula>" =N1="no" "</formula>
    </cfRule>
  </conditionalFormatting>
  <conditionalFormatting sqref="A1108:N1115 A1217">
    <cfRule type="expression" dxfId="1" priority="1021">
      <formula>UPPER($N1108)="NO"</formula>
    </cfRule>
  </conditionalFormatting>
  <conditionalFormatting sqref="A1106:N1107 A1207">
    <cfRule type="expression" dxfId="0" priority="1022">
      <formula>UPPER($N1106)="SI"</formula>
    </cfRule>
  </conditionalFormatting>
  <conditionalFormatting sqref="A1106:A1107 A1207">
    <cfRule type="expression" dxfId="1" priority="1023">
      <formula>" =N1="no" "</formula>
    </cfRule>
  </conditionalFormatting>
  <conditionalFormatting sqref="A1106:N1107 A1207">
    <cfRule type="expression" dxfId="1" priority="1024">
      <formula>UPPER($N1106)="NO"</formula>
    </cfRule>
  </conditionalFormatting>
  <conditionalFormatting sqref="A1104:N1105 A1204">
    <cfRule type="expression" dxfId="0" priority="1025">
      <formula>UPPER($N1104)="SI"</formula>
    </cfRule>
  </conditionalFormatting>
  <conditionalFormatting sqref="A1104:A1105 A1204">
    <cfRule type="expression" dxfId="1" priority="1026">
      <formula>" =N1="no" "</formula>
    </cfRule>
  </conditionalFormatting>
  <conditionalFormatting sqref="A1104:N1105 A1204">
    <cfRule type="expression" dxfId="1" priority="1027">
      <formula>UPPER($N1104)="NO"</formula>
    </cfRule>
  </conditionalFormatting>
  <conditionalFormatting sqref="A1101:N1103 A1203">
    <cfRule type="expression" dxfId="0" priority="1028">
      <formula>UPPER($N1101)="SI"</formula>
    </cfRule>
  </conditionalFormatting>
  <conditionalFormatting sqref="A1101:A1103 A1203">
    <cfRule type="expression" dxfId="1" priority="1029">
      <formula>" =N1="no" "</formula>
    </cfRule>
  </conditionalFormatting>
  <conditionalFormatting sqref="A1101:N1103 A1203">
    <cfRule type="expression" dxfId="1" priority="1030">
      <formula>UPPER($N1101)="NO"</formula>
    </cfRule>
  </conditionalFormatting>
  <conditionalFormatting sqref="A1100:N1100 A1201">
    <cfRule type="expression" dxfId="0" priority="1031">
      <formula>UPPER($N1100)="SI"</formula>
    </cfRule>
  </conditionalFormatting>
  <conditionalFormatting sqref="A1100 A1201">
    <cfRule type="expression" dxfId="1" priority="1032">
      <formula>" =N1="no" "</formula>
    </cfRule>
  </conditionalFormatting>
  <conditionalFormatting sqref="A1100:N1100 A1201">
    <cfRule type="expression" dxfId="1" priority="1033">
      <formula>UPPER($N1100)="NO"</formula>
    </cfRule>
  </conditionalFormatting>
  <conditionalFormatting sqref="A1090:N1099 A1197:A1198">
    <cfRule type="expression" dxfId="0" priority="1034">
      <formula>UPPER($N1090)="SI"</formula>
    </cfRule>
  </conditionalFormatting>
  <conditionalFormatting sqref="A1090:A1099 A1197:A1198">
    <cfRule type="expression" dxfId="1" priority="1035">
      <formula>" =N1="no" "</formula>
    </cfRule>
  </conditionalFormatting>
  <conditionalFormatting sqref="A1090:N1099 A1197:A1198">
    <cfRule type="expression" dxfId="1" priority="1036">
      <formula>UPPER($N1090)="NO"</formula>
    </cfRule>
  </conditionalFormatting>
  <conditionalFormatting sqref="A1088:N1089 A1188">
    <cfRule type="expression" dxfId="0" priority="1037">
      <formula>UPPER($N1088)="SI"</formula>
    </cfRule>
  </conditionalFormatting>
  <conditionalFormatting sqref="A1088:A1089 A1188">
    <cfRule type="expression" dxfId="1" priority="1038">
      <formula>" =N1="no" "</formula>
    </cfRule>
  </conditionalFormatting>
  <conditionalFormatting sqref="A1088:N1089 A1188">
    <cfRule type="expression" dxfId="1" priority="1039">
      <formula>UPPER($N1088)="NO"</formula>
    </cfRule>
  </conditionalFormatting>
  <conditionalFormatting sqref="A1077:N1087 A1182">
    <cfRule type="expression" dxfId="0" priority="1040">
      <formula>UPPER($N1077)="SI"</formula>
    </cfRule>
  </conditionalFormatting>
  <conditionalFormatting sqref="A1077:A1087 A1182">
    <cfRule type="expression" dxfId="1" priority="1041">
      <formula>" =N1="no" "</formula>
    </cfRule>
  </conditionalFormatting>
  <conditionalFormatting sqref="A1077:N1087 A1182">
    <cfRule type="expression" dxfId="1" priority="1042">
      <formula>UPPER($N1077)="NO"</formula>
    </cfRule>
  </conditionalFormatting>
  <conditionalFormatting sqref="A1074:N1076 A1169">
    <cfRule type="expression" dxfId="0" priority="1043">
      <formula>UPPER($N1074)="SI"</formula>
    </cfRule>
  </conditionalFormatting>
  <conditionalFormatting sqref="A1074:A1076 A1169">
    <cfRule type="expression" dxfId="1" priority="1044">
      <formula>" =N1="no" "</formula>
    </cfRule>
  </conditionalFormatting>
  <conditionalFormatting sqref="A1074:N1076 A1169">
    <cfRule type="expression" dxfId="1" priority="1045">
      <formula>UPPER($N1074)="NO"</formula>
    </cfRule>
  </conditionalFormatting>
  <conditionalFormatting sqref="A1063:N1073 A1168">
    <cfRule type="expression" dxfId="0" priority="1046">
      <formula>UPPER($N1063)="SI"</formula>
    </cfRule>
  </conditionalFormatting>
  <conditionalFormatting sqref="A1063:A1073 A1168">
    <cfRule type="expression" dxfId="1" priority="1047">
      <formula>" =N1="no" "</formula>
    </cfRule>
  </conditionalFormatting>
  <conditionalFormatting sqref="A1063:N1073 A1168">
    <cfRule type="expression" dxfId="1" priority="1048">
      <formula>UPPER($N1063)="NO"</formula>
    </cfRule>
  </conditionalFormatting>
  <conditionalFormatting sqref="A1062:N1062 A1151">
    <cfRule type="expression" dxfId="0" priority="1049">
      <formula>UPPER($N1062)="SI"</formula>
    </cfRule>
  </conditionalFormatting>
  <conditionalFormatting sqref="A1062 A1151">
    <cfRule type="expression" dxfId="1" priority="1050">
      <formula>" =N1="no" "</formula>
    </cfRule>
  </conditionalFormatting>
  <conditionalFormatting sqref="A1062:N1062 A1151">
    <cfRule type="expression" dxfId="1" priority="1051">
      <formula>UPPER($N1062)="NO"</formula>
    </cfRule>
  </conditionalFormatting>
  <conditionalFormatting sqref="A1057:N1061 A1148:A1149">
    <cfRule type="expression" dxfId="0" priority="1052">
      <formula>UPPER($N1057)="SI"</formula>
    </cfRule>
  </conditionalFormatting>
  <conditionalFormatting sqref="A1057:A1061 A1148:A1149">
    <cfRule type="expression" dxfId="1" priority="1053">
      <formula>" =N1="no" "</formula>
    </cfRule>
  </conditionalFormatting>
  <conditionalFormatting sqref="A1057:N1061 A1148:A1149">
    <cfRule type="expression" dxfId="1" priority="1054">
      <formula>UPPER($N1057)="NO"</formula>
    </cfRule>
  </conditionalFormatting>
  <conditionalFormatting sqref="A1056:N1056 A1139">
    <cfRule type="expression" dxfId="0" priority="1055">
      <formula>UPPER($N1056)="SI"</formula>
    </cfRule>
  </conditionalFormatting>
  <conditionalFormatting sqref="A1056 A1139">
    <cfRule type="expression" dxfId="1" priority="1056">
      <formula>" =N1="no" "</formula>
    </cfRule>
  </conditionalFormatting>
  <conditionalFormatting sqref="A1056:N1056 A1139">
    <cfRule type="expression" dxfId="1" priority="1057">
      <formula>UPPER($N1056)="NO"</formula>
    </cfRule>
  </conditionalFormatting>
  <conditionalFormatting sqref="A1052:N1055">
    <cfRule type="expression" dxfId="0" priority="1058">
      <formula>UPPER($N1052)="SI"</formula>
    </cfRule>
  </conditionalFormatting>
  <conditionalFormatting sqref="A1052:A1055">
    <cfRule type="expression" dxfId="1" priority="1059">
      <formula>" =N1="no" "</formula>
    </cfRule>
  </conditionalFormatting>
  <conditionalFormatting sqref="A1052:N1055">
    <cfRule type="expression" dxfId="1" priority="1060">
      <formula>UPPER($N1052)="NO"</formula>
    </cfRule>
  </conditionalFormatting>
  <conditionalFormatting sqref="A1050:N1051 A1136">
    <cfRule type="expression" dxfId="0" priority="1061">
      <formula>UPPER($N1050)="SI"</formula>
    </cfRule>
  </conditionalFormatting>
  <conditionalFormatting sqref="A1050:A1051 A1136">
    <cfRule type="expression" dxfId="1" priority="1062">
      <formula>" =N1="no" "</formula>
    </cfRule>
  </conditionalFormatting>
  <conditionalFormatting sqref="A1050:N1051 A1136">
    <cfRule type="expression" dxfId="1" priority="1063">
      <formula>UPPER($N1050)="NO"</formula>
    </cfRule>
  </conditionalFormatting>
  <conditionalFormatting sqref="A1044:N1049 A1132:A1133">
    <cfRule type="expression" dxfId="0" priority="1064">
      <formula>UPPER($N1044)="SI"</formula>
    </cfRule>
  </conditionalFormatting>
  <conditionalFormatting sqref="A1044:A1049 A1132:A1133">
    <cfRule type="expression" dxfId="1" priority="1065">
      <formula>" =N1="no" "</formula>
    </cfRule>
  </conditionalFormatting>
  <conditionalFormatting sqref="A1044:N1049 A1132:A1133">
    <cfRule type="expression" dxfId="1" priority="1066">
      <formula>UPPER($N1044)="NO"</formula>
    </cfRule>
  </conditionalFormatting>
  <conditionalFormatting sqref="A1043:N1043 A1128">
    <cfRule type="expression" dxfId="0" priority="1067">
      <formula>UPPER($N1043)="SI"</formula>
    </cfRule>
  </conditionalFormatting>
  <conditionalFormatting sqref="A1043 A1128">
    <cfRule type="expression" dxfId="1" priority="1068">
      <formula>" =N1="no" "</formula>
    </cfRule>
  </conditionalFormatting>
  <conditionalFormatting sqref="A1043:N1043 A1128">
    <cfRule type="expression" dxfId="1" priority="1069">
      <formula>UPPER($N1043)="NO"</formula>
    </cfRule>
  </conditionalFormatting>
  <conditionalFormatting sqref="A1037:N1042 A1127">
    <cfRule type="expression" dxfId="0" priority="1070">
      <formula>UPPER($N1037)="SI"</formula>
    </cfRule>
  </conditionalFormatting>
  <conditionalFormatting sqref="A1037:A1042 A1127">
    <cfRule type="expression" dxfId="1" priority="1071">
      <formula>" =N1="no" "</formula>
    </cfRule>
  </conditionalFormatting>
  <conditionalFormatting sqref="A1037:N1042 A1127">
    <cfRule type="expression" dxfId="1" priority="1072">
      <formula>UPPER($N1037)="NO"</formula>
    </cfRule>
  </conditionalFormatting>
  <conditionalFormatting sqref="A1036:N1036 A1124">
    <cfRule type="expression" dxfId="0" priority="1073">
      <formula>UPPER($N1036)="SI"</formula>
    </cfRule>
  </conditionalFormatting>
  <conditionalFormatting sqref="A1036 A1124">
    <cfRule type="expression" dxfId="1" priority="1074">
      <formula>" =N1="no" "</formula>
    </cfRule>
  </conditionalFormatting>
  <conditionalFormatting sqref="A1036:N1036 A1124">
    <cfRule type="expression" dxfId="1" priority="1075">
      <formula>UPPER($N1036)="NO"</formula>
    </cfRule>
  </conditionalFormatting>
  <conditionalFormatting sqref="A1024:N1035 A1123">
    <cfRule type="expression" dxfId="0" priority="1076">
      <formula>UPPER($N1024)="SI"</formula>
    </cfRule>
  </conditionalFormatting>
  <conditionalFormatting sqref="A1024:A1035 A1123">
    <cfRule type="expression" dxfId="1" priority="1077">
      <formula>" =N1="no" "</formula>
    </cfRule>
  </conditionalFormatting>
  <conditionalFormatting sqref="A1024:N1035 A1123">
    <cfRule type="expression" dxfId="1" priority="1078">
      <formula>UPPER($N1024)="NO"</formula>
    </cfRule>
  </conditionalFormatting>
  <conditionalFormatting sqref="A1022:N1023 A1120">
    <cfRule type="expression" dxfId="0" priority="1079">
      <formula>UPPER($N1022)="SI"</formula>
    </cfRule>
  </conditionalFormatting>
  <conditionalFormatting sqref="A1022:A1023 A1120">
    <cfRule type="expression" dxfId="1" priority="1080">
      <formula>" =N1="no" "</formula>
    </cfRule>
  </conditionalFormatting>
  <conditionalFormatting sqref="A1022:N1023 A1120">
    <cfRule type="expression" dxfId="1" priority="1081">
      <formula>UPPER($N1022)="NO"</formula>
    </cfRule>
  </conditionalFormatting>
  <conditionalFormatting sqref="A1018:N1021 A1119">
    <cfRule type="expression" dxfId="0" priority="1082">
      <formula>UPPER($N1018)="SI"</formula>
    </cfRule>
  </conditionalFormatting>
  <conditionalFormatting sqref="A1018:A1021 A1119">
    <cfRule type="expression" dxfId="1" priority="1083">
      <formula>" =N1="no" "</formula>
    </cfRule>
  </conditionalFormatting>
  <conditionalFormatting sqref="A1018:N1021 A1119">
    <cfRule type="expression" dxfId="1" priority="1084">
      <formula>UPPER($N1018)="NO"</formula>
    </cfRule>
  </conditionalFormatting>
  <conditionalFormatting sqref="A1017:N1017 A1116">
    <cfRule type="expression" dxfId="0" priority="1085">
      <formula>UPPER($N1017)="SI"</formula>
    </cfRule>
  </conditionalFormatting>
  <conditionalFormatting sqref="A1017 A1116">
    <cfRule type="expression" dxfId="1" priority="1086">
      <formula>" =N1="no" "</formula>
    </cfRule>
  </conditionalFormatting>
  <conditionalFormatting sqref="A1017:N1017 A1116">
    <cfRule type="expression" dxfId="1" priority="1087">
      <formula>UPPER($N1017)="NO"</formula>
    </cfRule>
  </conditionalFormatting>
  <conditionalFormatting sqref="A1016:N1016 A1115">
    <cfRule type="expression" dxfId="0" priority="1088">
      <formula>UPPER($N1016)="SI"</formula>
    </cfRule>
  </conditionalFormatting>
  <conditionalFormatting sqref="A1016 A1115">
    <cfRule type="expression" dxfId="1" priority="1089">
      <formula>" =N1="no" "</formula>
    </cfRule>
  </conditionalFormatting>
  <conditionalFormatting sqref="A1016:N1016 A1115">
    <cfRule type="expression" dxfId="1" priority="1090">
      <formula>UPPER($N1016)="NO"</formula>
    </cfRule>
  </conditionalFormatting>
  <conditionalFormatting sqref="A1015:N1015 A1114">
    <cfRule type="expression" dxfId="0" priority="1091">
      <formula>UPPER($N1015)="SI"</formula>
    </cfRule>
  </conditionalFormatting>
  <conditionalFormatting sqref="A1015 A1114">
    <cfRule type="expression" dxfId="1" priority="1092">
      <formula>" =N1="no" "</formula>
    </cfRule>
  </conditionalFormatting>
  <conditionalFormatting sqref="A1015:N1015 A1114">
    <cfRule type="expression" dxfId="1" priority="1093">
      <formula>UPPER($N1015)="NO"</formula>
    </cfRule>
  </conditionalFormatting>
  <conditionalFormatting sqref="A1014:N1014 A1113">
    <cfRule type="expression" dxfId="0" priority="1094">
      <formula>UPPER($N1014)="SI"</formula>
    </cfRule>
  </conditionalFormatting>
  <conditionalFormatting sqref="A1014 A1113">
    <cfRule type="expression" dxfId="1" priority="1095">
      <formula>" =N1="no" "</formula>
    </cfRule>
  </conditionalFormatting>
  <conditionalFormatting sqref="A1014:N1014 A1113">
    <cfRule type="expression" dxfId="1" priority="1096">
      <formula>UPPER($N1014)="NO"</formula>
    </cfRule>
  </conditionalFormatting>
  <conditionalFormatting sqref="A1012:N1013 A1112">
    <cfRule type="expression" dxfId="0" priority="1097">
      <formula>UPPER($N1012)="SI"</formula>
    </cfRule>
  </conditionalFormatting>
  <conditionalFormatting sqref="A1012:A1013 A1112">
    <cfRule type="expression" dxfId="1" priority="1098">
      <formula>" =N1="no" "</formula>
    </cfRule>
  </conditionalFormatting>
  <conditionalFormatting sqref="A1012:N1013 A1112">
    <cfRule type="expression" dxfId="1" priority="1099">
      <formula>UPPER($N1012)="NO"</formula>
    </cfRule>
  </conditionalFormatting>
  <conditionalFormatting sqref="A1011:N1011 A1111">
    <cfRule type="expression" dxfId="0" priority="1100">
      <formula>UPPER($N1011)="SI"</formula>
    </cfRule>
  </conditionalFormatting>
  <conditionalFormatting sqref="A1011 A1111">
    <cfRule type="expression" dxfId="1" priority="1101">
      <formula>" =N1="no" "</formula>
    </cfRule>
  </conditionalFormatting>
  <conditionalFormatting sqref="A1011:N1011 A1111">
    <cfRule type="expression" dxfId="1" priority="1102">
      <formula>UPPER($N1011)="NO"</formula>
    </cfRule>
  </conditionalFormatting>
  <conditionalFormatting sqref="A1010:N1010 A1109">
    <cfRule type="expression" dxfId="0" priority="1103">
      <formula>UPPER($N1010)="SI"</formula>
    </cfRule>
  </conditionalFormatting>
  <conditionalFormatting sqref="A1010 A1109">
    <cfRule type="expression" dxfId="1" priority="1104">
      <formula>" =N1="no" "</formula>
    </cfRule>
  </conditionalFormatting>
  <conditionalFormatting sqref="A1010:N1010 A1109">
    <cfRule type="expression" dxfId="1" priority="1105">
      <formula>UPPER($N1010)="NO"</formula>
    </cfRule>
  </conditionalFormatting>
  <conditionalFormatting sqref="A1008:N1009 A1107">
    <cfRule type="expression" dxfId="0" priority="1106">
      <formula>UPPER($N1008)="SI"</formula>
    </cfRule>
  </conditionalFormatting>
  <conditionalFormatting sqref="A1008:A1009 A1107">
    <cfRule type="expression" dxfId="1" priority="1107">
      <formula>" =N1="no" "</formula>
    </cfRule>
  </conditionalFormatting>
  <conditionalFormatting sqref="A1008:N1009 A1107">
    <cfRule type="expression" dxfId="1" priority="1108">
      <formula>UPPER($N1008)="NO"</formula>
    </cfRule>
  </conditionalFormatting>
  <conditionalFormatting sqref="A1004:N1007 A1106">
    <cfRule type="expression" dxfId="0" priority="1109">
      <formula>UPPER($N1004)="SI"</formula>
    </cfRule>
  </conditionalFormatting>
  <conditionalFormatting sqref="A1004:A1007 A1106">
    <cfRule type="expression" dxfId="1" priority="1110">
      <formula>" =N1="no" "</formula>
    </cfRule>
  </conditionalFormatting>
  <conditionalFormatting sqref="A1004:N1007 A1106">
    <cfRule type="expression" dxfId="1" priority="1111">
      <formula>UPPER($N1004)="NO"</formula>
    </cfRule>
  </conditionalFormatting>
  <conditionalFormatting sqref="A1002:N1003 A1100">
    <cfRule type="expression" dxfId="0" priority="1112">
      <formula>UPPER($N1002)="SI"</formula>
    </cfRule>
  </conditionalFormatting>
  <conditionalFormatting sqref="A1002:A1003 A1100">
    <cfRule type="expression" dxfId="1" priority="1113">
      <formula>" =N1="no" "</formula>
    </cfRule>
  </conditionalFormatting>
  <conditionalFormatting sqref="A1002:N1003 A1100">
    <cfRule type="expression" dxfId="1" priority="1114">
      <formula>UPPER($N1002)="NO"</formula>
    </cfRule>
  </conditionalFormatting>
  <conditionalFormatting sqref="A999:N1001 A1098:A1099">
    <cfRule type="expression" dxfId="0" priority="1115">
      <formula>UPPER($N999)="SI"</formula>
    </cfRule>
  </conditionalFormatting>
  <conditionalFormatting sqref="A999:A1001 A1098:A1099">
    <cfRule type="expression" dxfId="1" priority="1116">
      <formula>" =N1="no" "</formula>
    </cfRule>
  </conditionalFormatting>
  <conditionalFormatting sqref="A999:N1001 A1098:A1099">
    <cfRule type="expression" dxfId="1" priority="1117">
      <formula>UPPER($N999)="NO"</formula>
    </cfRule>
  </conditionalFormatting>
  <conditionalFormatting sqref="A993:N998 A1091:A1096">
    <cfRule type="expression" dxfId="0" priority="1118">
      <formula>UPPER($N993)="SI"</formula>
    </cfRule>
  </conditionalFormatting>
  <conditionalFormatting sqref="A993:A998 A1091:A1096">
    <cfRule type="expression" dxfId="1" priority="1119">
      <formula>" =N1="no" "</formula>
    </cfRule>
  </conditionalFormatting>
  <conditionalFormatting sqref="A993:N998 A1091:A1096">
    <cfRule type="expression" dxfId="1" priority="1120">
      <formula>UPPER($N993)="NO"</formula>
    </cfRule>
  </conditionalFormatting>
  <conditionalFormatting sqref="A992:N992">
    <cfRule type="expression" dxfId="0" priority="1121">
      <formula>UPPER($N992)="SI"</formula>
    </cfRule>
  </conditionalFormatting>
  <conditionalFormatting sqref="A992">
    <cfRule type="expression" dxfId="1" priority="1122">
      <formula>" =N1="no" "</formula>
    </cfRule>
  </conditionalFormatting>
  <conditionalFormatting sqref="A992:N992">
    <cfRule type="expression" dxfId="1" priority="1123">
      <formula>UPPER($N992)="NO"</formula>
    </cfRule>
  </conditionalFormatting>
  <conditionalFormatting sqref="A988:N991 A1087:A1089">
    <cfRule type="expression" dxfId="0" priority="1124">
      <formula>UPPER($N988)="SI"</formula>
    </cfRule>
  </conditionalFormatting>
  <conditionalFormatting sqref="A988:A991 A1087:A1089">
    <cfRule type="expression" dxfId="1" priority="1125">
      <formula>" =N1="no" "</formula>
    </cfRule>
  </conditionalFormatting>
  <conditionalFormatting sqref="A988:N991 A1087:A1089">
    <cfRule type="expression" dxfId="1" priority="1126">
      <formula>UPPER($N988)="NO"</formula>
    </cfRule>
  </conditionalFormatting>
  <conditionalFormatting sqref="A987:N987">
    <cfRule type="expression" dxfId="0" priority="1127">
      <formula>UPPER($N987)="SI"</formula>
    </cfRule>
  </conditionalFormatting>
  <conditionalFormatting sqref="A987">
    <cfRule type="expression" dxfId="1" priority="1128">
      <formula>" =N1="no" "</formula>
    </cfRule>
  </conditionalFormatting>
  <conditionalFormatting sqref="A987:N987">
    <cfRule type="expression" dxfId="1" priority="1129">
      <formula>UPPER($N987)="NO"</formula>
    </cfRule>
  </conditionalFormatting>
  <conditionalFormatting sqref="A986:N986 A1086">
    <cfRule type="expression" dxfId="0" priority="1130">
      <formula>UPPER($N986)="SI"</formula>
    </cfRule>
  </conditionalFormatting>
  <conditionalFormatting sqref="A986 A1086">
    <cfRule type="expression" dxfId="1" priority="1131">
      <formula>" =N1="no" "</formula>
    </cfRule>
  </conditionalFormatting>
  <conditionalFormatting sqref="A986:N986 A1086">
    <cfRule type="expression" dxfId="1" priority="1132">
      <formula>UPPER($N986)="NO"</formula>
    </cfRule>
  </conditionalFormatting>
  <conditionalFormatting sqref="A985:N985">
    <cfRule type="expression" dxfId="0" priority="1133">
      <formula>UPPER($N985)="SI"</formula>
    </cfRule>
  </conditionalFormatting>
  <conditionalFormatting sqref="A985">
    <cfRule type="expression" dxfId="1" priority="1134">
      <formula>" =N1="no" "</formula>
    </cfRule>
  </conditionalFormatting>
  <conditionalFormatting sqref="A985:N985">
    <cfRule type="expression" dxfId="1" priority="1135">
      <formula>UPPER($N985)="NO"</formula>
    </cfRule>
  </conditionalFormatting>
  <conditionalFormatting sqref="A984:N984 A1085">
    <cfRule type="expression" dxfId="0" priority="1136">
      <formula>UPPER($N984)="SI"</formula>
    </cfRule>
  </conditionalFormatting>
  <conditionalFormatting sqref="A984 A1085">
    <cfRule type="expression" dxfId="1" priority="1137">
      <formula>" =N1="no" "</formula>
    </cfRule>
  </conditionalFormatting>
  <conditionalFormatting sqref="A984:N984 A1085">
    <cfRule type="expression" dxfId="1" priority="1138">
      <formula>UPPER($N984)="NO"</formula>
    </cfRule>
  </conditionalFormatting>
  <conditionalFormatting sqref="A983:N983">
    <cfRule type="expression" dxfId="0" priority="1139">
      <formula>UPPER($N983)="SI"</formula>
    </cfRule>
  </conditionalFormatting>
  <conditionalFormatting sqref="A983">
    <cfRule type="expression" dxfId="1" priority="1140">
      <formula>" =N1="no" "</formula>
    </cfRule>
  </conditionalFormatting>
  <conditionalFormatting sqref="A983:N983">
    <cfRule type="expression" dxfId="1" priority="1141">
      <formula>UPPER($N983)="NO"</formula>
    </cfRule>
  </conditionalFormatting>
  <conditionalFormatting sqref="A981:N982 A1084">
    <cfRule type="expression" dxfId="0" priority="1142">
      <formula>UPPER($N981)="SI"</formula>
    </cfRule>
  </conditionalFormatting>
  <conditionalFormatting sqref="A981:A982 A1084">
    <cfRule type="expression" dxfId="1" priority="1143">
      <formula>" =N1="no" "</formula>
    </cfRule>
  </conditionalFormatting>
  <conditionalFormatting sqref="A981:N982 A1084">
    <cfRule type="expression" dxfId="1" priority="1144">
      <formula>UPPER($N981)="NO"</formula>
    </cfRule>
  </conditionalFormatting>
  <conditionalFormatting sqref="A980:N980 A1079">
    <cfRule type="expression" dxfId="0" priority="1145">
      <formula>UPPER($N980)="SI"</formula>
    </cfRule>
  </conditionalFormatting>
  <conditionalFormatting sqref="A980 A1079">
    <cfRule type="expression" dxfId="1" priority="1146">
      <formula>" =N1="no" "</formula>
    </cfRule>
  </conditionalFormatting>
  <conditionalFormatting sqref="A980:N980 A1079">
    <cfRule type="expression" dxfId="1" priority="1147">
      <formula>UPPER($N980)="NO"</formula>
    </cfRule>
  </conditionalFormatting>
  <conditionalFormatting sqref="A978:N979 A1077">
    <cfRule type="expression" dxfId="0" priority="1148">
      <formula>UPPER($N978)="SI"</formula>
    </cfRule>
  </conditionalFormatting>
  <conditionalFormatting sqref="A978:A979 A1077">
    <cfRule type="expression" dxfId="1" priority="1149">
      <formula>" =N1="no" "</formula>
    </cfRule>
  </conditionalFormatting>
  <conditionalFormatting sqref="A978:N979 A1077">
    <cfRule type="expression" dxfId="1" priority="1150">
      <formula>UPPER($N978)="NO"</formula>
    </cfRule>
  </conditionalFormatting>
  <conditionalFormatting sqref="A975:N977 A1075">
    <cfRule type="expression" dxfId="0" priority="1151">
      <formula>UPPER($N975)="SI"</formula>
    </cfRule>
  </conditionalFormatting>
  <conditionalFormatting sqref="A975:A977 A1075">
    <cfRule type="expression" dxfId="1" priority="1152">
      <formula>" =N1="no" "</formula>
    </cfRule>
  </conditionalFormatting>
  <conditionalFormatting sqref="A975:N977 A1075">
    <cfRule type="expression" dxfId="1" priority="1153">
      <formula>UPPER($N975)="NO"</formula>
    </cfRule>
  </conditionalFormatting>
  <conditionalFormatting sqref="A972:N974 A1067">
    <cfRule type="expression" dxfId="0" priority="1154">
      <formula>UPPER($N972)="SI"</formula>
    </cfRule>
  </conditionalFormatting>
  <conditionalFormatting sqref="A972:A974 A1067">
    <cfRule type="expression" dxfId="1" priority="1155">
      <formula>" =N1="no" "</formula>
    </cfRule>
  </conditionalFormatting>
  <conditionalFormatting sqref="A972:N974 A1067">
    <cfRule type="expression" dxfId="1" priority="1156">
      <formula>UPPER($N972)="NO"</formula>
    </cfRule>
  </conditionalFormatting>
  <conditionalFormatting sqref="A965:N971 A1063:A1065">
    <cfRule type="expression" dxfId="0" priority="1157">
      <formula>UPPER($N965)="SI"</formula>
    </cfRule>
  </conditionalFormatting>
  <conditionalFormatting sqref="A965:A971 A1063:A1065">
    <cfRule type="expression" dxfId="1" priority="1158">
      <formula>" =N1="no" "</formula>
    </cfRule>
  </conditionalFormatting>
  <conditionalFormatting sqref="A965:N971 A1063:A1065">
    <cfRule type="expression" dxfId="1" priority="1159">
      <formula>UPPER($N965)="NO"</formula>
    </cfRule>
  </conditionalFormatting>
  <conditionalFormatting sqref="A964:N964 A1060">
    <cfRule type="expression" dxfId="0" priority="1160">
      <formula>UPPER($N964)="SI"</formula>
    </cfRule>
  </conditionalFormatting>
  <conditionalFormatting sqref="A964 A1060">
    <cfRule type="expression" dxfId="1" priority="1161">
      <formula>" =N1="no" "</formula>
    </cfRule>
  </conditionalFormatting>
  <conditionalFormatting sqref="A964:N964 A1060">
    <cfRule type="expression" dxfId="1" priority="1162">
      <formula>UPPER($N964)="NO"</formula>
    </cfRule>
  </conditionalFormatting>
  <conditionalFormatting sqref="A962:N963">
    <cfRule type="expression" dxfId="0" priority="1163">
      <formula>UPPER($N962)="SI"</formula>
    </cfRule>
  </conditionalFormatting>
  <conditionalFormatting sqref="A962:A963">
    <cfRule type="expression" dxfId="1" priority="1164">
      <formula>" =N1="no" "</formula>
    </cfRule>
  </conditionalFormatting>
  <conditionalFormatting sqref="A962:N963">
    <cfRule type="expression" dxfId="1" priority="1165">
      <formula>UPPER($N962)="NO"</formula>
    </cfRule>
  </conditionalFormatting>
  <conditionalFormatting sqref="A961:N961">
    <cfRule type="expression" dxfId="0" priority="1166">
      <formula>UPPER($N961)="SI"</formula>
    </cfRule>
  </conditionalFormatting>
  <conditionalFormatting sqref="A961">
    <cfRule type="expression" dxfId="1" priority="1167">
      <formula>" =N1="no" "</formula>
    </cfRule>
  </conditionalFormatting>
  <conditionalFormatting sqref="A961:N961">
    <cfRule type="expression" dxfId="1" priority="1168">
      <formula>UPPER($N961)="NO"</formula>
    </cfRule>
  </conditionalFormatting>
  <conditionalFormatting sqref="A957:N960 A1056:A1059">
    <cfRule type="expression" dxfId="0" priority="1169">
      <formula>UPPER($N957)="SI"</formula>
    </cfRule>
  </conditionalFormatting>
  <conditionalFormatting sqref="A957:A960 A1056:A1059">
    <cfRule type="expression" dxfId="1" priority="1170">
      <formula>" =N1="no" "</formula>
    </cfRule>
  </conditionalFormatting>
  <conditionalFormatting sqref="A957:N960 A1056:A1059">
    <cfRule type="expression" dxfId="1" priority="1171">
      <formula>UPPER($N957)="NO"</formula>
    </cfRule>
  </conditionalFormatting>
  <conditionalFormatting sqref="A956:N956 A1050">
    <cfRule type="expression" dxfId="0" priority="1172">
      <formula>UPPER($N956)="SI"</formula>
    </cfRule>
  </conditionalFormatting>
  <conditionalFormatting sqref="A956 A1050">
    <cfRule type="expression" dxfId="1" priority="1173">
      <formula>" =N1="no" "</formula>
    </cfRule>
  </conditionalFormatting>
  <conditionalFormatting sqref="A956:N956 A1050">
    <cfRule type="expression" dxfId="1" priority="1174">
      <formula>UPPER($N956)="NO"</formula>
    </cfRule>
  </conditionalFormatting>
  <conditionalFormatting sqref="A955:N955 A1047">
    <cfRule type="expression" dxfId="0" priority="1175">
      <formula>UPPER($N955)="SI"</formula>
    </cfRule>
  </conditionalFormatting>
  <conditionalFormatting sqref="A955 A1047">
    <cfRule type="expression" dxfId="1" priority="1176">
      <formula>" =N1="no" "</formula>
    </cfRule>
  </conditionalFormatting>
  <conditionalFormatting sqref="A955:N955 A1047">
    <cfRule type="expression" dxfId="1" priority="1177">
      <formula>UPPER($N955)="NO"</formula>
    </cfRule>
  </conditionalFormatting>
  <conditionalFormatting sqref="A952:N954 A1045:A1046">
    <cfRule type="expression" dxfId="0" priority="1178">
      <formula>UPPER($N952)="SI"</formula>
    </cfRule>
  </conditionalFormatting>
  <conditionalFormatting sqref="A952:A954 A1045:A1046">
    <cfRule type="expression" dxfId="1" priority="1179">
      <formula>" =N1="no" "</formula>
    </cfRule>
  </conditionalFormatting>
  <conditionalFormatting sqref="A952:N954 A1045:A1046">
    <cfRule type="expression" dxfId="1" priority="1180">
      <formula>UPPER($N952)="NO"</formula>
    </cfRule>
  </conditionalFormatting>
  <conditionalFormatting sqref="A947:N951 A1043">
    <cfRule type="expression" dxfId="0" priority="1181">
      <formula>UPPER($N947)="SI"</formula>
    </cfRule>
  </conditionalFormatting>
  <conditionalFormatting sqref="A947:A951 A1043">
    <cfRule type="expression" dxfId="1" priority="1182">
      <formula>" =N1="no" "</formula>
    </cfRule>
  </conditionalFormatting>
  <conditionalFormatting sqref="A947:N951 A1043">
    <cfRule type="expression" dxfId="1" priority="1183">
      <formula>UPPER($N947)="NO"</formula>
    </cfRule>
  </conditionalFormatting>
  <conditionalFormatting sqref="A944:N946 A1036">
    <cfRule type="expression" dxfId="0" priority="1184">
      <formula>UPPER($N944)="SI"</formula>
    </cfRule>
  </conditionalFormatting>
  <conditionalFormatting sqref="A944:A946 A1036">
    <cfRule type="expression" dxfId="1" priority="1185">
      <formula>" =N1="no" "</formula>
    </cfRule>
  </conditionalFormatting>
  <conditionalFormatting sqref="A944:N946 A1036">
    <cfRule type="expression" dxfId="1" priority="1186">
      <formula>UPPER($N944)="NO"</formula>
    </cfRule>
  </conditionalFormatting>
  <conditionalFormatting sqref="A940:N943 A1025">
    <cfRule type="expression" dxfId="0" priority="1187">
      <formula>UPPER($N940)="SI"</formula>
    </cfRule>
  </conditionalFormatting>
  <conditionalFormatting sqref="A940:A943 A1025">
    <cfRule type="expression" dxfId="1" priority="1188">
      <formula>" =N1="no" "</formula>
    </cfRule>
  </conditionalFormatting>
  <conditionalFormatting sqref="A940:N943 A1025">
    <cfRule type="expression" dxfId="1" priority="1189">
      <formula>UPPER($N940)="NO"</formula>
    </cfRule>
  </conditionalFormatting>
  <conditionalFormatting sqref="A938:N939 A1020">
    <cfRule type="expression" dxfId="0" priority="1190">
      <formula>UPPER($N938)="SI"</formula>
    </cfRule>
  </conditionalFormatting>
  <conditionalFormatting sqref="A938:A939 A1020">
    <cfRule type="expression" dxfId="1" priority="1191">
      <formula>" =N1="no" "</formula>
    </cfRule>
  </conditionalFormatting>
  <conditionalFormatting sqref="A938:N939 A1020">
    <cfRule type="expression" dxfId="1" priority="1192">
      <formula>UPPER($N938)="NO"</formula>
    </cfRule>
  </conditionalFormatting>
  <conditionalFormatting sqref="A937:N937 A1016">
    <cfRule type="expression" dxfId="0" priority="1193">
      <formula>UPPER($N937)="SI"</formula>
    </cfRule>
  </conditionalFormatting>
  <conditionalFormatting sqref="A937 A1016">
    <cfRule type="expression" dxfId="1" priority="1194">
      <formula>" =N1="no" "</formula>
    </cfRule>
  </conditionalFormatting>
  <conditionalFormatting sqref="A937:N937 A1016">
    <cfRule type="expression" dxfId="1" priority="1195">
      <formula>UPPER($N937)="NO"</formula>
    </cfRule>
  </conditionalFormatting>
  <conditionalFormatting sqref="A935:N936 A1015">
    <cfRule type="expression" dxfId="0" priority="1196">
      <formula>UPPER($N935)="SI"</formula>
    </cfRule>
  </conditionalFormatting>
  <conditionalFormatting sqref="A935:A936 A1015">
    <cfRule type="expression" dxfId="1" priority="1197">
      <formula>" =N1="no" "</formula>
    </cfRule>
  </conditionalFormatting>
  <conditionalFormatting sqref="A935:N936 A1015">
    <cfRule type="expression" dxfId="1" priority="1198">
      <formula>UPPER($N935)="NO"</formula>
    </cfRule>
  </conditionalFormatting>
  <conditionalFormatting sqref="A928:N934 A1014">
    <cfRule type="expression" dxfId="0" priority="1199">
      <formula>UPPER($N928)="SI"</formula>
    </cfRule>
  </conditionalFormatting>
  <conditionalFormatting sqref="A928:A934 A1014">
    <cfRule type="expression" dxfId="1" priority="1200">
      <formula>" =N1="no" "</formula>
    </cfRule>
  </conditionalFormatting>
  <conditionalFormatting sqref="A928:N934 A1014">
    <cfRule type="expression" dxfId="1" priority="1201">
      <formula>UPPER($N928)="NO"</formula>
    </cfRule>
  </conditionalFormatting>
  <conditionalFormatting sqref="A922:N927 A1007:A1008">
    <cfRule type="expression" dxfId="0" priority="1202">
      <formula>UPPER($N922)="SI"</formula>
    </cfRule>
  </conditionalFormatting>
  <conditionalFormatting sqref="A922:A927 A1007:A1008">
    <cfRule type="expression" dxfId="1" priority="1203">
      <formula>" =N1="no" "</formula>
    </cfRule>
  </conditionalFormatting>
  <conditionalFormatting sqref="A922:N927 A1007:A1008">
    <cfRule type="expression" dxfId="1" priority="1204">
      <formula>UPPER($N922)="NO"</formula>
    </cfRule>
  </conditionalFormatting>
  <conditionalFormatting sqref="A918:N921 A998:A999">
    <cfRule type="expression" dxfId="0" priority="1205">
      <formula>UPPER($N918)="SI"</formula>
    </cfRule>
  </conditionalFormatting>
  <conditionalFormatting sqref="A918:A921 A998:A999">
    <cfRule type="expression" dxfId="1" priority="1206">
      <formula>" =N1="no" "</formula>
    </cfRule>
  </conditionalFormatting>
  <conditionalFormatting sqref="A918:N921 A998:A999">
    <cfRule type="expression" dxfId="1" priority="1207">
      <formula>UPPER($N918)="NO"</formula>
    </cfRule>
  </conditionalFormatting>
  <conditionalFormatting sqref="A916:N917 A997">
    <cfRule type="expression" dxfId="0" priority="1208">
      <formula>UPPER($N916)="SI"</formula>
    </cfRule>
  </conditionalFormatting>
  <conditionalFormatting sqref="A916:A917 A997">
    <cfRule type="expression" dxfId="1" priority="1209">
      <formula>" =N1="no" "</formula>
    </cfRule>
  </conditionalFormatting>
  <conditionalFormatting sqref="A916:N917 A997">
    <cfRule type="expression" dxfId="1" priority="1210">
      <formula>UPPER($N916)="NO"</formula>
    </cfRule>
  </conditionalFormatting>
  <conditionalFormatting sqref="A914:N915 A996">
    <cfRule type="expression" dxfId="0" priority="1211">
      <formula>UPPER($N914)="SI"</formula>
    </cfRule>
  </conditionalFormatting>
  <conditionalFormatting sqref="A914:A915 A996">
    <cfRule type="expression" dxfId="1" priority="1212">
      <formula>" =N1="no" "</formula>
    </cfRule>
  </conditionalFormatting>
  <conditionalFormatting sqref="A914:N915 A996">
    <cfRule type="expression" dxfId="1" priority="1213">
      <formula>UPPER($N914)="NO"</formula>
    </cfRule>
  </conditionalFormatting>
  <conditionalFormatting sqref="A913:N913">
    <cfRule type="expression" dxfId="0" priority="1214">
      <formula>UPPER($N913)="SI"</formula>
    </cfRule>
  </conditionalFormatting>
  <conditionalFormatting sqref="A913">
    <cfRule type="expression" dxfId="1" priority="1215">
      <formula>" =N1="no" "</formula>
    </cfRule>
  </conditionalFormatting>
  <conditionalFormatting sqref="A913:N913">
    <cfRule type="expression" dxfId="1" priority="1216">
      <formula>UPPER($N913)="NO"</formula>
    </cfRule>
  </conditionalFormatting>
  <conditionalFormatting sqref="A911:N912 A994:A995">
    <cfRule type="expression" dxfId="0" priority="1217">
      <formula>UPPER($N911)="SI"</formula>
    </cfRule>
  </conditionalFormatting>
  <conditionalFormatting sqref="A911:A912 A994:A995">
    <cfRule type="expression" dxfId="1" priority="1218">
      <formula>" =N1="no" "</formula>
    </cfRule>
  </conditionalFormatting>
  <conditionalFormatting sqref="A911:N912 A994:A995">
    <cfRule type="expression" dxfId="1" priority="1219">
      <formula>UPPER($N911)="NO"</formula>
    </cfRule>
  </conditionalFormatting>
  <conditionalFormatting sqref="A910:N910 A993">
    <cfRule type="expression" dxfId="0" priority="1220">
      <formula>UPPER($N910)="SI"</formula>
    </cfRule>
  </conditionalFormatting>
  <conditionalFormatting sqref="A910 A993">
    <cfRule type="expression" dxfId="1" priority="1221">
      <formula>" =N1="no" "</formula>
    </cfRule>
  </conditionalFormatting>
  <conditionalFormatting sqref="A910:N910 A993">
    <cfRule type="expression" dxfId="1" priority="1222">
      <formula>UPPER($N910)="NO"</formula>
    </cfRule>
  </conditionalFormatting>
  <conditionalFormatting sqref="A907:N909 A989:A991">
    <cfRule type="expression" dxfId="0" priority="1223">
      <formula>UPPER($N907)="SI"</formula>
    </cfRule>
  </conditionalFormatting>
  <conditionalFormatting sqref="A907:A909 A989:A991">
    <cfRule type="expression" dxfId="1" priority="1224">
      <formula>" =N1="no" "</formula>
    </cfRule>
  </conditionalFormatting>
  <conditionalFormatting sqref="A907:N909 A989:A991">
    <cfRule type="expression" dxfId="1" priority="1225">
      <formula>UPPER($N907)="NO"</formula>
    </cfRule>
  </conditionalFormatting>
  <conditionalFormatting sqref="A905:N906 A986">
    <cfRule type="expression" dxfId="0" priority="1226">
      <formula>UPPER($N905)="SI"</formula>
    </cfRule>
  </conditionalFormatting>
  <conditionalFormatting sqref="A905:A906 A986">
    <cfRule type="expression" dxfId="1" priority="1227">
      <formula>" =N1="no" "</formula>
    </cfRule>
  </conditionalFormatting>
  <conditionalFormatting sqref="A905:N906 A986">
    <cfRule type="expression" dxfId="1" priority="1228">
      <formula>UPPER($N905)="NO"</formula>
    </cfRule>
  </conditionalFormatting>
  <conditionalFormatting sqref="A903:N904 A982">
    <cfRule type="expression" dxfId="0" priority="1229">
      <formula>UPPER($N903)="SI"</formula>
    </cfRule>
  </conditionalFormatting>
  <conditionalFormatting sqref="A903:A904 A982">
    <cfRule type="expression" dxfId="1" priority="1230">
      <formula>" =N1="no" "</formula>
    </cfRule>
  </conditionalFormatting>
  <conditionalFormatting sqref="A903:N904 A982">
    <cfRule type="expression" dxfId="1" priority="1231">
      <formula>UPPER($N903)="NO"</formula>
    </cfRule>
  </conditionalFormatting>
  <conditionalFormatting sqref="A900:N902 A980:A981">
    <cfRule type="expression" dxfId="0" priority="1232">
      <formula>UPPER($N900)="SI"</formula>
    </cfRule>
  </conditionalFormatting>
  <conditionalFormatting sqref="A900:A902 A980:A981">
    <cfRule type="expression" dxfId="1" priority="1233">
      <formula>" =N1="no" "</formula>
    </cfRule>
  </conditionalFormatting>
  <conditionalFormatting sqref="A900:N902 A980:A981">
    <cfRule type="expression" dxfId="1" priority="1234">
      <formula>UPPER($N900)="NO"</formula>
    </cfRule>
  </conditionalFormatting>
  <conditionalFormatting sqref="A899:N899 A977">
    <cfRule type="expression" dxfId="0" priority="1235">
      <formula>UPPER($N899)="SI"</formula>
    </cfRule>
  </conditionalFormatting>
  <conditionalFormatting sqref="A899 A977">
    <cfRule type="expression" dxfId="1" priority="1236">
      <formula>" =N1="no" "</formula>
    </cfRule>
  </conditionalFormatting>
  <conditionalFormatting sqref="A899:N899 A977">
    <cfRule type="expression" dxfId="1" priority="1237">
      <formula>UPPER($N899)="NO"</formula>
    </cfRule>
  </conditionalFormatting>
  <conditionalFormatting sqref="A891:N898 A976">
    <cfRule type="expression" dxfId="0" priority="1238">
      <formula>UPPER($N891)="SI"</formula>
    </cfRule>
  </conditionalFormatting>
  <conditionalFormatting sqref="A891:A898 A976">
    <cfRule type="expression" dxfId="1" priority="1239">
      <formula>" =N1="no" "</formula>
    </cfRule>
  </conditionalFormatting>
  <conditionalFormatting sqref="A891:N898 A976">
    <cfRule type="expression" dxfId="1" priority="1240">
      <formula>UPPER($N891)="NO"</formula>
    </cfRule>
  </conditionalFormatting>
  <conditionalFormatting sqref="A890:N890 A969">
    <cfRule type="expression" dxfId="0" priority="1241">
      <formula>UPPER($N890)="SI"</formula>
    </cfRule>
  </conditionalFormatting>
  <conditionalFormatting sqref="A890 A969">
    <cfRule type="expression" dxfId="1" priority="1242">
      <formula>" =N1="no" "</formula>
    </cfRule>
  </conditionalFormatting>
  <conditionalFormatting sqref="A890:N890 A969">
    <cfRule type="expression" dxfId="1" priority="1243">
      <formula>UPPER($N890)="NO"</formula>
    </cfRule>
  </conditionalFormatting>
  <conditionalFormatting sqref="A889:N889">
    <cfRule type="expression" dxfId="0" priority="1244">
      <formula>UPPER($N889)="SI"</formula>
    </cfRule>
  </conditionalFormatting>
  <conditionalFormatting sqref="A889">
    <cfRule type="expression" dxfId="1" priority="1245">
      <formula>" =N1="no" "</formula>
    </cfRule>
  </conditionalFormatting>
  <conditionalFormatting sqref="A889:N889">
    <cfRule type="expression" dxfId="1" priority="1246">
      <formula>UPPER($N889)="NO"</formula>
    </cfRule>
  </conditionalFormatting>
  <conditionalFormatting sqref="A888:N888 A966">
    <cfRule type="expression" dxfId="0" priority="1247">
      <formula>UPPER($N888)="SI"</formula>
    </cfRule>
  </conditionalFormatting>
  <conditionalFormatting sqref="A888 A966">
    <cfRule type="expression" dxfId="1" priority="1248">
      <formula>" =N1="no" "</formula>
    </cfRule>
  </conditionalFormatting>
  <conditionalFormatting sqref="A888:N888 A966">
    <cfRule type="expression" dxfId="1" priority="1249">
      <formula>UPPER($N888)="NO"</formula>
    </cfRule>
  </conditionalFormatting>
  <conditionalFormatting sqref="A887:N887 A965">
    <cfRule type="expression" dxfId="0" priority="1250">
      <formula>UPPER($N887)="SI"</formula>
    </cfRule>
  </conditionalFormatting>
  <conditionalFormatting sqref="A887 A965">
    <cfRule type="expression" dxfId="1" priority="1251">
      <formula>" =N1="no" "</formula>
    </cfRule>
  </conditionalFormatting>
  <conditionalFormatting sqref="A887:N887 A965">
    <cfRule type="expression" dxfId="1" priority="1252">
      <formula>UPPER($N887)="NO"</formula>
    </cfRule>
  </conditionalFormatting>
  <conditionalFormatting sqref="A886:N886">
    <cfRule type="expression" dxfId="0" priority="1253">
      <formula>UPPER($N886)="SI"</formula>
    </cfRule>
  </conditionalFormatting>
  <conditionalFormatting sqref="A886">
    <cfRule type="expression" dxfId="1" priority="1254">
      <formula>" =N1="no" "</formula>
    </cfRule>
  </conditionalFormatting>
  <conditionalFormatting sqref="A886:N886">
    <cfRule type="expression" dxfId="1" priority="1255">
      <formula>UPPER($N886)="NO"</formula>
    </cfRule>
  </conditionalFormatting>
  <conditionalFormatting sqref="A885:N885 A964">
    <cfRule type="expression" dxfId="0" priority="1256">
      <formula>UPPER($N885)="SI"</formula>
    </cfRule>
  </conditionalFormatting>
  <conditionalFormatting sqref="A885 A964">
    <cfRule type="expression" dxfId="1" priority="1257">
      <formula>" =N1="no" "</formula>
    </cfRule>
  </conditionalFormatting>
  <conditionalFormatting sqref="A885:N885 A964">
    <cfRule type="expression" dxfId="1" priority="1258">
      <formula>UPPER($N885)="NO"</formula>
    </cfRule>
  </conditionalFormatting>
  <conditionalFormatting sqref="A884:N884">
    <cfRule type="expression" dxfId="0" priority="1259">
      <formula>UPPER($N884)="SI"</formula>
    </cfRule>
  </conditionalFormatting>
  <conditionalFormatting sqref="A884">
    <cfRule type="expression" dxfId="1" priority="1260">
      <formula>" =N1="no" "</formula>
    </cfRule>
  </conditionalFormatting>
  <conditionalFormatting sqref="A884:N884">
    <cfRule type="expression" dxfId="1" priority="1261">
      <formula>UPPER($N884)="NO"</formula>
    </cfRule>
  </conditionalFormatting>
  <conditionalFormatting sqref="A881:N883 A960">
    <cfRule type="expression" dxfId="0" priority="1262">
      <formula>UPPER($N881)="SI"</formula>
    </cfRule>
  </conditionalFormatting>
  <conditionalFormatting sqref="A881:A883 A960">
    <cfRule type="expression" dxfId="1" priority="1263">
      <formula>" =N1="no" "</formula>
    </cfRule>
  </conditionalFormatting>
  <conditionalFormatting sqref="A881:N883 A960">
    <cfRule type="expression" dxfId="1" priority="1264">
      <formula>UPPER($N881)="NO"</formula>
    </cfRule>
  </conditionalFormatting>
  <conditionalFormatting sqref="A880:N880">
    <cfRule type="expression" dxfId="0" priority="1265">
      <formula>UPPER($N880)="SI"</formula>
    </cfRule>
  </conditionalFormatting>
  <conditionalFormatting sqref="A880">
    <cfRule type="expression" dxfId="1" priority="1266">
      <formula>" =N1="no" "</formula>
    </cfRule>
  </conditionalFormatting>
  <conditionalFormatting sqref="A880:N880">
    <cfRule type="expression" dxfId="1" priority="1267">
      <formula>UPPER($N880)="NO"</formula>
    </cfRule>
  </conditionalFormatting>
  <conditionalFormatting sqref="A878:N879 A958">
    <cfRule type="expression" dxfId="0" priority="1268">
      <formula>UPPER($N878)="SI"</formula>
    </cfRule>
  </conditionalFormatting>
  <conditionalFormatting sqref="A878:A879 A958">
    <cfRule type="expression" dxfId="1" priority="1269">
      <formula>" =N1="no" "</formula>
    </cfRule>
  </conditionalFormatting>
  <conditionalFormatting sqref="A878:N879 A958">
    <cfRule type="expression" dxfId="1" priority="1270">
      <formula>UPPER($N878)="NO"</formula>
    </cfRule>
  </conditionalFormatting>
  <conditionalFormatting sqref="A877:N877">
    <cfRule type="expression" dxfId="0" priority="1271">
      <formula>UPPER($N877)="SI"</formula>
    </cfRule>
  </conditionalFormatting>
  <conditionalFormatting sqref="A877">
    <cfRule type="expression" dxfId="1" priority="1272">
      <formula>" =N1="no" "</formula>
    </cfRule>
  </conditionalFormatting>
  <conditionalFormatting sqref="A877:N877">
    <cfRule type="expression" dxfId="1" priority="1273">
      <formula>UPPER($N877)="NO"</formula>
    </cfRule>
  </conditionalFormatting>
  <conditionalFormatting sqref="A875:N876 A956:A957">
    <cfRule type="expression" dxfId="0" priority="1274">
      <formula>UPPER($N875)="SI"</formula>
    </cfRule>
  </conditionalFormatting>
  <conditionalFormatting sqref="A875:A876 A956:A957">
    <cfRule type="expression" dxfId="1" priority="1275">
      <formula>" =N1="no" "</formula>
    </cfRule>
  </conditionalFormatting>
  <conditionalFormatting sqref="A875:N876 A956:A957">
    <cfRule type="expression" dxfId="1" priority="1276">
      <formula>UPPER($N875)="NO"</formula>
    </cfRule>
  </conditionalFormatting>
  <conditionalFormatting sqref="A868:N874 A955">
    <cfRule type="expression" dxfId="0" priority="1277">
      <formula>UPPER($N868)="SI"</formula>
    </cfRule>
  </conditionalFormatting>
  <conditionalFormatting sqref="A868:A874 A955">
    <cfRule type="expression" dxfId="1" priority="1278">
      <formula>" =N1="no" "</formula>
    </cfRule>
  </conditionalFormatting>
  <conditionalFormatting sqref="A868:N874 A955">
    <cfRule type="expression" dxfId="1" priority="1279">
      <formula>UPPER($N868)="NO"</formula>
    </cfRule>
  </conditionalFormatting>
  <conditionalFormatting sqref="A867:N867 A953">
    <cfRule type="expression" dxfId="0" priority="1280">
      <formula>UPPER($N867)="SI"</formula>
    </cfRule>
  </conditionalFormatting>
  <conditionalFormatting sqref="A867 A953">
    <cfRule type="expression" dxfId="1" priority="1281">
      <formula>" =N1="no" "</formula>
    </cfRule>
  </conditionalFormatting>
  <conditionalFormatting sqref="A867:N867 A953">
    <cfRule type="expression" dxfId="1" priority="1282">
      <formula>UPPER($N867)="NO"</formula>
    </cfRule>
  </conditionalFormatting>
  <conditionalFormatting sqref="A865:N866 A951">
    <cfRule type="expression" dxfId="0" priority="1283">
      <formula>UPPER($N865)="SI"</formula>
    </cfRule>
  </conditionalFormatting>
  <conditionalFormatting sqref="A865:A866 A951">
    <cfRule type="expression" dxfId="1" priority="1284">
      <formula>" =N1="no" "</formula>
    </cfRule>
  </conditionalFormatting>
  <conditionalFormatting sqref="A865:N866 A951">
    <cfRule type="expression" dxfId="1" priority="1285">
      <formula>UPPER($N865)="NO"</formula>
    </cfRule>
  </conditionalFormatting>
  <conditionalFormatting sqref="A862:N864 A949:A950">
    <cfRule type="expression" dxfId="0" priority="1286">
      <formula>UPPER($N862)="SI"</formula>
    </cfRule>
  </conditionalFormatting>
  <conditionalFormatting sqref="A862:A864 A949:A950">
    <cfRule type="expression" dxfId="1" priority="1287">
      <formula>" =N1="no" "</formula>
    </cfRule>
  </conditionalFormatting>
  <conditionalFormatting sqref="A862:N864 A949:A950">
    <cfRule type="expression" dxfId="1" priority="1288">
      <formula>UPPER($N862)="NO"</formula>
    </cfRule>
  </conditionalFormatting>
  <conditionalFormatting sqref="A859:N861 A946:A947">
    <cfRule type="expression" dxfId="0" priority="1289">
      <formula>UPPER($N859)="SI"</formula>
    </cfRule>
  </conditionalFormatting>
  <conditionalFormatting sqref="A859:A861 A946:A947">
    <cfRule type="expression" dxfId="1" priority="1290">
      <formula>" =N1="no" "</formula>
    </cfRule>
  </conditionalFormatting>
  <conditionalFormatting sqref="A859:N861 A946:A947">
    <cfRule type="expression" dxfId="1" priority="1291">
      <formula>UPPER($N859)="NO"</formula>
    </cfRule>
  </conditionalFormatting>
  <conditionalFormatting sqref="A858:N858 A945">
    <cfRule type="expression" dxfId="0" priority="1292">
      <formula>UPPER($N858)="SI"</formula>
    </cfRule>
  </conditionalFormatting>
  <conditionalFormatting sqref="A858 A945">
    <cfRule type="expression" dxfId="1" priority="1293">
      <formula>" =N1="no" "</formula>
    </cfRule>
  </conditionalFormatting>
  <conditionalFormatting sqref="A858:N858 A945">
    <cfRule type="expression" dxfId="1" priority="1294">
      <formula>UPPER($N858)="NO"</formula>
    </cfRule>
  </conditionalFormatting>
  <conditionalFormatting sqref="A857:N857 A944">
    <cfRule type="expression" dxfId="0" priority="1295">
      <formula>UPPER($N857)="SI"</formula>
    </cfRule>
  </conditionalFormatting>
  <conditionalFormatting sqref="A857 A944">
    <cfRule type="expression" dxfId="1" priority="1296">
      <formula>" =N1="no" "</formula>
    </cfRule>
  </conditionalFormatting>
  <conditionalFormatting sqref="A857:N857 A944">
    <cfRule type="expression" dxfId="1" priority="1297">
      <formula>UPPER($N857)="NO"</formula>
    </cfRule>
  </conditionalFormatting>
  <conditionalFormatting sqref="A846:N856 A943">
    <cfRule type="expression" dxfId="0" priority="1298">
      <formula>UPPER($N846)="SI"</formula>
    </cfRule>
  </conditionalFormatting>
  <conditionalFormatting sqref="A846:A856 A943">
    <cfRule type="expression" dxfId="1" priority="1299">
      <formula>" =N1="no" "</formula>
    </cfRule>
  </conditionalFormatting>
  <conditionalFormatting sqref="A846:N856 A943">
    <cfRule type="expression" dxfId="1" priority="1300">
      <formula>UPPER($N846)="NO"</formula>
    </cfRule>
  </conditionalFormatting>
  <conditionalFormatting sqref="A844:N845 A933">
    <cfRule type="expression" dxfId="0" priority="1301">
      <formula>UPPER($N844)="SI"</formula>
    </cfRule>
  </conditionalFormatting>
  <conditionalFormatting sqref="A844:A845 A933">
    <cfRule type="expression" dxfId="1" priority="1302">
      <formula>" =N1="no" "</formula>
    </cfRule>
  </conditionalFormatting>
  <conditionalFormatting sqref="A844:N845 A933">
    <cfRule type="expression" dxfId="1" priority="1303">
      <formula>UPPER($N844)="NO"</formula>
    </cfRule>
  </conditionalFormatting>
  <conditionalFormatting sqref="A837:N843 A928:A929">
    <cfRule type="expression" dxfId="0" priority="1304">
      <formula>UPPER($N837)="SI"</formula>
    </cfRule>
  </conditionalFormatting>
  <conditionalFormatting sqref="A837:A843 A928:A929">
    <cfRule type="expression" dxfId="1" priority="1305">
      <formula>" =N1="no" "</formula>
    </cfRule>
  </conditionalFormatting>
  <conditionalFormatting sqref="A837:N843 A928:A929">
    <cfRule type="expression" dxfId="1" priority="1306">
      <formula>UPPER($N837)="NO"</formula>
    </cfRule>
  </conditionalFormatting>
  <conditionalFormatting sqref="A836:N836 A926">
    <cfRule type="expression" dxfId="0" priority="1307">
      <formula>UPPER($N836)="SI"</formula>
    </cfRule>
  </conditionalFormatting>
  <conditionalFormatting sqref="A836 A926">
    <cfRule type="expression" dxfId="1" priority="1308">
      <formula>" =N1="no" "</formula>
    </cfRule>
  </conditionalFormatting>
  <conditionalFormatting sqref="A836:N836 A926">
    <cfRule type="expression" dxfId="1" priority="1309">
      <formula>UPPER($N836)="NO"</formula>
    </cfRule>
  </conditionalFormatting>
  <conditionalFormatting sqref="A835:N835 A925">
    <cfRule type="expression" dxfId="0" priority="1310">
      <formula>UPPER($N835)="SI"</formula>
    </cfRule>
  </conditionalFormatting>
  <conditionalFormatting sqref="A835 A925">
    <cfRule type="expression" dxfId="1" priority="1311">
      <formula>" =N1="no" "</formula>
    </cfRule>
  </conditionalFormatting>
  <conditionalFormatting sqref="A835:N835 A925">
    <cfRule type="expression" dxfId="1" priority="1312">
      <formula>UPPER($N835)="NO"</formula>
    </cfRule>
  </conditionalFormatting>
  <conditionalFormatting sqref="A830:N834 A922:A924">
    <cfRule type="expression" dxfId="0" priority="1313">
      <formula>UPPER($N830)="SI"</formula>
    </cfRule>
  </conditionalFormatting>
  <conditionalFormatting sqref="A830:A834 A922:A924">
    <cfRule type="expression" dxfId="1" priority="1314">
      <formula>" =N1="no" "</formula>
    </cfRule>
  </conditionalFormatting>
  <conditionalFormatting sqref="A830:N834 A922:A924">
    <cfRule type="expression" dxfId="1" priority="1315">
      <formula>UPPER($N830)="NO"</formula>
    </cfRule>
  </conditionalFormatting>
  <conditionalFormatting sqref="A829:N829 A917">
    <cfRule type="expression" dxfId="0" priority="1316">
      <formula>UPPER($N829)="SI"</formula>
    </cfRule>
  </conditionalFormatting>
  <conditionalFormatting sqref="A829 A917">
    <cfRule type="expression" dxfId="1" priority="1317">
      <formula>" =N1="no" "</formula>
    </cfRule>
  </conditionalFormatting>
  <conditionalFormatting sqref="A829:N829 A917">
    <cfRule type="expression" dxfId="1" priority="1318">
      <formula>UPPER($N829)="NO"</formula>
    </cfRule>
  </conditionalFormatting>
  <conditionalFormatting sqref="A827:N828 A914">
    <cfRule type="expression" dxfId="0" priority="1319">
      <formula>UPPER($N827)="SI"</formula>
    </cfRule>
  </conditionalFormatting>
  <conditionalFormatting sqref="A827:A828 A914">
    <cfRule type="expression" dxfId="1" priority="1320">
      <formula>" =N1="no" "</formula>
    </cfRule>
  </conditionalFormatting>
  <conditionalFormatting sqref="A827:N828 A914">
    <cfRule type="expression" dxfId="1" priority="1321">
      <formula>UPPER($N827)="NO"</formula>
    </cfRule>
  </conditionalFormatting>
  <conditionalFormatting sqref="A826:N826 A911">
    <cfRule type="expression" dxfId="0" priority="1322">
      <formula>UPPER($N826)="SI"</formula>
    </cfRule>
  </conditionalFormatting>
  <conditionalFormatting sqref="A826 A911">
    <cfRule type="expression" dxfId="1" priority="1323">
      <formula>" =N1="no" "</formula>
    </cfRule>
  </conditionalFormatting>
  <conditionalFormatting sqref="A826:N826 A911">
    <cfRule type="expression" dxfId="1" priority="1324">
      <formula>UPPER($N826)="NO"</formula>
    </cfRule>
  </conditionalFormatting>
  <conditionalFormatting sqref="A825:N825 A910">
    <cfRule type="expression" dxfId="0" priority="1325">
      <formula>UPPER($N825)="SI"</formula>
    </cfRule>
  </conditionalFormatting>
  <conditionalFormatting sqref="A825 A910">
    <cfRule type="expression" dxfId="1" priority="1326">
      <formula>" =N1="no" "</formula>
    </cfRule>
  </conditionalFormatting>
  <conditionalFormatting sqref="A825:N825 A910">
    <cfRule type="expression" dxfId="1" priority="1327">
      <formula>UPPER($N825)="NO"</formula>
    </cfRule>
  </conditionalFormatting>
  <conditionalFormatting sqref="A823:N824 A909">
    <cfRule type="expression" dxfId="0" priority="1328">
      <formula>UPPER($N823)="SI"</formula>
    </cfRule>
  </conditionalFormatting>
  <conditionalFormatting sqref="A823:A824 A909">
    <cfRule type="expression" dxfId="1" priority="1329">
      <formula>" =N1="no" "</formula>
    </cfRule>
  </conditionalFormatting>
  <conditionalFormatting sqref="A823:N824 A909">
    <cfRule type="expression" dxfId="1" priority="1330">
      <formula>UPPER($N823)="NO"</formula>
    </cfRule>
  </conditionalFormatting>
  <conditionalFormatting sqref="A822:N822 A908">
    <cfRule type="expression" dxfId="0" priority="1331">
      <formula>UPPER($N822)="SI"</formula>
    </cfRule>
  </conditionalFormatting>
  <conditionalFormatting sqref="A822 A908">
    <cfRule type="expression" dxfId="1" priority="1332">
      <formula>" =N1="no" "</formula>
    </cfRule>
  </conditionalFormatting>
  <conditionalFormatting sqref="A822:N822 A908">
    <cfRule type="expression" dxfId="1" priority="1333">
      <formula>UPPER($N822)="NO"</formula>
    </cfRule>
  </conditionalFormatting>
  <conditionalFormatting sqref="A818:N821 A905:A907">
    <cfRule type="expression" dxfId="0" priority="1334">
      <formula>UPPER($N818)="SI"</formula>
    </cfRule>
  </conditionalFormatting>
  <conditionalFormatting sqref="A818:A821 A905:A907">
    <cfRule type="expression" dxfId="1" priority="1335">
      <formula>" =N1="no" "</formula>
    </cfRule>
  </conditionalFormatting>
  <conditionalFormatting sqref="A818:N821 A905:A907">
    <cfRule type="expression" dxfId="1" priority="1336">
      <formula>UPPER($N818)="NO"</formula>
    </cfRule>
  </conditionalFormatting>
  <conditionalFormatting sqref="A814:N817 A899:A902">
    <cfRule type="expression" dxfId="0" priority="1337">
      <formula>UPPER($N814)="SI"</formula>
    </cfRule>
  </conditionalFormatting>
  <conditionalFormatting sqref="A814:A817 A899:A902">
    <cfRule type="expression" dxfId="1" priority="1338">
      <formula>" =N1="no" "</formula>
    </cfRule>
  </conditionalFormatting>
  <conditionalFormatting sqref="A814:N817 A899:A902">
    <cfRule type="expression" dxfId="1" priority="1339">
      <formula>UPPER($N814)="NO"</formula>
    </cfRule>
  </conditionalFormatting>
  <conditionalFormatting sqref="A806:N813 A898">
    <cfRule type="expression" dxfId="0" priority="1340">
      <formula>UPPER($N806)="SI"</formula>
    </cfRule>
  </conditionalFormatting>
  <conditionalFormatting sqref="A806:A813 A898">
    <cfRule type="expression" dxfId="1" priority="1341">
      <formula>" =N1="no" "</formula>
    </cfRule>
  </conditionalFormatting>
  <conditionalFormatting sqref="A806:N813 A898">
    <cfRule type="expression" dxfId="1" priority="1342">
      <formula>UPPER($N806)="NO"</formula>
    </cfRule>
  </conditionalFormatting>
  <conditionalFormatting sqref="A804:N805 A888">
    <cfRule type="expression" dxfId="0" priority="1343">
      <formula>UPPER($N804)="SI"</formula>
    </cfRule>
  </conditionalFormatting>
  <conditionalFormatting sqref="A804:A805 A888">
    <cfRule type="expression" dxfId="1" priority="1344">
      <formula>" =N1="no" "</formula>
    </cfRule>
  </conditionalFormatting>
  <conditionalFormatting sqref="A804:N805 A888">
    <cfRule type="expression" dxfId="1" priority="1345">
      <formula>UPPER($N804)="NO"</formula>
    </cfRule>
  </conditionalFormatting>
  <conditionalFormatting sqref="A800:N803 A887">
    <cfRule type="expression" dxfId="0" priority="1346">
      <formula>UPPER($N800)="SI"</formula>
    </cfRule>
  </conditionalFormatting>
  <conditionalFormatting sqref="A800:A803 A887">
    <cfRule type="expression" dxfId="1" priority="1347">
      <formula>" =N1="no" "</formula>
    </cfRule>
  </conditionalFormatting>
  <conditionalFormatting sqref="A800:N803 A887">
    <cfRule type="expression" dxfId="1" priority="1348">
      <formula>UPPER($N800)="NO"</formula>
    </cfRule>
  </conditionalFormatting>
  <conditionalFormatting sqref="A799:N799">
    <cfRule type="expression" dxfId="0" priority="1349">
      <formula>UPPER($N799)="SI"</formula>
    </cfRule>
  </conditionalFormatting>
  <conditionalFormatting sqref="A799">
    <cfRule type="expression" dxfId="1" priority="1350">
      <formula>" =N1="no" "</formula>
    </cfRule>
  </conditionalFormatting>
  <conditionalFormatting sqref="A799:N799">
    <cfRule type="expression" dxfId="1" priority="1351">
      <formula>UPPER($N799)="NO"</formula>
    </cfRule>
  </conditionalFormatting>
  <conditionalFormatting sqref="A795:N798 A883">
    <cfRule type="expression" dxfId="0" priority="1352">
      <formula>UPPER($N795)="SI"</formula>
    </cfRule>
  </conditionalFormatting>
  <conditionalFormatting sqref="A795:A798 A883">
    <cfRule type="expression" dxfId="1" priority="1353">
      <formula>" =N1="no" "</formula>
    </cfRule>
  </conditionalFormatting>
  <conditionalFormatting sqref="A795:N798 A883">
    <cfRule type="expression" dxfId="1" priority="1354">
      <formula>UPPER($N795)="NO"</formula>
    </cfRule>
  </conditionalFormatting>
  <conditionalFormatting sqref="A793:N794 A876">
    <cfRule type="expression" dxfId="0" priority="1355">
      <formula>UPPER($N793)="SI"</formula>
    </cfRule>
  </conditionalFormatting>
  <conditionalFormatting sqref="A793:A794 A876">
    <cfRule type="expression" dxfId="1" priority="1356">
      <formula>" =N1="no" "</formula>
    </cfRule>
  </conditionalFormatting>
  <conditionalFormatting sqref="A793:N794 A876">
    <cfRule type="expression" dxfId="1" priority="1357">
      <formula>UPPER($N793)="NO"</formula>
    </cfRule>
  </conditionalFormatting>
  <conditionalFormatting sqref="A788:N792 A874:A875">
    <cfRule type="expression" dxfId="0" priority="1358">
      <formula>UPPER($N788)="SI"</formula>
    </cfRule>
  </conditionalFormatting>
  <conditionalFormatting sqref="A788:A792 A874:A875">
    <cfRule type="expression" dxfId="1" priority="1359">
      <formula>" =N1="no" "</formula>
    </cfRule>
  </conditionalFormatting>
  <conditionalFormatting sqref="A788:N792 A874:A875">
    <cfRule type="expression" dxfId="1" priority="1360">
      <formula>UPPER($N788)="NO"</formula>
    </cfRule>
  </conditionalFormatting>
  <conditionalFormatting sqref="A787:N787 A867">
    <cfRule type="expression" dxfId="0" priority="1361">
      <formula>UPPER($N787)="SI"</formula>
    </cfRule>
  </conditionalFormatting>
  <conditionalFormatting sqref="A787 A867">
    <cfRule type="expression" dxfId="1" priority="1362">
      <formula>" =N1="no" "</formula>
    </cfRule>
  </conditionalFormatting>
  <conditionalFormatting sqref="A787:N787 A867">
    <cfRule type="expression" dxfId="1" priority="1363">
      <formula>UPPER($N787)="NO"</formula>
    </cfRule>
  </conditionalFormatting>
  <conditionalFormatting sqref="A785:N786 A864:A865">
    <cfRule type="expression" dxfId="0" priority="1364">
      <formula>UPPER($N785)="SI"</formula>
    </cfRule>
  </conditionalFormatting>
  <conditionalFormatting sqref="A785:A786 A864:A865">
    <cfRule type="expression" dxfId="1" priority="1365">
      <formula>" =N1="no" "</formula>
    </cfRule>
  </conditionalFormatting>
  <conditionalFormatting sqref="A785:N786 A864:A865">
    <cfRule type="expression" dxfId="1" priority="1366">
      <formula>UPPER($N785)="NO"</formula>
    </cfRule>
  </conditionalFormatting>
  <conditionalFormatting sqref="A783:N784 A863">
    <cfRule type="expression" dxfId="0" priority="1367">
      <formula>UPPER($N783)="SI"</formula>
    </cfRule>
  </conditionalFormatting>
  <conditionalFormatting sqref="A783:A784 A863">
    <cfRule type="expression" dxfId="1" priority="1368">
      <formula>" =N1="no" "</formula>
    </cfRule>
  </conditionalFormatting>
  <conditionalFormatting sqref="A783:N784 A863">
    <cfRule type="expression" dxfId="1" priority="1369">
      <formula>UPPER($N783)="NO"</formula>
    </cfRule>
  </conditionalFormatting>
  <conditionalFormatting sqref="A782:N782 A861">
    <cfRule type="expression" dxfId="0" priority="1370">
      <formula>UPPER($N782)="SI"</formula>
    </cfRule>
  </conditionalFormatting>
  <conditionalFormatting sqref="A782 A861">
    <cfRule type="expression" dxfId="1" priority="1371">
      <formula>" =N1="no" "</formula>
    </cfRule>
  </conditionalFormatting>
  <conditionalFormatting sqref="A782:N782 A861">
    <cfRule type="expression" dxfId="1" priority="1372">
      <formula>UPPER($N782)="NO"</formula>
    </cfRule>
  </conditionalFormatting>
  <conditionalFormatting sqref="A780:N781">
    <cfRule type="expression" dxfId="0" priority="1373">
      <formula>UPPER($N780)="SI"</formula>
    </cfRule>
  </conditionalFormatting>
  <conditionalFormatting sqref="A780:A781">
    <cfRule type="expression" dxfId="1" priority="1374">
      <formula>" =N1="no" "</formula>
    </cfRule>
  </conditionalFormatting>
  <conditionalFormatting sqref="A780:N781">
    <cfRule type="expression" dxfId="1" priority="1375">
      <formula>UPPER($N780)="NO"</formula>
    </cfRule>
  </conditionalFormatting>
  <conditionalFormatting sqref="A779:N779 A860">
    <cfRule type="expression" dxfId="0" priority="1376">
      <formula>UPPER($N779)="SI"</formula>
    </cfRule>
  </conditionalFormatting>
  <conditionalFormatting sqref="A779 A860">
    <cfRule type="expression" dxfId="1" priority="1377">
      <formula>" =N1="no" "</formula>
    </cfRule>
  </conditionalFormatting>
  <conditionalFormatting sqref="A779:N779 A860">
    <cfRule type="expression" dxfId="1" priority="1378">
      <formula>UPPER($N779)="NO"</formula>
    </cfRule>
  </conditionalFormatting>
  <conditionalFormatting sqref="A775:N778 A856:A858">
    <cfRule type="expression" dxfId="0" priority="1379">
      <formula>UPPER($N775)="SI"</formula>
    </cfRule>
  </conditionalFormatting>
  <conditionalFormatting sqref="A775:A778 A856:A858">
    <cfRule type="expression" dxfId="1" priority="1380">
      <formula>" =N1="no" "</formula>
    </cfRule>
  </conditionalFormatting>
  <conditionalFormatting sqref="A775:N778 A856:A858">
    <cfRule type="expression" dxfId="1" priority="1381">
      <formula>UPPER($N775)="NO"</formula>
    </cfRule>
  </conditionalFormatting>
  <conditionalFormatting sqref="A773:N774 A850:A851">
    <cfRule type="expression" dxfId="0" priority="1382">
      <formula>UPPER($N773)="SI"</formula>
    </cfRule>
  </conditionalFormatting>
  <conditionalFormatting sqref="A773:A774 A850:A851">
    <cfRule type="expression" dxfId="1" priority="1383">
      <formula>" =N1="no" "</formula>
    </cfRule>
  </conditionalFormatting>
  <conditionalFormatting sqref="A773:N774 A850:A851">
    <cfRule type="expression" dxfId="1" priority="1384">
      <formula>UPPER($N773)="NO"</formula>
    </cfRule>
  </conditionalFormatting>
  <conditionalFormatting sqref="A770:N772 A849">
    <cfRule type="expression" dxfId="0" priority="1385">
      <formula>UPPER($N770)="SI"</formula>
    </cfRule>
  </conditionalFormatting>
  <conditionalFormatting sqref="A770:A772 A849">
    <cfRule type="expression" dxfId="1" priority="1386">
      <formula>" =N1="no" "</formula>
    </cfRule>
  </conditionalFormatting>
  <conditionalFormatting sqref="A770:N772 A849">
    <cfRule type="expression" dxfId="1" priority="1387">
      <formula>UPPER($N770)="NO"</formula>
    </cfRule>
  </conditionalFormatting>
  <conditionalFormatting sqref="A763:N769 A842:A847">
    <cfRule type="expression" dxfId="0" priority="1388">
      <formula>UPPER($N763)="SI"</formula>
    </cfRule>
  </conditionalFormatting>
  <conditionalFormatting sqref="A763:A769 A842:A847">
    <cfRule type="expression" dxfId="1" priority="1389">
      <formula>" =N1="no" "</formula>
    </cfRule>
  </conditionalFormatting>
  <conditionalFormatting sqref="A763:N769 A842:A847">
    <cfRule type="expression" dxfId="1" priority="1390">
      <formula>UPPER($N763)="NO"</formula>
    </cfRule>
  </conditionalFormatting>
  <conditionalFormatting sqref="A761:N762 A835:A836">
    <cfRule type="expression" dxfId="0" priority="1391">
      <formula>UPPER($N761)="SI"</formula>
    </cfRule>
  </conditionalFormatting>
  <conditionalFormatting sqref="A761:A762 A835:A836">
    <cfRule type="expression" dxfId="1" priority="1392">
      <formula>" =N1="no" "</formula>
    </cfRule>
  </conditionalFormatting>
  <conditionalFormatting sqref="A761:N762 A835:A836">
    <cfRule type="expression" dxfId="1" priority="1393">
      <formula>UPPER($N761)="NO"</formula>
    </cfRule>
  </conditionalFormatting>
  <conditionalFormatting sqref="A751:N760 A834">
    <cfRule type="expression" dxfId="0" priority="1394">
      <formula>UPPER($N751)="SI"</formula>
    </cfRule>
  </conditionalFormatting>
  <conditionalFormatting sqref="A751:A760 A834">
    <cfRule type="expression" dxfId="1" priority="1395">
      <formula>" =N1="no" "</formula>
    </cfRule>
  </conditionalFormatting>
  <conditionalFormatting sqref="A751:N760 A834">
    <cfRule type="expression" dxfId="1" priority="1396">
      <formula>UPPER($N751)="NO"</formula>
    </cfRule>
  </conditionalFormatting>
  <conditionalFormatting sqref="A744:N750 A825:A826">
    <cfRule type="expression" dxfId="0" priority="1397">
      <formula>UPPER($N744)="SI"</formula>
    </cfRule>
  </conditionalFormatting>
  <conditionalFormatting sqref="A744:A750 A825:A826">
    <cfRule type="expression" dxfId="1" priority="1398">
      <formula>" =N1="no" "</formula>
    </cfRule>
  </conditionalFormatting>
  <conditionalFormatting sqref="A744:N750 A825:A826">
    <cfRule type="expression" dxfId="1" priority="1399">
      <formula>UPPER($N744)="NO"</formula>
    </cfRule>
  </conditionalFormatting>
  <conditionalFormatting sqref="A739:N743 A820">
    <cfRule type="expression" dxfId="0" priority="1400">
      <formula>UPPER($N739)="SI"</formula>
    </cfRule>
  </conditionalFormatting>
  <conditionalFormatting sqref="A739:A743 A820">
    <cfRule type="expression" dxfId="1" priority="1401">
      <formula>" =N1="no" "</formula>
    </cfRule>
  </conditionalFormatting>
  <conditionalFormatting sqref="A739:N743 A820">
    <cfRule type="expression" dxfId="1" priority="1402">
      <formula>UPPER($N739)="NO"</formula>
    </cfRule>
  </conditionalFormatting>
  <conditionalFormatting sqref="A737:N738 A818:A819">
    <cfRule type="expression" dxfId="0" priority="1403">
      <formula>UPPER($N737)="SI"</formula>
    </cfRule>
  </conditionalFormatting>
  <conditionalFormatting sqref="A737:A738 A818:A819">
    <cfRule type="expression" dxfId="1" priority="1404">
      <formula>" =N1="no" "</formula>
    </cfRule>
  </conditionalFormatting>
  <conditionalFormatting sqref="A737:N738 A818:A819">
    <cfRule type="expression" dxfId="1" priority="1405">
      <formula>UPPER($N737)="NO"</formula>
    </cfRule>
  </conditionalFormatting>
  <conditionalFormatting sqref="A736:N736">
    <cfRule type="expression" dxfId="0" priority="1406">
      <formula>UPPER($N736)="SI"</formula>
    </cfRule>
  </conditionalFormatting>
  <conditionalFormatting sqref="A736">
    <cfRule type="expression" dxfId="1" priority="1407">
      <formula>" =N1="no" "</formula>
    </cfRule>
  </conditionalFormatting>
  <conditionalFormatting sqref="A736:N736">
    <cfRule type="expression" dxfId="1" priority="1408">
      <formula>UPPER($N736)="NO"</formula>
    </cfRule>
  </conditionalFormatting>
  <conditionalFormatting sqref="A733:N735 A816:A817">
    <cfRule type="expression" dxfId="0" priority="1409">
      <formula>UPPER($N733)="SI"</formula>
    </cfRule>
  </conditionalFormatting>
  <conditionalFormatting sqref="A733:A735 A816:A817">
    <cfRule type="expression" dxfId="1" priority="1410">
      <formula>" =N1="no" "</formula>
    </cfRule>
  </conditionalFormatting>
  <conditionalFormatting sqref="A733:N735 A816:A817">
    <cfRule type="expression" dxfId="1" priority="1411">
      <formula>UPPER($N733)="NO"</formula>
    </cfRule>
  </conditionalFormatting>
  <conditionalFormatting sqref="A730:N732 A814:A815">
    <cfRule type="expression" dxfId="0" priority="1412">
      <formula>UPPER($N730)="SI"</formula>
    </cfRule>
  </conditionalFormatting>
  <conditionalFormatting sqref="A730:A732 A814:A815">
    <cfRule type="expression" dxfId="1" priority="1413">
      <formula>" =N1="no" "</formula>
    </cfRule>
  </conditionalFormatting>
  <conditionalFormatting sqref="A730:N732 A814:A815">
    <cfRule type="expression" dxfId="1" priority="1414">
      <formula>UPPER($N730)="NO"</formula>
    </cfRule>
  </conditionalFormatting>
  <conditionalFormatting sqref="A729:N729">
    <cfRule type="expression" dxfId="0" priority="1415">
      <formula>UPPER($N729)="SI"</formula>
    </cfRule>
  </conditionalFormatting>
  <conditionalFormatting sqref="A729">
    <cfRule type="expression" dxfId="1" priority="1416">
      <formula>" =N1="no" "</formula>
    </cfRule>
  </conditionalFormatting>
  <conditionalFormatting sqref="A729:N729">
    <cfRule type="expression" dxfId="1" priority="1417">
      <formula>UPPER($N729)="NO"</formula>
    </cfRule>
  </conditionalFormatting>
  <conditionalFormatting sqref="A727:N728 A810:A811">
    <cfRule type="expression" dxfId="0" priority="1418">
      <formula>UPPER($N727)="SI"</formula>
    </cfRule>
  </conditionalFormatting>
  <conditionalFormatting sqref="A727:A728 A810:A811">
    <cfRule type="expression" dxfId="1" priority="1419">
      <formula>" =N1="no" "</formula>
    </cfRule>
  </conditionalFormatting>
  <conditionalFormatting sqref="A727:N728 A810:A811">
    <cfRule type="expression" dxfId="1" priority="1420">
      <formula>UPPER($N727)="NO"</formula>
    </cfRule>
  </conditionalFormatting>
  <conditionalFormatting sqref="A726:N726 A809">
    <cfRule type="expression" dxfId="0" priority="1421">
      <formula>UPPER($N726)="SI"</formula>
    </cfRule>
  </conditionalFormatting>
  <conditionalFormatting sqref="A726 A809">
    <cfRule type="expression" dxfId="1" priority="1422">
      <formula>" =N1="no" "</formula>
    </cfRule>
  </conditionalFormatting>
  <conditionalFormatting sqref="A726:N726 A809">
    <cfRule type="expression" dxfId="1" priority="1423">
      <formula>UPPER($N726)="NO"</formula>
    </cfRule>
  </conditionalFormatting>
  <conditionalFormatting sqref="A724:N725 A807:A808">
    <cfRule type="expression" dxfId="0" priority="1424">
      <formula>UPPER($N724)="SI"</formula>
    </cfRule>
  </conditionalFormatting>
  <conditionalFormatting sqref="A724:A725 A807:A808">
    <cfRule type="expression" dxfId="1" priority="1425">
      <formula>" =N1="no" "</formula>
    </cfRule>
  </conditionalFormatting>
  <conditionalFormatting sqref="A724:N725 A807:A808">
    <cfRule type="expression" dxfId="1" priority="1426">
      <formula>UPPER($N724)="NO"</formula>
    </cfRule>
  </conditionalFormatting>
  <conditionalFormatting sqref="A723:N723 A806">
    <cfRule type="expression" dxfId="0" priority="1427">
      <formula>UPPER($N723)="SI"</formula>
    </cfRule>
  </conditionalFormatting>
  <conditionalFormatting sqref="A723 A806">
    <cfRule type="expression" dxfId="1" priority="1428">
      <formula>" =N1="no" "</formula>
    </cfRule>
  </conditionalFormatting>
  <conditionalFormatting sqref="A723:N723 A806">
    <cfRule type="expression" dxfId="1" priority="1429">
      <formula>UPPER($N723)="NO"</formula>
    </cfRule>
  </conditionalFormatting>
  <conditionalFormatting sqref="A721:N722 A804">
    <cfRule type="expression" dxfId="0" priority="1430">
      <formula>UPPER($N721)="SI"</formula>
    </cfRule>
  </conditionalFormatting>
  <conditionalFormatting sqref="A721:A722 A804">
    <cfRule type="expression" dxfId="1" priority="1431">
      <formula>" =N1="no" "</formula>
    </cfRule>
  </conditionalFormatting>
  <conditionalFormatting sqref="A721:N722 A804">
    <cfRule type="expression" dxfId="1" priority="1432">
      <formula>UPPER($N721)="NO"</formula>
    </cfRule>
  </conditionalFormatting>
  <conditionalFormatting sqref="A712:N720 A801">
    <cfRule type="expression" dxfId="0" priority="1433">
      <formula>UPPER($N712)="SI"</formula>
    </cfRule>
  </conditionalFormatting>
  <conditionalFormatting sqref="A712:A720 A801">
    <cfRule type="expression" dxfId="1" priority="1434">
      <formula>" =N1="no" "</formula>
    </cfRule>
  </conditionalFormatting>
  <conditionalFormatting sqref="A712:N720 A801">
    <cfRule type="expression" dxfId="1" priority="1435">
      <formula>UPPER($N712)="NO"</formula>
    </cfRule>
  </conditionalFormatting>
  <conditionalFormatting sqref="A710:N711 A790:A791">
    <cfRule type="expression" dxfId="0" priority="1436">
      <formula>UPPER($N710)="SI"</formula>
    </cfRule>
  </conditionalFormatting>
  <conditionalFormatting sqref="A710:A711 A790:A791">
    <cfRule type="expression" dxfId="1" priority="1437">
      <formula>" =N1="no" "</formula>
    </cfRule>
  </conditionalFormatting>
  <conditionalFormatting sqref="A710:N711 A790:A791">
    <cfRule type="expression" dxfId="1" priority="1438">
      <formula>UPPER($N710)="NO"</formula>
    </cfRule>
  </conditionalFormatting>
  <conditionalFormatting sqref="A709:N709">
    <cfRule type="expression" dxfId="0" priority="1439">
      <formula>UPPER($N709)="SI"</formula>
    </cfRule>
  </conditionalFormatting>
  <conditionalFormatting sqref="A709">
    <cfRule type="expression" dxfId="1" priority="1440">
      <formula>" =N1="no" "</formula>
    </cfRule>
  </conditionalFormatting>
  <conditionalFormatting sqref="A709:N709">
    <cfRule type="expression" dxfId="1" priority="1441">
      <formula>UPPER($N709)="NO"</formula>
    </cfRule>
  </conditionalFormatting>
  <conditionalFormatting sqref="A706:N708 A787">
    <cfRule type="expression" dxfId="0" priority="1442">
      <formula>UPPER($N706)="SI"</formula>
    </cfRule>
  </conditionalFormatting>
  <conditionalFormatting sqref="A706:A708 A787">
    <cfRule type="expression" dxfId="1" priority="1443">
      <formula>" =N1="no" "</formula>
    </cfRule>
  </conditionalFormatting>
  <conditionalFormatting sqref="A706:N708 A787">
    <cfRule type="expression" dxfId="1" priority="1444">
      <formula>UPPER($N706)="NO"</formula>
    </cfRule>
  </conditionalFormatting>
  <conditionalFormatting sqref="A703:N705">
    <cfRule type="expression" dxfId="0" priority="1445">
      <formula>UPPER($N703)="SI"</formula>
    </cfRule>
  </conditionalFormatting>
  <conditionalFormatting sqref="A703:A705">
    <cfRule type="expression" dxfId="1" priority="1446">
      <formula>" =N1="no" "</formula>
    </cfRule>
  </conditionalFormatting>
  <conditionalFormatting sqref="A703:N705">
    <cfRule type="expression" dxfId="1" priority="1447">
      <formula>UPPER($N703)="NO"</formula>
    </cfRule>
  </conditionalFormatting>
  <conditionalFormatting sqref="A702:N702">
    <cfRule type="expression" dxfId="0" priority="1448">
      <formula>UPPER($N702)="SI"</formula>
    </cfRule>
  </conditionalFormatting>
  <conditionalFormatting sqref="A702">
    <cfRule type="expression" dxfId="1" priority="1449">
      <formula>" =N1="no" "</formula>
    </cfRule>
  </conditionalFormatting>
  <conditionalFormatting sqref="A702:N702">
    <cfRule type="expression" dxfId="1" priority="1450">
      <formula>UPPER($N702)="NO"</formula>
    </cfRule>
  </conditionalFormatting>
  <conditionalFormatting sqref="A700:N701">
    <cfRule type="expression" dxfId="0" priority="1451">
      <formula>UPPER($N700)="SI"</formula>
    </cfRule>
  </conditionalFormatting>
  <conditionalFormatting sqref="A700:A701">
    <cfRule type="expression" dxfId="1" priority="1452">
      <formula>" =N1="no" "</formula>
    </cfRule>
  </conditionalFormatting>
  <conditionalFormatting sqref="A700:N701">
    <cfRule type="expression" dxfId="1" priority="1453">
      <formula>UPPER($N700)="NO"</formula>
    </cfRule>
  </conditionalFormatting>
  <conditionalFormatting sqref="A694:N699 A784:A785">
    <cfRule type="expression" dxfId="0" priority="1454">
      <formula>UPPER($N694)="SI"</formula>
    </cfRule>
  </conditionalFormatting>
  <conditionalFormatting sqref="A694:A699 A784:A785">
    <cfRule type="expression" dxfId="1" priority="1455">
      <formula>" =N1="no" "</formula>
    </cfRule>
  </conditionalFormatting>
  <conditionalFormatting sqref="A694:N699 A784:A785">
    <cfRule type="expression" dxfId="1" priority="1456">
      <formula>UPPER($N694)="NO"</formula>
    </cfRule>
  </conditionalFormatting>
  <conditionalFormatting sqref="A693:N693 A778">
    <cfRule type="expression" dxfId="0" priority="1457">
      <formula>UPPER($N693)="SI"</formula>
    </cfRule>
  </conditionalFormatting>
  <conditionalFormatting sqref="A693 A778">
    <cfRule type="expression" dxfId="1" priority="1458">
      <formula>" =N1="no" "</formula>
    </cfRule>
  </conditionalFormatting>
  <conditionalFormatting sqref="A693:N693 A778">
    <cfRule type="expression" dxfId="1" priority="1459">
      <formula>UPPER($N693)="NO"</formula>
    </cfRule>
  </conditionalFormatting>
  <conditionalFormatting sqref="A691:N692 A776:A777">
    <cfRule type="expression" dxfId="0" priority="1460">
      <formula>UPPER($N691)="SI"</formula>
    </cfRule>
  </conditionalFormatting>
  <conditionalFormatting sqref="A691:A692 A776:A777">
    <cfRule type="expression" dxfId="1" priority="1461">
      <formula>" =N1="no" "</formula>
    </cfRule>
  </conditionalFormatting>
  <conditionalFormatting sqref="A691:N692 A776:A777">
    <cfRule type="expression" dxfId="1" priority="1462">
      <formula>UPPER($N691)="NO"</formula>
    </cfRule>
  </conditionalFormatting>
  <conditionalFormatting sqref="A688:N690 A775">
    <cfRule type="expression" dxfId="0" priority="1463">
      <formula>UPPER($N688)="SI"</formula>
    </cfRule>
  </conditionalFormatting>
  <conditionalFormatting sqref="A688:A690 A775">
    <cfRule type="expression" dxfId="1" priority="1464">
      <formula>" =N1="no" "</formula>
    </cfRule>
  </conditionalFormatting>
  <conditionalFormatting sqref="A688:N690 A775">
    <cfRule type="expression" dxfId="1" priority="1465">
      <formula>UPPER($N688)="NO"</formula>
    </cfRule>
  </conditionalFormatting>
  <conditionalFormatting sqref="A683:N687 A774">
    <cfRule type="expression" dxfId="0" priority="1466">
      <formula>UPPER($N683)="SI"</formula>
    </cfRule>
  </conditionalFormatting>
  <conditionalFormatting sqref="A683:A687 A774">
    <cfRule type="expression" dxfId="1" priority="1467">
      <formula>" =N1="no" "</formula>
    </cfRule>
  </conditionalFormatting>
  <conditionalFormatting sqref="A683:N687 A774">
    <cfRule type="expression" dxfId="1" priority="1468">
      <formula>UPPER($N683)="NO"</formula>
    </cfRule>
  </conditionalFormatting>
  <conditionalFormatting sqref="A682:N682 A773">
    <cfRule type="expression" dxfId="0" priority="1469">
      <formula>UPPER($N682)="SI"</formula>
    </cfRule>
  </conditionalFormatting>
  <conditionalFormatting sqref="A682 A773">
    <cfRule type="expression" dxfId="1" priority="1470">
      <formula>" =N1="no" "</formula>
    </cfRule>
  </conditionalFormatting>
  <conditionalFormatting sqref="A682:N682 A773">
    <cfRule type="expression" dxfId="1" priority="1471">
      <formula>UPPER($N682)="NO"</formula>
    </cfRule>
  </conditionalFormatting>
  <conditionalFormatting sqref="A679:N681 A771">
    <cfRule type="expression" dxfId="0" priority="1472">
      <formula>UPPER($N679)="SI"</formula>
    </cfRule>
  </conditionalFormatting>
  <conditionalFormatting sqref="A679:A681 A771">
    <cfRule type="expression" dxfId="1" priority="1473">
      <formula>" =N1="no" "</formula>
    </cfRule>
  </conditionalFormatting>
  <conditionalFormatting sqref="A679:N681 A771">
    <cfRule type="expression" dxfId="1" priority="1474">
      <formula>UPPER($N679)="NO"</formula>
    </cfRule>
  </conditionalFormatting>
  <conditionalFormatting sqref="A677:N678 A768">
    <cfRule type="expression" dxfId="0" priority="1475">
      <formula>UPPER($N677)="SI"</formula>
    </cfRule>
  </conditionalFormatting>
  <conditionalFormatting sqref="A677:A678 A768">
    <cfRule type="expression" dxfId="1" priority="1476">
      <formula>" =N1="no" "</formula>
    </cfRule>
  </conditionalFormatting>
  <conditionalFormatting sqref="A677:N678 A768">
    <cfRule type="expression" dxfId="1" priority="1477">
      <formula>UPPER($N677)="NO"</formula>
    </cfRule>
  </conditionalFormatting>
  <conditionalFormatting sqref="A675:N676">
    <cfRule type="expression" dxfId="0" priority="1478">
      <formula>UPPER($N675)="SI"</formula>
    </cfRule>
  </conditionalFormatting>
  <conditionalFormatting sqref="A675:A676">
    <cfRule type="expression" dxfId="1" priority="1479">
      <formula>" =N1="no" "</formula>
    </cfRule>
  </conditionalFormatting>
  <conditionalFormatting sqref="A675:N676">
    <cfRule type="expression" dxfId="1" priority="1480">
      <formula>UPPER($N675)="NO"</formula>
    </cfRule>
  </conditionalFormatting>
  <conditionalFormatting sqref="A674:N674">
    <cfRule type="expression" dxfId="0" priority="1481">
      <formula>UPPER($N674)="SI"</formula>
    </cfRule>
  </conditionalFormatting>
  <conditionalFormatting sqref="A674">
    <cfRule type="expression" dxfId="1" priority="1482">
      <formula>" =N1="no" "</formula>
    </cfRule>
  </conditionalFormatting>
  <conditionalFormatting sqref="A674:N674">
    <cfRule type="expression" dxfId="1" priority="1483">
      <formula>UPPER($N674)="NO"</formula>
    </cfRule>
  </conditionalFormatting>
  <conditionalFormatting sqref="A672:N673 A767">
    <cfRule type="expression" dxfId="0" priority="1484">
      <formula>UPPER($N672)="SI"</formula>
    </cfRule>
  </conditionalFormatting>
  <conditionalFormatting sqref="A672:A673 A767">
    <cfRule type="expression" dxfId="1" priority="1485">
      <formula>" =N1="no" "</formula>
    </cfRule>
  </conditionalFormatting>
  <conditionalFormatting sqref="A672:N673 A767">
    <cfRule type="expression" dxfId="1" priority="1486">
      <formula>UPPER($N672)="NO"</formula>
    </cfRule>
  </conditionalFormatting>
  <conditionalFormatting sqref="A671:N671">
    <cfRule type="expression" dxfId="0" priority="1487">
      <formula>UPPER($N671)="SI"</formula>
    </cfRule>
  </conditionalFormatting>
  <conditionalFormatting sqref="A671">
    <cfRule type="expression" dxfId="1" priority="1488">
      <formula>" =N1="no" "</formula>
    </cfRule>
  </conditionalFormatting>
  <conditionalFormatting sqref="A671:N671">
    <cfRule type="expression" dxfId="1" priority="1489">
      <formula>UPPER($N671)="NO"</formula>
    </cfRule>
  </conditionalFormatting>
  <conditionalFormatting sqref="A668:N670 A765:A766">
    <cfRule type="expression" dxfId="0" priority="1490">
      <formula>UPPER($N668)="SI"</formula>
    </cfRule>
  </conditionalFormatting>
  <conditionalFormatting sqref="A668:A670 A765:A766">
    <cfRule type="expression" dxfId="1" priority="1491">
      <formula>" =N1="no" "</formula>
    </cfRule>
  </conditionalFormatting>
  <conditionalFormatting sqref="A668:N670 A765:A766">
    <cfRule type="expression" dxfId="1" priority="1492">
      <formula>UPPER($N668)="NO"</formula>
    </cfRule>
  </conditionalFormatting>
  <conditionalFormatting sqref="A667:N667 A764">
    <cfRule type="expression" dxfId="0" priority="1493">
      <formula>UPPER($N667)="SI"</formula>
    </cfRule>
  </conditionalFormatting>
  <conditionalFormatting sqref="A667 A764">
    <cfRule type="expression" dxfId="1" priority="1494">
      <formula>" =N1="no" "</formula>
    </cfRule>
  </conditionalFormatting>
  <conditionalFormatting sqref="A667:N667 A764">
    <cfRule type="expression" dxfId="1" priority="1495">
      <formula>UPPER($N667)="NO"</formula>
    </cfRule>
  </conditionalFormatting>
  <conditionalFormatting sqref="A662:N666 A762:A763">
    <cfRule type="expression" dxfId="0" priority="1496">
      <formula>UPPER($N662)="SI"</formula>
    </cfRule>
  </conditionalFormatting>
  <conditionalFormatting sqref="A662:A666 A762:A763">
    <cfRule type="expression" dxfId="1" priority="1497">
      <formula>" =N1="no" "</formula>
    </cfRule>
  </conditionalFormatting>
  <conditionalFormatting sqref="A662:N666 A762:A763">
    <cfRule type="expression" dxfId="1" priority="1498">
      <formula>UPPER($N662)="NO"</formula>
    </cfRule>
  </conditionalFormatting>
  <conditionalFormatting sqref="A658:N661 A760">
    <cfRule type="expression" dxfId="0" priority="1499">
      <formula>UPPER($N658)="SI"</formula>
    </cfRule>
  </conditionalFormatting>
  <conditionalFormatting sqref="A658:A661 A760">
    <cfRule type="expression" dxfId="1" priority="1500">
      <formula>" =N1="no" "</formula>
    </cfRule>
  </conditionalFormatting>
  <conditionalFormatting sqref="A658:N661 A760">
    <cfRule type="expression" dxfId="1" priority="1501">
      <formula>UPPER($N658)="NO"</formula>
    </cfRule>
  </conditionalFormatting>
  <conditionalFormatting sqref="A651:N657 A757">
    <cfRule type="expression" dxfId="0" priority="1502">
      <formula>UPPER($N651)="SI"</formula>
    </cfRule>
  </conditionalFormatting>
  <conditionalFormatting sqref="A651:A657 A757">
    <cfRule type="expression" dxfId="1" priority="1503">
      <formula>" =N1="no" "</formula>
    </cfRule>
  </conditionalFormatting>
  <conditionalFormatting sqref="A651:N657 A757">
    <cfRule type="expression" dxfId="1" priority="1504">
      <formula>UPPER($N651)="NO"</formula>
    </cfRule>
  </conditionalFormatting>
  <conditionalFormatting sqref="A650:N650">
    <cfRule type="expression" dxfId="0" priority="1505">
      <formula>UPPER($N650)="SI"</formula>
    </cfRule>
  </conditionalFormatting>
  <conditionalFormatting sqref="A650">
    <cfRule type="expression" dxfId="1" priority="1506">
      <formula>" =N1="no" "</formula>
    </cfRule>
  </conditionalFormatting>
  <conditionalFormatting sqref="A650:N650">
    <cfRule type="expression" dxfId="1" priority="1507">
      <formula>UPPER($N650)="NO"</formula>
    </cfRule>
  </conditionalFormatting>
  <conditionalFormatting sqref="A647:N649 A753">
    <cfRule type="expression" dxfId="0" priority="1508">
      <formula>UPPER($N647)="SI"</formula>
    </cfRule>
  </conditionalFormatting>
  <conditionalFormatting sqref="A647:A649 A753">
    <cfRule type="expression" dxfId="1" priority="1509">
      <formula>" =N1="no" "</formula>
    </cfRule>
  </conditionalFormatting>
  <conditionalFormatting sqref="A647:N649 A753">
    <cfRule type="expression" dxfId="1" priority="1510">
      <formula>UPPER($N647)="NO"</formula>
    </cfRule>
  </conditionalFormatting>
  <conditionalFormatting sqref="A643:N646 A752">
    <cfRule type="expression" dxfId="0" priority="1511">
      <formula>UPPER($N643)="SI"</formula>
    </cfRule>
  </conditionalFormatting>
  <conditionalFormatting sqref="A643:A646 A752">
    <cfRule type="expression" dxfId="1" priority="1512">
      <formula>" =N1="no" "</formula>
    </cfRule>
  </conditionalFormatting>
  <conditionalFormatting sqref="A643:N646 A752">
    <cfRule type="expression" dxfId="1" priority="1513">
      <formula>UPPER($N643)="NO"</formula>
    </cfRule>
  </conditionalFormatting>
  <conditionalFormatting sqref="A637:N642 A751">
    <cfRule type="expression" dxfId="0" priority="1514">
      <formula>UPPER($N637)="SI"</formula>
    </cfRule>
  </conditionalFormatting>
  <conditionalFormatting sqref="A637:A642 A751">
    <cfRule type="expression" dxfId="1" priority="1515">
      <formula>" =N1="no" "</formula>
    </cfRule>
  </conditionalFormatting>
  <conditionalFormatting sqref="A637:N642 A751">
    <cfRule type="expression" dxfId="1" priority="1516">
      <formula>UPPER($N637)="NO"</formula>
    </cfRule>
  </conditionalFormatting>
  <conditionalFormatting sqref="A631:N636 A749">
    <cfRule type="expression" dxfId="0" priority="1517">
      <formula>UPPER($N631)="SI"</formula>
    </cfRule>
  </conditionalFormatting>
  <conditionalFormatting sqref="A631:A636 A749">
    <cfRule type="expression" dxfId="1" priority="1518">
      <formula>" =N1="no" "</formula>
    </cfRule>
  </conditionalFormatting>
  <conditionalFormatting sqref="A631:N636 A749">
    <cfRule type="expression" dxfId="1" priority="1519">
      <formula>UPPER($N631)="NO"</formula>
    </cfRule>
  </conditionalFormatting>
  <conditionalFormatting sqref="A628:N630 A745">
    <cfRule type="expression" dxfId="0" priority="1520">
      <formula>UPPER($N628)="SI"</formula>
    </cfRule>
  </conditionalFormatting>
  <conditionalFormatting sqref="A628:A630 A745">
    <cfRule type="expression" dxfId="1" priority="1521">
      <formula>" =N1="no" "</formula>
    </cfRule>
  </conditionalFormatting>
  <conditionalFormatting sqref="A628:N630 A745">
    <cfRule type="expression" dxfId="1" priority="1522">
      <formula>UPPER($N628)="NO"</formula>
    </cfRule>
  </conditionalFormatting>
  <conditionalFormatting sqref="A626:N627">
    <cfRule type="expression" dxfId="0" priority="1523">
      <formula>UPPER($N626)="SI"</formula>
    </cfRule>
  </conditionalFormatting>
  <conditionalFormatting sqref="A626:A627">
    <cfRule type="expression" dxfId="1" priority="1524">
      <formula>" =N1="no" "</formula>
    </cfRule>
  </conditionalFormatting>
  <conditionalFormatting sqref="A626:N627">
    <cfRule type="expression" dxfId="1" priority="1525">
      <formula>UPPER($N626)="NO"</formula>
    </cfRule>
  </conditionalFormatting>
  <conditionalFormatting sqref="A625:N625">
    <cfRule type="expression" dxfId="0" priority="1526">
      <formula>UPPER($N625)="SI"</formula>
    </cfRule>
  </conditionalFormatting>
  <conditionalFormatting sqref="A625">
    <cfRule type="expression" dxfId="1" priority="1527">
      <formula>" =N1="no" "</formula>
    </cfRule>
  </conditionalFormatting>
  <conditionalFormatting sqref="A625:N625">
    <cfRule type="expression" dxfId="1" priority="1528">
      <formula>UPPER($N625)="NO"</formula>
    </cfRule>
  </conditionalFormatting>
  <conditionalFormatting sqref="A613:N624 A738">
    <cfRule type="expression" dxfId="0" priority="1529">
      <formula>UPPER($N613)="SI"</formula>
    </cfRule>
  </conditionalFormatting>
  <conditionalFormatting sqref="A613:A624 A738">
    <cfRule type="expression" dxfId="1" priority="1530">
      <formula>" =N1="no" "</formula>
    </cfRule>
  </conditionalFormatting>
  <conditionalFormatting sqref="A613:N624 A738">
    <cfRule type="expression" dxfId="1" priority="1531">
      <formula>UPPER($N613)="NO"</formula>
    </cfRule>
  </conditionalFormatting>
  <conditionalFormatting sqref="A612:N612">
    <cfRule type="expression" dxfId="0" priority="1532">
      <formula>UPPER($N612)="SI"</formula>
    </cfRule>
  </conditionalFormatting>
  <conditionalFormatting sqref="A612">
    <cfRule type="expression" dxfId="1" priority="1533">
      <formula>" =N1="no" "</formula>
    </cfRule>
  </conditionalFormatting>
  <conditionalFormatting sqref="A612:N612">
    <cfRule type="expression" dxfId="1" priority="1534">
      <formula>UPPER($N612)="NO"</formula>
    </cfRule>
  </conditionalFormatting>
  <conditionalFormatting sqref="A609:N611 A725:A727">
    <cfRule type="expression" dxfId="0" priority="1535">
      <formula>UPPER($N609)="SI"</formula>
    </cfRule>
  </conditionalFormatting>
  <conditionalFormatting sqref="A609:A611 A725:A727">
    <cfRule type="expression" dxfId="1" priority="1536">
      <formula>" =N1="no" "</formula>
    </cfRule>
  </conditionalFormatting>
  <conditionalFormatting sqref="A609:N611 A725:A727">
    <cfRule type="expression" dxfId="1" priority="1537">
      <formula>UPPER($N609)="NO"</formula>
    </cfRule>
  </conditionalFormatting>
  <conditionalFormatting sqref="A607:N608 A724">
    <cfRule type="expression" dxfId="0" priority="1538">
      <formula>UPPER($N607)="SI"</formula>
    </cfRule>
  </conditionalFormatting>
  <conditionalFormatting sqref="A607:A608 A724">
    <cfRule type="expression" dxfId="1" priority="1539">
      <formula>" =N1="no" "</formula>
    </cfRule>
  </conditionalFormatting>
  <conditionalFormatting sqref="A607:N608 A724">
    <cfRule type="expression" dxfId="1" priority="1540">
      <formula>UPPER($N607)="NO"</formula>
    </cfRule>
  </conditionalFormatting>
  <conditionalFormatting sqref="A606:N606 A723">
    <cfRule type="expression" dxfId="0" priority="1541">
      <formula>UPPER($N606)="SI"</formula>
    </cfRule>
  </conditionalFormatting>
  <conditionalFormatting sqref="A606 A723">
    <cfRule type="expression" dxfId="1" priority="1542">
      <formula>" =N1="no" "</formula>
    </cfRule>
  </conditionalFormatting>
  <conditionalFormatting sqref="A606:N606 A723">
    <cfRule type="expression" dxfId="1" priority="1543">
      <formula>UPPER($N606)="NO"</formula>
    </cfRule>
  </conditionalFormatting>
  <conditionalFormatting sqref="A604:N605">
    <cfRule type="expression" dxfId="0" priority="1544">
      <formula>UPPER($N604)="SI"</formula>
    </cfRule>
  </conditionalFormatting>
  <conditionalFormatting sqref="A604:A605">
    <cfRule type="expression" dxfId="1" priority="1545">
      <formula>" =N1="no" "</formula>
    </cfRule>
  </conditionalFormatting>
  <conditionalFormatting sqref="A604:N605">
    <cfRule type="expression" dxfId="1" priority="1546">
      <formula>UPPER($N604)="NO"</formula>
    </cfRule>
  </conditionalFormatting>
  <conditionalFormatting sqref="A603:N603 A722">
    <cfRule type="expression" dxfId="0" priority="1547">
      <formula>UPPER($N603)="SI"</formula>
    </cfRule>
  </conditionalFormatting>
  <conditionalFormatting sqref="A603 A722">
    <cfRule type="expression" dxfId="1" priority="1548">
      <formula>" =N1="no" "</formula>
    </cfRule>
  </conditionalFormatting>
  <conditionalFormatting sqref="A603:N603 A722">
    <cfRule type="expression" dxfId="1" priority="1549">
      <formula>UPPER($N603)="NO"</formula>
    </cfRule>
  </conditionalFormatting>
  <conditionalFormatting sqref="A602:N602">
    <cfRule type="expression" dxfId="0" priority="1550">
      <formula>UPPER($N602)="SI"</formula>
    </cfRule>
  </conditionalFormatting>
  <conditionalFormatting sqref="A602">
    <cfRule type="expression" dxfId="1" priority="1551">
      <formula>" =N1="no" "</formula>
    </cfRule>
  </conditionalFormatting>
  <conditionalFormatting sqref="A602:N602">
    <cfRule type="expression" dxfId="1" priority="1552">
      <formula>UPPER($N602)="NO"</formula>
    </cfRule>
  </conditionalFormatting>
  <conditionalFormatting sqref="A601:N601 A721">
    <cfRule type="expression" dxfId="0" priority="1553">
      <formula>UPPER($N601)="SI"</formula>
    </cfRule>
  </conditionalFormatting>
  <conditionalFormatting sqref="A601 A721">
    <cfRule type="expression" dxfId="1" priority="1554">
      <formula>" =N1="no" "</formula>
    </cfRule>
  </conditionalFormatting>
  <conditionalFormatting sqref="A601:N601 A721">
    <cfRule type="expression" dxfId="1" priority="1555">
      <formula>UPPER($N601)="NO"</formula>
    </cfRule>
  </conditionalFormatting>
  <conditionalFormatting sqref="A600:N600 A718">
    <cfRule type="expression" dxfId="0" priority="1556">
      <formula>UPPER($N600)="SI"</formula>
    </cfRule>
  </conditionalFormatting>
  <conditionalFormatting sqref="A600 A718">
    <cfRule type="expression" dxfId="1" priority="1557">
      <formula>" =N1="no" "</formula>
    </cfRule>
  </conditionalFormatting>
  <conditionalFormatting sqref="A600:N600 A718">
    <cfRule type="expression" dxfId="1" priority="1558">
      <formula>UPPER($N600)="NO"</formula>
    </cfRule>
  </conditionalFormatting>
  <conditionalFormatting sqref="A598:N599 A717">
    <cfRule type="expression" dxfId="0" priority="1559">
      <formula>UPPER($N598)="SI"</formula>
    </cfRule>
  </conditionalFormatting>
  <conditionalFormatting sqref="A598:A599 A717">
    <cfRule type="expression" dxfId="1" priority="1560">
      <formula>" =N1="no" "</formula>
    </cfRule>
  </conditionalFormatting>
  <conditionalFormatting sqref="A598:N599 A717">
    <cfRule type="expression" dxfId="1" priority="1561">
      <formula>UPPER($N598)="NO"</formula>
    </cfRule>
  </conditionalFormatting>
  <conditionalFormatting sqref="A594:N597 A713:A715">
    <cfRule type="expression" dxfId="0" priority="1562">
      <formula>UPPER($N594)="SI"</formula>
    </cfRule>
  </conditionalFormatting>
  <conditionalFormatting sqref="A594:A597 A713:A715">
    <cfRule type="expression" dxfId="1" priority="1563">
      <formula>" =N1="no" "</formula>
    </cfRule>
  </conditionalFormatting>
  <conditionalFormatting sqref="A594:N597 A713:A715">
    <cfRule type="expression" dxfId="1" priority="1564">
      <formula>UPPER($N594)="NO"</formula>
    </cfRule>
  </conditionalFormatting>
  <conditionalFormatting sqref="A586:N593 A710:A712">
    <cfRule type="expression" dxfId="0" priority="1565">
      <formula>UPPER($N586)="SI"</formula>
    </cfRule>
  </conditionalFormatting>
  <conditionalFormatting sqref="A586:A593 A710:A712">
    <cfRule type="expression" dxfId="1" priority="1566">
      <formula>" =N1="no" "</formula>
    </cfRule>
  </conditionalFormatting>
  <conditionalFormatting sqref="A586:N593 A710:A712">
    <cfRule type="expression" dxfId="1" priority="1567">
      <formula>UPPER($N586)="NO"</formula>
    </cfRule>
  </conditionalFormatting>
  <conditionalFormatting sqref="A578:N585 A699">
    <cfRule type="expression" dxfId="0" priority="1568">
      <formula>UPPER($N578)="SI"</formula>
    </cfRule>
  </conditionalFormatting>
  <conditionalFormatting sqref="A578:A585 A699">
    <cfRule type="expression" dxfId="1" priority="1569">
      <formula>" =N1="no" "</formula>
    </cfRule>
  </conditionalFormatting>
  <conditionalFormatting sqref="A578:N585 A699">
    <cfRule type="expression" dxfId="1" priority="1570">
      <formula>UPPER($N578)="NO"</formula>
    </cfRule>
  </conditionalFormatting>
  <conditionalFormatting sqref="A575:N577 A695">
    <cfRule type="expression" dxfId="0" priority="1571">
      <formula>UPPER($N575)="SI"</formula>
    </cfRule>
  </conditionalFormatting>
  <conditionalFormatting sqref="A575:A577 A695">
    <cfRule type="expression" dxfId="1" priority="1572">
      <formula>" =N1="no" "</formula>
    </cfRule>
  </conditionalFormatting>
  <conditionalFormatting sqref="A575:N577 A695">
    <cfRule type="expression" dxfId="1" priority="1573">
      <formula>UPPER($N575)="NO"</formula>
    </cfRule>
  </conditionalFormatting>
  <conditionalFormatting sqref="A574:N574 A694">
    <cfRule type="expression" dxfId="0" priority="1574">
      <formula>UPPER($N574)="SI"</formula>
    </cfRule>
  </conditionalFormatting>
  <conditionalFormatting sqref="A574 A694">
    <cfRule type="expression" dxfId="1" priority="1575">
      <formula>" =N1="no" "</formula>
    </cfRule>
  </conditionalFormatting>
  <conditionalFormatting sqref="A574:N574 A694">
    <cfRule type="expression" dxfId="1" priority="1576">
      <formula>UPPER($N574)="NO"</formula>
    </cfRule>
  </conditionalFormatting>
  <conditionalFormatting sqref="A573:N573">
    <cfRule type="expression" dxfId="0" priority="1577">
      <formula>UPPER($N573)="SI"</formula>
    </cfRule>
  </conditionalFormatting>
  <conditionalFormatting sqref="A573">
    <cfRule type="expression" dxfId="1" priority="1578">
      <formula>" =N1="no" "</formula>
    </cfRule>
  </conditionalFormatting>
  <conditionalFormatting sqref="A573:N573">
    <cfRule type="expression" dxfId="1" priority="1579">
      <formula>UPPER($N573)="NO"</formula>
    </cfRule>
  </conditionalFormatting>
  <conditionalFormatting sqref="A570:N572 A692:A693">
    <cfRule type="expression" dxfId="0" priority="1580">
      <formula>UPPER($N570)="SI"</formula>
    </cfRule>
  </conditionalFormatting>
  <conditionalFormatting sqref="A570:A572 A692:A693">
    <cfRule type="expression" dxfId="1" priority="1581">
      <formula>" =N1="no" "</formula>
    </cfRule>
  </conditionalFormatting>
  <conditionalFormatting sqref="A570:N572 A692:A693">
    <cfRule type="expression" dxfId="1" priority="1582">
      <formula>UPPER($N570)="NO"</formula>
    </cfRule>
  </conditionalFormatting>
  <conditionalFormatting sqref="A565:N569 A691">
    <cfRule type="expression" dxfId="0" priority="1583">
      <formula>UPPER($N565)="SI"</formula>
    </cfRule>
  </conditionalFormatting>
  <conditionalFormatting sqref="A565:A569 A691">
    <cfRule type="expression" dxfId="1" priority="1584">
      <formula>" =N1="no" "</formula>
    </cfRule>
  </conditionalFormatting>
  <conditionalFormatting sqref="A565:N569 A691">
    <cfRule type="expression" dxfId="1" priority="1585">
      <formula>UPPER($N565)="NO"</formula>
    </cfRule>
  </conditionalFormatting>
  <conditionalFormatting sqref="A561:N564 A687">
    <cfRule type="expression" dxfId="0" priority="1586">
      <formula>UPPER($N561)="SI"</formula>
    </cfRule>
  </conditionalFormatting>
  <conditionalFormatting sqref="A561:A564 A687">
    <cfRule type="expression" dxfId="1" priority="1587">
      <formula>" =N1="no" "</formula>
    </cfRule>
  </conditionalFormatting>
  <conditionalFormatting sqref="A561:N564 A687">
    <cfRule type="expression" dxfId="1" priority="1588">
      <formula>UPPER($N561)="NO"</formula>
    </cfRule>
  </conditionalFormatting>
  <conditionalFormatting sqref="A558:N560 A682">
    <cfRule type="expression" dxfId="0" priority="1589">
      <formula>UPPER($N558)="SI"</formula>
    </cfRule>
  </conditionalFormatting>
  <conditionalFormatting sqref="A558:A560 A682">
    <cfRule type="expression" dxfId="1" priority="1590">
      <formula>" =N1="no" "</formula>
    </cfRule>
  </conditionalFormatting>
  <conditionalFormatting sqref="A558:N560 A682">
    <cfRule type="expression" dxfId="1" priority="1591">
      <formula>UPPER($N558)="NO"</formula>
    </cfRule>
  </conditionalFormatting>
  <conditionalFormatting sqref="A547:N557 A681">
    <cfRule type="expression" dxfId="0" priority="1592">
      <formula>UPPER($N547)="SI"</formula>
    </cfRule>
  </conditionalFormatting>
  <conditionalFormatting sqref="A547:A557 A681">
    <cfRule type="expression" dxfId="1" priority="1593">
      <formula>" =N1="no" "</formula>
    </cfRule>
  </conditionalFormatting>
  <conditionalFormatting sqref="A547:N557 A681">
    <cfRule type="expression" dxfId="1" priority="1594">
      <formula>UPPER($N547)="NO"</formula>
    </cfRule>
  </conditionalFormatting>
  <conditionalFormatting sqref="A544:N546">
    <cfRule type="expression" dxfId="0" priority="1595">
      <formula>UPPER($N544)="SI"</formula>
    </cfRule>
  </conditionalFormatting>
  <conditionalFormatting sqref="A544:A546">
    <cfRule type="expression" dxfId="1" priority="1596">
      <formula>" =N1="no" "</formula>
    </cfRule>
  </conditionalFormatting>
  <conditionalFormatting sqref="A544:N546">
    <cfRule type="expression" dxfId="1" priority="1597">
      <formula>UPPER($N544)="NO"</formula>
    </cfRule>
  </conditionalFormatting>
  <conditionalFormatting sqref="A540:N543 A665">
    <cfRule type="expression" dxfId="0" priority="1598">
      <formula>UPPER($N540)="SI"</formula>
    </cfRule>
  </conditionalFormatting>
  <conditionalFormatting sqref="A540:A543 A665">
    <cfRule type="expression" dxfId="1" priority="1599">
      <formula>" =N1="no" "</formula>
    </cfRule>
  </conditionalFormatting>
  <conditionalFormatting sqref="A540:N543 A665">
    <cfRule type="expression" dxfId="1" priority="1600">
      <formula>UPPER($N540)="NO"</formula>
    </cfRule>
  </conditionalFormatting>
  <conditionalFormatting sqref="A539:N539 A656">
    <cfRule type="expression" dxfId="0" priority="1601">
      <formula>UPPER($N539)="SI"</formula>
    </cfRule>
  </conditionalFormatting>
  <conditionalFormatting sqref="A539 A656">
    <cfRule type="expression" dxfId="1" priority="1602">
      <formula>" =N1="no" "</formula>
    </cfRule>
  </conditionalFormatting>
  <conditionalFormatting sqref="A539:N539 A656">
    <cfRule type="expression" dxfId="1" priority="1603">
      <formula>UPPER($N539)="NO"</formula>
    </cfRule>
  </conditionalFormatting>
  <conditionalFormatting sqref="A538:N538 A655">
    <cfRule type="expression" dxfId="0" priority="1604">
      <formula>UPPER($N538)="SI"</formula>
    </cfRule>
  </conditionalFormatting>
  <conditionalFormatting sqref="A538 A655">
    <cfRule type="expression" dxfId="1" priority="1605">
      <formula>" =N1="no" "</formula>
    </cfRule>
  </conditionalFormatting>
  <conditionalFormatting sqref="A538:N538 A655">
    <cfRule type="expression" dxfId="1" priority="1606">
      <formula>UPPER($N538)="NO"</formula>
    </cfRule>
  </conditionalFormatting>
  <conditionalFormatting sqref="A535:N537 A651">
    <cfRule type="expression" dxfId="0" priority="1607">
      <formula>UPPER($N535)="SI"</formula>
    </cfRule>
  </conditionalFormatting>
  <conditionalFormatting sqref="A535:A537 A651">
    <cfRule type="expression" dxfId="1" priority="1608">
      <formula>" =N1="no" "</formula>
    </cfRule>
  </conditionalFormatting>
  <conditionalFormatting sqref="A535:N537 A651">
    <cfRule type="expression" dxfId="1" priority="1609">
      <formula>UPPER($N535)="NO"</formula>
    </cfRule>
  </conditionalFormatting>
  <conditionalFormatting sqref="A528:N534 A649">
    <cfRule type="expression" dxfId="0" priority="1610">
      <formula>UPPER($N528)="SI"</formula>
    </cfRule>
  </conditionalFormatting>
  <conditionalFormatting sqref="A528:A534 A649">
    <cfRule type="expression" dxfId="1" priority="1611">
      <formula>" =N1="no" "</formula>
    </cfRule>
  </conditionalFormatting>
  <conditionalFormatting sqref="A528:N534 A649">
    <cfRule type="expression" dxfId="1" priority="1612">
      <formula>UPPER($N528)="NO"</formula>
    </cfRule>
  </conditionalFormatting>
  <conditionalFormatting sqref="A527:N527 A636">
    <cfRule type="expression" dxfId="0" priority="1613">
      <formula>UPPER($N527)="SI"</formula>
    </cfRule>
  </conditionalFormatting>
  <conditionalFormatting sqref="A527 A636">
    <cfRule type="expression" dxfId="1" priority="1614">
      <formula>" =N1="no" "</formula>
    </cfRule>
  </conditionalFormatting>
  <conditionalFormatting sqref="A527:N527 A636">
    <cfRule type="expression" dxfId="1" priority="1615">
      <formula>UPPER($N527)="NO"</formula>
    </cfRule>
  </conditionalFormatting>
  <conditionalFormatting sqref="A513:N526 A635">
    <cfRule type="expression" dxfId="0" priority="1616">
      <formula>UPPER($N513)="SI"</formula>
    </cfRule>
  </conditionalFormatting>
  <conditionalFormatting sqref="A513:A526 A635">
    <cfRule type="expression" dxfId="1" priority="1617">
      <formula>" =N1="no" "</formula>
    </cfRule>
  </conditionalFormatting>
  <conditionalFormatting sqref="A513:N526 A635">
    <cfRule type="expression" dxfId="1" priority="1618">
      <formula>UPPER($N513)="NO"</formula>
    </cfRule>
  </conditionalFormatting>
  <conditionalFormatting sqref="A507:N512 A619">
    <cfRule type="expression" dxfId="0" priority="1619">
      <formula>UPPER($N507)="SI"</formula>
    </cfRule>
  </conditionalFormatting>
  <conditionalFormatting sqref="A507:A512 A619">
    <cfRule type="expression" dxfId="1" priority="1620">
      <formula>" =N1="no" "</formula>
    </cfRule>
  </conditionalFormatting>
  <conditionalFormatting sqref="A507:N512 A619">
    <cfRule type="expression" dxfId="1" priority="1621">
      <formula>UPPER($N507)="NO"</formula>
    </cfRule>
  </conditionalFormatting>
  <conditionalFormatting sqref="A505:N506">
    <cfRule type="expression" dxfId="0" priority="1622">
      <formula>UPPER($N505)="SI"</formula>
    </cfRule>
  </conditionalFormatting>
  <conditionalFormatting sqref="A505:A506">
    <cfRule type="expression" dxfId="1" priority="1623">
      <formula>" =N1="no" "</formula>
    </cfRule>
  </conditionalFormatting>
  <conditionalFormatting sqref="A505:N506">
    <cfRule type="expression" dxfId="1" priority="1624">
      <formula>UPPER($N505)="NO"</formula>
    </cfRule>
  </conditionalFormatting>
  <conditionalFormatting sqref="A503:N504 A615:A616">
    <cfRule type="expression" dxfId="0" priority="1625">
      <formula>UPPER($N503)="SI"</formula>
    </cfRule>
  </conditionalFormatting>
  <conditionalFormatting sqref="A503:A504 A615:A616">
    <cfRule type="expression" dxfId="1" priority="1626">
      <formula>" =N1="no" "</formula>
    </cfRule>
  </conditionalFormatting>
  <conditionalFormatting sqref="A503:N504 A615:A616">
    <cfRule type="expression" dxfId="1" priority="1627">
      <formula>UPPER($N503)="NO"</formula>
    </cfRule>
  </conditionalFormatting>
  <conditionalFormatting sqref="A498:N502 A614">
    <cfRule type="expression" dxfId="0" priority="1628">
      <formula>UPPER($N498)="SI"</formula>
    </cfRule>
  </conditionalFormatting>
  <conditionalFormatting sqref="A498:A502 A614">
    <cfRule type="expression" dxfId="1" priority="1629">
      <formula>" =N1="no" "</formula>
    </cfRule>
  </conditionalFormatting>
  <conditionalFormatting sqref="A498:N502 A614">
    <cfRule type="expression" dxfId="1" priority="1630">
      <formula>UPPER($N498)="NO"</formula>
    </cfRule>
  </conditionalFormatting>
  <conditionalFormatting sqref="A496:N497 A613">
    <cfRule type="expression" dxfId="0" priority="1631">
      <formula>UPPER($N496)="SI"</formula>
    </cfRule>
  </conditionalFormatting>
  <conditionalFormatting sqref="A496:A497 A613">
    <cfRule type="expression" dxfId="1" priority="1632">
      <formula>" =N1="no" "</formula>
    </cfRule>
  </conditionalFormatting>
  <conditionalFormatting sqref="A496:N497 A613">
    <cfRule type="expression" dxfId="1" priority="1633">
      <formula>UPPER($N496)="NO"</formula>
    </cfRule>
  </conditionalFormatting>
  <conditionalFormatting sqref="A495:N495 A611">
    <cfRule type="expression" dxfId="0" priority="1634">
      <formula>UPPER($N495)="SI"</formula>
    </cfRule>
  </conditionalFormatting>
  <conditionalFormatting sqref="A495 A611">
    <cfRule type="expression" dxfId="1" priority="1635">
      <formula>" =N1="no" "</formula>
    </cfRule>
  </conditionalFormatting>
  <conditionalFormatting sqref="A495:N495 A611">
    <cfRule type="expression" dxfId="1" priority="1636">
      <formula>UPPER($N495)="NO"</formula>
    </cfRule>
  </conditionalFormatting>
  <conditionalFormatting sqref="A493:N494 A610">
    <cfRule type="expression" dxfId="0" priority="1637">
      <formula>UPPER($N493)="SI"</formula>
    </cfRule>
  </conditionalFormatting>
  <conditionalFormatting sqref="A493:A494 A610">
    <cfRule type="expression" dxfId="1" priority="1638">
      <formula>" =N1="no" "</formula>
    </cfRule>
  </conditionalFormatting>
  <conditionalFormatting sqref="A493:N494 A610">
    <cfRule type="expression" dxfId="1" priority="1639">
      <formula>UPPER($N493)="NO"</formula>
    </cfRule>
  </conditionalFormatting>
  <conditionalFormatting sqref="A491:N492">
    <cfRule type="expression" dxfId="0" priority="1640">
      <formula>UPPER($N491)="SI"</formula>
    </cfRule>
  </conditionalFormatting>
  <conditionalFormatting sqref="A491:A492">
    <cfRule type="expression" dxfId="1" priority="1641">
      <formula>" =N1="no" "</formula>
    </cfRule>
  </conditionalFormatting>
  <conditionalFormatting sqref="A491:N492">
    <cfRule type="expression" dxfId="1" priority="1642">
      <formula>UPPER($N491)="NO"</formula>
    </cfRule>
  </conditionalFormatting>
  <conditionalFormatting sqref="A490:N490">
    <cfRule type="expression" dxfId="0" priority="1643">
      <formula>UPPER($N490)="SI"</formula>
    </cfRule>
  </conditionalFormatting>
  <conditionalFormatting sqref="A490">
    <cfRule type="expression" dxfId="1" priority="1644">
      <formula>" =N1="no" "</formula>
    </cfRule>
  </conditionalFormatting>
  <conditionalFormatting sqref="A490:N490">
    <cfRule type="expression" dxfId="1" priority="1645">
      <formula>UPPER($N490)="NO"</formula>
    </cfRule>
  </conditionalFormatting>
  <conditionalFormatting sqref="A487:N489 A609">
    <cfRule type="expression" dxfId="0" priority="1646">
      <formula>UPPER($N487)="SI"</formula>
    </cfRule>
  </conditionalFormatting>
  <conditionalFormatting sqref="A487:A489 A609">
    <cfRule type="expression" dxfId="1" priority="1647">
      <formula>" =N1="no" "</formula>
    </cfRule>
  </conditionalFormatting>
  <conditionalFormatting sqref="A487:N489 A609">
    <cfRule type="expression" dxfId="1" priority="1648">
      <formula>UPPER($N487)="NO"</formula>
    </cfRule>
  </conditionalFormatting>
  <conditionalFormatting sqref="A481:N486 A606">
    <cfRule type="expression" dxfId="0" priority="1649">
      <formula>UPPER($N481)="SI"</formula>
    </cfRule>
  </conditionalFormatting>
  <conditionalFormatting sqref="A481:A486 A606">
    <cfRule type="expression" dxfId="1" priority="1650">
      <formula>" =N1="no" "</formula>
    </cfRule>
  </conditionalFormatting>
  <conditionalFormatting sqref="A481:N486 A606">
    <cfRule type="expression" dxfId="1" priority="1651">
      <formula>UPPER($N481)="NO"</formula>
    </cfRule>
  </conditionalFormatting>
  <conditionalFormatting sqref="A475:N480 A600">
    <cfRule type="expression" dxfId="0" priority="1652">
      <formula>UPPER($N475)="SI"</formula>
    </cfRule>
  </conditionalFormatting>
  <conditionalFormatting sqref="A475:A480 A600">
    <cfRule type="expression" dxfId="1" priority="1653">
      <formula>" =N1="no" "</formula>
    </cfRule>
  </conditionalFormatting>
  <conditionalFormatting sqref="A475:N480 A600">
    <cfRule type="expression" dxfId="1" priority="1654">
      <formula>UPPER($N475)="NO"</formula>
    </cfRule>
  </conditionalFormatting>
  <conditionalFormatting sqref="A470:N474 A599">
    <cfRule type="expression" dxfId="0" priority="1655">
      <formula>UPPER($N470)="SI"</formula>
    </cfRule>
  </conditionalFormatting>
  <conditionalFormatting sqref="A470:A474 A599">
    <cfRule type="expression" dxfId="1" priority="1656">
      <formula>" =N1="no" "</formula>
    </cfRule>
  </conditionalFormatting>
  <conditionalFormatting sqref="A470:N474 A599">
    <cfRule type="expression" dxfId="1" priority="1657">
      <formula>UPPER($N470)="NO"</formula>
    </cfRule>
  </conditionalFormatting>
  <conditionalFormatting sqref="A460:N469 A595:A596">
    <cfRule type="expression" dxfId="0" priority="1658">
      <formula>UPPER($N460)="SI"</formula>
    </cfRule>
  </conditionalFormatting>
  <conditionalFormatting sqref="A460:A469 A595:A596">
    <cfRule type="expression" dxfId="1" priority="1659">
      <formula>" =N1="no" "</formula>
    </cfRule>
  </conditionalFormatting>
  <conditionalFormatting sqref="A460:N469 A595:A596">
    <cfRule type="expression" dxfId="1" priority="1660">
      <formula>UPPER($N460)="NO"</formula>
    </cfRule>
  </conditionalFormatting>
  <conditionalFormatting sqref="A453:N459 A590">
    <cfRule type="expression" dxfId="0" priority="1661">
      <formula>UPPER($N453)="SI"</formula>
    </cfRule>
  </conditionalFormatting>
  <conditionalFormatting sqref="A453:A459 A590">
    <cfRule type="expression" dxfId="1" priority="1662">
      <formula>" =N1="no" "</formula>
    </cfRule>
  </conditionalFormatting>
  <conditionalFormatting sqref="A453:N459 A590">
    <cfRule type="expression" dxfId="1" priority="1663">
      <formula>UPPER($N453)="NO"</formula>
    </cfRule>
  </conditionalFormatting>
  <conditionalFormatting sqref="A452:N452">
    <cfRule type="expression" dxfId="0" priority="1664">
      <formula>UPPER($N452)="SI"</formula>
    </cfRule>
  </conditionalFormatting>
  <conditionalFormatting sqref="A452">
    <cfRule type="expression" dxfId="1" priority="1665">
      <formula>" =N1="no" "</formula>
    </cfRule>
  </conditionalFormatting>
  <conditionalFormatting sqref="A452:N452">
    <cfRule type="expression" dxfId="1" priority="1666">
      <formula>UPPER($N452)="NO"</formula>
    </cfRule>
  </conditionalFormatting>
  <conditionalFormatting sqref="A450:N451 A571">
    <cfRule type="expression" dxfId="0" priority="1667">
      <formula>UPPER($N450)="SI"</formula>
    </cfRule>
  </conditionalFormatting>
  <conditionalFormatting sqref="A450:A451 A571">
    <cfRule type="expression" dxfId="1" priority="1668">
      <formula>" =N1="no" "</formula>
    </cfRule>
  </conditionalFormatting>
  <conditionalFormatting sqref="A450:N451 A571">
    <cfRule type="expression" dxfId="1" priority="1669">
      <formula>UPPER($N450)="NO"</formula>
    </cfRule>
  </conditionalFormatting>
  <conditionalFormatting sqref="A448:N449 A570">
    <cfRule type="expression" dxfId="0" priority="1670">
      <formula>UPPER($N448)="SI"</formula>
    </cfRule>
  </conditionalFormatting>
  <conditionalFormatting sqref="A448:A449 A570">
    <cfRule type="expression" dxfId="1" priority="1671">
      <formula>" =N1="no" "</formula>
    </cfRule>
  </conditionalFormatting>
  <conditionalFormatting sqref="A448:N449 A570">
    <cfRule type="expression" dxfId="1" priority="1672">
      <formula>UPPER($N448)="NO"</formula>
    </cfRule>
  </conditionalFormatting>
  <conditionalFormatting sqref="A446:N447 L557:L558 A569 L668:L669 L779:L780 L890:L891 L1001:L1002 L1112:L1113 L1223:L1224 L1334:L1335 L1445:L1446 L1556:L1557 L1667:L1668 L1778:L1779">
    <cfRule type="expression" dxfId="0" priority="1673">
      <formula>UPPER($N446)="SI"</formula>
    </cfRule>
  </conditionalFormatting>
  <conditionalFormatting sqref="A446:A447 A569">
    <cfRule type="expression" dxfId="1" priority="1674">
      <formula>" =N1="no" "</formula>
    </cfRule>
  </conditionalFormatting>
  <conditionalFormatting sqref="A446:N447 L557:L558 A569 L668:L669 L779:L780 L890:L891 L1001:L1002 L1112:L1113 L1223:L1224 L1334:L1335 L1445:L1446 L1556:L1557 L1667:L1668 L1778:L1779">
    <cfRule type="expression" dxfId="1" priority="1675">
      <formula>UPPER($N446)="NO"</formula>
    </cfRule>
  </conditionalFormatting>
  <conditionalFormatting sqref="A445:N445 L556 A565 L667 L778 L889 L1000 L1111 L1222 L1333 L1444 L1555 L1666 L1777">
    <cfRule type="expression" dxfId="0" priority="1676">
      <formula>UPPER($N445)="SI"</formula>
    </cfRule>
  </conditionalFormatting>
  <conditionalFormatting sqref="A445 A565">
    <cfRule type="expression" dxfId="1" priority="1677">
      <formula>" =N1="no" "</formula>
    </cfRule>
  </conditionalFormatting>
  <conditionalFormatting sqref="A445:N445 L556 A565 L667 L778 L889 L1000 L1111 L1222 L1333 L1444 L1555 L1666 L1777">
    <cfRule type="expression" dxfId="1" priority="1678">
      <formula>UPPER($N445)="NO"</formula>
    </cfRule>
  </conditionalFormatting>
  <conditionalFormatting sqref="A440:N444 L551:L555 A563 L662:L666 L773:L777 L884:L888 L995:L999 L1106:L1110 L1217:L1221 L1328:L1332 L1439:L1443 L1550:L1554 L1661:L1665 L1772:L1776">
    <cfRule type="expression" dxfId="0" priority="1679">
      <formula>UPPER($N440)="SI"</formula>
    </cfRule>
  </conditionalFormatting>
  <conditionalFormatting sqref="A440:A444 A563">
    <cfRule type="expression" dxfId="1" priority="1680">
      <formula>" =N1="no" "</formula>
    </cfRule>
  </conditionalFormatting>
  <conditionalFormatting sqref="A440:N444 L551:L555 A563 L662:L666 L773:L777 L884:L888 L995:L999 L1106:L1110 L1217:L1221 L1328:L1332 L1439:L1443 L1550:L1554 L1661:L1665 L1772:L1776">
    <cfRule type="expression" dxfId="1" priority="1681">
      <formula>UPPER($N440)="NO"</formula>
    </cfRule>
  </conditionalFormatting>
  <conditionalFormatting sqref="A439:N439 L550 A554 L661 L772 L883 L994 L1105 L1216 L1327 L1438 L1549 L1660 L1771">
    <cfRule type="expression" dxfId="0" priority="1682">
      <formula>UPPER($N439)="SI"</formula>
    </cfRule>
  </conditionalFormatting>
  <conditionalFormatting sqref="A439 A554">
    <cfRule type="expression" dxfId="1" priority="1683">
      <formula>" =N1="no" "</formula>
    </cfRule>
  </conditionalFormatting>
  <conditionalFormatting sqref="A439:N439 L550 A554 L661 L772 L883 L994 L1105 L1216 L1327 L1438 L1549 L1660 L1771">
    <cfRule type="expression" dxfId="1" priority="1684">
      <formula>UPPER($N439)="NO"</formula>
    </cfRule>
  </conditionalFormatting>
  <conditionalFormatting sqref="A432:N438 L543:L549 A552:A553 L654:L660 L765:L771 L876:L882 L987:L993 L1098:L1104 L1209:L1215 L1320:L1326 L1431:L1437 L1542:L1548 L1653:L1659 L1764:L1770">
    <cfRule type="expression" dxfId="0" priority="1685">
      <formula>UPPER($N432)="SI"</formula>
    </cfRule>
  </conditionalFormatting>
  <conditionalFormatting sqref="A432:A438 A552:A553">
    <cfRule type="expression" dxfId="1" priority="1686">
      <formula>" =N1="no" "</formula>
    </cfRule>
  </conditionalFormatting>
  <conditionalFormatting sqref="A432:N438 L543:L549 A552:A553 L654:L660 L765:L771 L876:L882 L987:L993 L1098:L1104 L1209:L1215 L1320:L1326 L1431:L1437 L1542:L1548 L1653:L1659 L1764:L1770">
    <cfRule type="expression" dxfId="1" priority="1687">
      <formula>UPPER($N432)="NO"</formula>
    </cfRule>
  </conditionalFormatting>
  <conditionalFormatting sqref="A413:N431 L524:L542 A547:A548 L635:L653 L746:L764 L857:L875 L968:L986 L1079:L1097 L1190:L1208 L1301:L1319 L1412:L1430 L1523:L1541 L1634:L1652 L1745:L1763">
    <cfRule type="expression" dxfId="0" priority="1688">
      <formula>UPPER($N413)="SI"</formula>
    </cfRule>
  </conditionalFormatting>
  <conditionalFormatting sqref="A413:A431 A547:A548">
    <cfRule type="expression" dxfId="1" priority="1689">
      <formula>" =N1="no" "</formula>
    </cfRule>
  </conditionalFormatting>
  <conditionalFormatting sqref="A413:N431 L524:L542 A547:A548 L635:L653 L746:L764 L857:L875 L968:L986 L1079:L1097 L1190:L1208 L1301:L1319 L1412:L1430 L1523:L1541 L1634:L1652 L1745:L1763">
    <cfRule type="expression" dxfId="1" priority="1690">
      <formula>UPPER($N413)="NO"</formula>
    </cfRule>
  </conditionalFormatting>
  <conditionalFormatting sqref="A410:N412 L521:L523 A522 L632:L634 L743:L745 L854:L856 L965:L967 L1076:L1078 L1187:L1189 L1298:L1300 L1409:L1411 L1520:L1522 L1631:L1633 L1742:L1744">
    <cfRule type="expression" dxfId="0" priority="1691">
      <formula>UPPER($N410)="SI"</formula>
    </cfRule>
  </conditionalFormatting>
  <conditionalFormatting sqref="A410:A412 A522">
    <cfRule type="expression" dxfId="1" priority="1692">
      <formula>" =N1="no" "</formula>
    </cfRule>
  </conditionalFormatting>
  <conditionalFormatting sqref="A410:N412 L521:L523 A522 L632:L634 L743:L745 L854:L856 L965:L967 L1076:L1078 L1187:L1189 L1298:L1300 L1409:L1411 L1520:L1522 L1631:L1633 L1742:L1744">
    <cfRule type="expression" dxfId="1" priority="1693">
      <formula>UPPER($N410)="NO"</formula>
    </cfRule>
  </conditionalFormatting>
  <conditionalFormatting sqref="A409:N409 A515 L520 L631 L742 L853 L964 L1075 L1186 L1297 L1408 L1519 L1630 L1741">
    <cfRule type="expression" dxfId="0" priority="1694">
      <formula>UPPER($N409)="SI"</formula>
    </cfRule>
  </conditionalFormatting>
  <conditionalFormatting sqref="A409 A515">
    <cfRule type="expression" dxfId="1" priority="1695">
      <formula>" =N1="no" "</formula>
    </cfRule>
  </conditionalFormatting>
  <conditionalFormatting sqref="A409:N409 A515 L520 L631 L742 L853 L964 L1075 L1186 L1297 L1408 L1519 L1630 L1741">
    <cfRule type="expression" dxfId="1" priority="1696">
      <formula>UPPER($N409)="NO"</formula>
    </cfRule>
  </conditionalFormatting>
  <conditionalFormatting sqref="A407:N408 L518:L519 L629:L630 L740:L741 L851:L852 L962:L963 L1073:L1074 L1184:L1185 L1295:L1296 L1406:L1407 L1517:L1518 L1628:L1629 L1739:L1740">
    <cfRule type="expression" dxfId="0" priority="1697">
      <formula>UPPER($N407)="SI"</formula>
    </cfRule>
  </conditionalFormatting>
  <conditionalFormatting sqref="A407:A408">
    <cfRule type="expression" dxfId="1" priority="1698">
      <formula>" =N1="no" "</formula>
    </cfRule>
  </conditionalFormatting>
  <conditionalFormatting sqref="A407:N408 L518:L519 L629:L630 L740:L741 L851:L852 L962:L963 L1073:L1074 L1184:L1185 L1295:L1296 L1406:L1407 L1517:L1518 L1628:L1629 L1739:L1740">
    <cfRule type="expression" dxfId="1" priority="1699">
      <formula>UPPER($N407)="NO"</formula>
    </cfRule>
  </conditionalFormatting>
  <conditionalFormatting sqref="A402:N406 L513:L517 A514 L624:L628 L735:L739 L846:L850 L957:L961 L1068:L1072 L1179:L1183 L1290:L1294 L1401:L1405 L1512:L1516 L1623:L1627 L1734:L1738">
    <cfRule type="expression" dxfId="0" priority="1700">
      <formula>UPPER($N402)="SI"</formula>
    </cfRule>
  </conditionalFormatting>
  <conditionalFormatting sqref="A402:A406 A514">
    <cfRule type="expression" dxfId="1" priority="1701">
      <formula>" =N1="no" "</formula>
    </cfRule>
  </conditionalFormatting>
  <conditionalFormatting sqref="A402:N406 L513:L517 A514 L624:L628 L735:L739 L846:L850 L957:L961 L1068:L1072 L1179:L1183 L1290:L1294 L1401:L1405 L1512:L1516 L1623:L1627 L1734:L1738">
    <cfRule type="expression" dxfId="1" priority="1702">
      <formula>UPPER($N402)="NO"</formula>
    </cfRule>
  </conditionalFormatting>
  <conditionalFormatting sqref="A395:N401 A503 L506:L512 L617:L623 L728:L734 L839:L845 L950:L956 L1061:L1067 L1172:L1178 L1283:L1289 L1394:L1400 L1505:L1511 L1616:L1622 L1727:L1733">
    <cfRule type="expression" dxfId="0" priority="1703">
      <formula>UPPER($N395)="SI"</formula>
    </cfRule>
  </conditionalFormatting>
  <conditionalFormatting sqref="A395:A401 A503">
    <cfRule type="expression" dxfId="1" priority="1704">
      <formula>" =N1="no" "</formula>
    </cfRule>
  </conditionalFormatting>
  <conditionalFormatting sqref="A395:N401 A503 L506:L512 L617:L623 L728:L734 L839:L845 L950:L956 L1061:L1067 L1172:L1178 L1283:L1289 L1394:L1400 L1505:L1511 L1616:L1622 L1727:L1733">
    <cfRule type="expression" dxfId="1" priority="1705">
      <formula>UPPER($N395)="NO"</formula>
    </cfRule>
  </conditionalFormatting>
  <conditionalFormatting sqref="A387:N394 A487 L498:L505 L609:L616 L720:L727 L831:L838 L942:L949 L1053:L1060 L1164:L1171 L1275:L1282 L1386:L1393 L1497:L1504 L1608:L1615 L1719:L1726">
    <cfRule type="expression" dxfId="0" priority="1706">
      <formula>UPPER($N387)="SI"</formula>
    </cfRule>
  </conditionalFormatting>
  <conditionalFormatting sqref="A387:A394 A487">
    <cfRule type="expression" dxfId="1" priority="1707">
      <formula>" =N1="no" "</formula>
    </cfRule>
  </conditionalFormatting>
  <conditionalFormatting sqref="A387:N394 A487 L498:L505 L609:L616 L720:L727 L831:L838 L942:L949 L1053:L1060 L1164:L1171 L1275:L1282 L1386:L1393 L1497:L1504 L1608:L1615 L1719:L1726">
    <cfRule type="expression" dxfId="1" priority="1708">
      <formula>UPPER($N387)="NO"</formula>
    </cfRule>
  </conditionalFormatting>
  <conditionalFormatting sqref="A386:N386 A476 L497 L608 L719 L830 L941 L1052 L1163 L1274 L1385 L1496 L1607 L1718">
    <cfRule type="expression" dxfId="0" priority="1709">
      <formula>UPPER($N386)="SI"</formula>
    </cfRule>
  </conditionalFormatting>
  <conditionalFormatting sqref="A386 A476">
    <cfRule type="expression" dxfId="1" priority="1710">
      <formula>" =N1="no" "</formula>
    </cfRule>
  </conditionalFormatting>
  <conditionalFormatting sqref="A386:N386 A476 L497 L608 L719 L830 L941 L1052 L1163 L1274 L1385 L1496 L1607 L1718">
    <cfRule type="expression" dxfId="1" priority="1711">
      <formula>UPPER($N386)="NO"</formula>
    </cfRule>
  </conditionalFormatting>
  <conditionalFormatting sqref="A385:N385 A471 L496 L607 L718 L829 L940 L1051 L1162 L1273 L1384 L1495 L1606 L1717">
    <cfRule type="expression" dxfId="0" priority="1712">
      <formula>UPPER($N385)="SI"</formula>
    </cfRule>
  </conditionalFormatting>
  <conditionalFormatting sqref="A385 A471">
    <cfRule type="expression" dxfId="1" priority="1713">
      <formula>" =N1="no" "</formula>
    </cfRule>
  </conditionalFormatting>
  <conditionalFormatting sqref="A385:N385 A471 L496 L607 L718 L829 L940 L1051 L1162 L1273 L1384 L1495 L1606 L1717">
    <cfRule type="expression" dxfId="1" priority="1714">
      <formula>UPPER($N385)="NO"</formula>
    </cfRule>
  </conditionalFormatting>
  <conditionalFormatting sqref="A384:N384 A470 L495 L606 L717 L828 L939 L1050 L1161 L1272 L1383 L1494 L1605 L1716">
    <cfRule type="expression" dxfId="0" priority="1715">
      <formula>UPPER($N384)="SI"</formula>
    </cfRule>
  </conditionalFormatting>
  <conditionalFormatting sqref="A384 A470">
    <cfRule type="expression" dxfId="1" priority="1716">
      <formula>" =N1="no" "</formula>
    </cfRule>
  </conditionalFormatting>
  <conditionalFormatting sqref="A384:N384 A470 L495 L606 L717 L828 L939 L1050 L1161 L1272 L1383 L1494 L1605 L1716">
    <cfRule type="expression" dxfId="1" priority="1717">
      <formula>UPPER($N384)="NO"</formula>
    </cfRule>
  </conditionalFormatting>
  <conditionalFormatting sqref="A379:N383 L422 A468:A469 L490:L494 L533 L601:L605 L644 L712:L716 L755 L823:L827 L866 L934:L938 L977 L1045:L1049 L1088 L1156:L1160 L1199 L1267:L1271 L1310 L1378:L1382 L1421 L1489:L1493 L1532 L1600:L1604 L1643 L1711:L1715 L1754 L1822:L1825">
    <cfRule type="expression" dxfId="0" priority="1718">
      <formula>UPPER($N379)="SI"</formula>
    </cfRule>
  </conditionalFormatting>
  <conditionalFormatting sqref="A379:A383 A468:A469">
    <cfRule type="expression" dxfId="1" priority="1719">
      <formula>" =N1="no" "</formula>
    </cfRule>
  </conditionalFormatting>
  <conditionalFormatting sqref="A379:N383 L422 A468:A469 L490:L494 L533 L601:L605 L644 L712:L716 L755 L823:L827 L866 L934:L938 L977 L1045:L1049 L1088 L1156:L1160 L1199 L1267:L1271 L1310 L1378:L1382 L1421 L1489:L1493 L1532 L1600:L1604 L1643 L1711:L1715 L1754 L1822:L1825">
    <cfRule type="expression" dxfId="1" priority="1720">
      <formula>UPPER($N379)="NO"</formula>
    </cfRule>
  </conditionalFormatting>
  <conditionalFormatting sqref="A378:N378 L421 A460 L489 L532 L600 L643 L711 L754 L822 L865 L933 L976 L1044 L1087 L1155 L1198 L1266 L1309 L1377 L1420 L1488 L1531 L1599 L1642 L1710 L1753 L1821">
    <cfRule type="expression" dxfId="0" priority="1721">
      <formula>UPPER($N378)="SI"</formula>
    </cfRule>
  </conditionalFormatting>
  <conditionalFormatting sqref="A378 A460">
    <cfRule type="expression" dxfId="1" priority="1722">
      <formula>" =N1="no" "</formula>
    </cfRule>
  </conditionalFormatting>
  <conditionalFormatting sqref="A378:N378 L421 A460 L489 L532 L600 L643 L711 L754 L822 L865 L933 L976 L1044 L1087 L1155 L1198 L1266 L1309 L1377 L1420 L1488 L1531 L1599 L1642 L1710 L1753 L1821">
    <cfRule type="expression" dxfId="1" priority="1723">
      <formula>UPPER($N378)="NO"</formula>
    </cfRule>
  </conditionalFormatting>
  <conditionalFormatting sqref="A377:N377 L420 A459 L488 L531 L599 L642 L710 L753 L821 L864 L932 L975 L1043 L1086 L1154 L1197 L1265 L1308 L1376 L1419 L1487 L1530 L1598 L1641 L1709 L1752 L1820">
    <cfRule type="expression" dxfId="0" priority="1724">
      <formula>UPPER($N377)="SI"</formula>
    </cfRule>
  </conditionalFormatting>
  <conditionalFormatting sqref="A377 A459">
    <cfRule type="expression" dxfId="1" priority="1725">
      <formula>" =N1="no" "</formula>
    </cfRule>
  </conditionalFormatting>
  <conditionalFormatting sqref="A377:N377 L420 A459 L488 L531 L599 L642 L710 L753 L821 L864 L932 L975 L1043 L1086 L1154 L1197 L1265 L1308 L1376 L1419 L1487 L1530 L1598 L1641 L1709 L1752 L1820">
    <cfRule type="expression" dxfId="1" priority="1726">
      <formula>UPPER($N377)="NO"</formula>
    </cfRule>
  </conditionalFormatting>
  <conditionalFormatting sqref="A374:N376 L417:L419 A456:A458 L485:L487 L528:L530 L596:L598 L639:L641 L707:L709 L750:L752 L818:L820 L861:L863 L929:L931 L972:L974 L1040:L1042 L1083:L1085 L1151:L1153 L1194:L1196 L1262:L1264 L1305:L1307 L1373:L1375 L1416:L1418 L1484:L1486 L1527:L1529 L1595:L1597 L1638:L1640 L1706:L1708 L1749:L1751 L1817:L1819">
    <cfRule type="expression" dxfId="0" priority="1727">
      <formula>UPPER($N374)="SI"</formula>
    </cfRule>
  </conditionalFormatting>
  <conditionalFormatting sqref="A374:A376 A456:A458">
    <cfRule type="expression" dxfId="1" priority="1728">
      <formula>" =N1="no" "</formula>
    </cfRule>
  </conditionalFormatting>
  <conditionalFormatting sqref="A374:N376 L417:L419 A456:A458 L485:L487 L528:L530 L596:L598 L639:L641 L707:L709 L750:L752 L818:L820 L861:L863 L929:L931 L972:L974 L1040:L1042 L1083:L1085 L1151:L1153 L1194:L1196 L1262:L1264 L1305:L1307 L1373:L1375 L1416:L1418 L1484:L1486 L1527:L1529 L1595:L1597 L1638:L1640 L1706:L1708 L1749:L1751 L1817:L1819">
    <cfRule type="expression" dxfId="1" priority="1729">
      <formula>UPPER($N374)="NO"</formula>
    </cfRule>
  </conditionalFormatting>
  <conditionalFormatting sqref="A373:N373 L416 A455 L484 L527 L595 L638 L706 L749 L817 L860 L928 L971 L1039 L1082 L1150 L1193 L1261 L1304 L1372 L1415 L1483 L1526 L1594 L1637 L1705 L1748 L1816">
    <cfRule type="expression" dxfId="0" priority="1730">
      <formula>UPPER($N373)="SI"</formula>
    </cfRule>
  </conditionalFormatting>
  <conditionalFormatting sqref="A373 A455">
    <cfRule type="expression" dxfId="1" priority="1731">
      <formula>" =N1="no" "</formula>
    </cfRule>
  </conditionalFormatting>
  <conditionalFormatting sqref="A373:N373 L416 A455 L484 L527 L595 L638 L706 L749 L817 L860 L928 L971 L1039 L1082 L1150 L1193 L1261 L1304 L1372 L1415 L1483 L1526 L1594 L1637 L1705 L1748 L1816">
    <cfRule type="expression" dxfId="1" priority="1732">
      <formula>UPPER($N373)="NO"</formula>
    </cfRule>
  </conditionalFormatting>
  <conditionalFormatting sqref="A372:N372 L415 L483 L526 L594 L637 L705 L748 L816 L859 L927 L970 L1038 L1081 L1149 L1192 L1260 L1303 L1371 L1414 L1482 L1525 L1593 L1636 L1704 L1747 L1815">
    <cfRule type="expression" dxfId="0" priority="1733">
      <formula>UPPER($N372)="SI"</formula>
    </cfRule>
  </conditionalFormatting>
  <conditionalFormatting sqref="A372">
    <cfRule type="expression" dxfId="1" priority="1734">
      <formula>" =N1="no" "</formula>
    </cfRule>
  </conditionalFormatting>
  <conditionalFormatting sqref="A372:N372 L415 L483 L526 L594 L637 L705 L748 L816 L859 L927 L970 L1038 L1081 L1149 L1192 L1260 L1303 L1371 L1414 L1482 L1525 L1593 L1636 L1704 L1747 L1815">
    <cfRule type="expression" dxfId="1" priority="1735">
      <formula>UPPER($N372)="NO"</formula>
    </cfRule>
  </conditionalFormatting>
  <conditionalFormatting sqref="A370:N371 L413:L414 A453 L481:L482 L524:L525 L592:L593 L635:L636 L703:L704 L746:L747 L814:L815 L857:L858 L925:L926 L968:L969 L1036:L1037 L1079:L1080 L1147:L1148 L1190:L1191 L1258:L1259 L1301:L1302 L1369:L1370 L1412:L1413 L1480:L1481 L1523:L1524 L1591:L1592 L1634:L1635 L1702:L1703 L1745:L1746 L1813:L1814">
    <cfRule type="expression" dxfId="0" priority="1736">
      <formula>UPPER($N370)="SI"</formula>
    </cfRule>
  </conditionalFormatting>
  <conditionalFormatting sqref="A370:A371 A453">
    <cfRule type="expression" dxfId="1" priority="1737">
      <formula>" =N1="no" "</formula>
    </cfRule>
  </conditionalFormatting>
  <conditionalFormatting sqref="A370:N371 L413:L414 A453 L481:L482 L524:L525 L592:L593 L635:L636 L703:L704 L746:L747 L814:L815 L857:L858 L925:L926 L968:L969 L1036:L1037 L1079:L1080 L1147:L1148 L1190:L1191 L1258:L1259 L1301:L1302 L1369:L1370 L1412:L1413 L1480:L1481 L1523:L1524 L1591:L1592 L1634:L1635 L1702:L1703 L1745:L1746 L1813:L1814">
    <cfRule type="expression" dxfId="1" priority="1738">
      <formula>UPPER($N370)="NO"</formula>
    </cfRule>
  </conditionalFormatting>
  <conditionalFormatting sqref="A367:N369 L410:L412 A447:A448 L478:L480 L521:L523 L589:L591 L632:L634 L700:L702 L743:L745 L811:L813 L854:L856 L922:L924 L965:L967 L1033:L1035 L1076:L1078 L1144:L1146 L1187:L1189 L1255:L1257 L1298:L1300 L1366:L1368 L1409:L1411 L1477:L1479 L1520:L1522 L1588:L1590 L1631:L1633 L1699:L1701 L1742:L1744 L1810:L1812">
    <cfRule type="expression" dxfId="0" priority="1739">
      <formula>UPPER($N367)="SI"</formula>
    </cfRule>
  </conditionalFormatting>
  <conditionalFormatting sqref="A367:A369 A447:A448">
    <cfRule type="expression" dxfId="1" priority="1740">
      <formula>" =N1="no" "</formula>
    </cfRule>
  </conditionalFormatting>
  <conditionalFormatting sqref="A367:N369 L410:L412 A447:A448 L478:L480 L521:L523 L589:L591 L632:L634 L700:L702 L743:L745 L811:L813 L854:L856 L922:L924 L965:L967 L1033:L1035 L1076:L1078 L1144:L1146 L1187:L1189 L1255:L1257 L1298:L1300 L1366:L1368 L1409:L1411 L1477:L1479 L1520:L1522 L1588:L1590 L1631:L1633 L1699:L1701 L1742:L1744 L1810:L1812">
    <cfRule type="expression" dxfId="1" priority="1741">
      <formula>UPPER($N367)="NO"</formula>
    </cfRule>
  </conditionalFormatting>
  <conditionalFormatting sqref="A366:N366 L409 A445 L477 L520 L588 L631 L699 L742 L810 L853 L921 L964 L1032 L1075 L1143 L1186 L1254 L1297 L1365 L1408 L1476 L1519 L1587 L1630 L1698 L1741 L1809">
    <cfRule type="expression" dxfId="0" priority="1742">
      <formula>UPPER($N366)="SI"</formula>
    </cfRule>
  </conditionalFormatting>
  <conditionalFormatting sqref="A366 A445">
    <cfRule type="expression" dxfId="1" priority="1743">
      <formula>" =N1="no" "</formula>
    </cfRule>
  </conditionalFormatting>
  <conditionalFormatting sqref="A366:N366 L409 A445 L477 L520 L588 L631 L699 L742 L810 L853 L921 L964 L1032 L1075 L1143 L1186 L1254 L1297 L1365 L1408 L1476 L1519 L1587 L1630 L1698 L1741 L1809">
    <cfRule type="expression" dxfId="1" priority="1744">
      <formula>UPPER($N366)="NO"</formula>
    </cfRule>
  </conditionalFormatting>
  <conditionalFormatting sqref="A364:N365 L407:L408 L475:L476 L518:L519 L586:L587 L629:L630 L697:L698 L740:L741 L808:L809 L851:L852 L919:L920 L962:L963 L1030:L1031 L1073:L1074 L1141:L1142 L1184:L1185 L1252:L1253 L1295:L1296 L1363:L1364 L1406:L1407 L1474:L1475 L1517:L1518 L1585:L1586 L1628:L1629 L1696:L1697 L1739:L1740 L1807:L1808">
    <cfRule type="expression" dxfId="0" priority="1745">
      <formula>UPPER($N364)="SI"</formula>
    </cfRule>
  </conditionalFormatting>
  <conditionalFormatting sqref="A364:A365">
    <cfRule type="expression" dxfId="1" priority="1746">
      <formula>" =N1="no" "</formula>
    </cfRule>
  </conditionalFormatting>
  <conditionalFormatting sqref="A364:N365 L407:L408 L475:L476 L518:L519 L586:L587 L629:L630 L697:L698 L740:L741 L808:L809 L851:L852 L919:L920 L962:L963 L1030:L1031 L1073:L1074 L1141:L1142 L1184:L1185 L1252:L1253 L1295:L1296 L1363:L1364 L1406:L1407 L1474:L1475 L1517:L1518 L1585:L1586 L1628:L1629 L1696:L1697 L1739:L1740 L1807:L1808">
    <cfRule type="expression" dxfId="1" priority="1747">
      <formula>UPPER($N364)="NO"</formula>
    </cfRule>
  </conditionalFormatting>
  <conditionalFormatting sqref="A362:N363 L405:L406 A442 L473:L474 L516:L517 L584:L585 L627:L628 L695:L696 L738:L739 L806:L807 L849:L850 L917:L918 L960:L961 L1028:L1029 L1071:L1072 L1139:L1140 L1182:L1183 L1250:L1251 L1293:L1294 L1361:L1362 L1404:L1405 L1472:L1473 L1515:L1516 L1583:L1584 L1626:L1627 L1694:L1695 L1737:L1738 L1805:L1806">
    <cfRule type="expression" dxfId="0" priority="1748">
      <formula>UPPER($N362)="SI"</formula>
    </cfRule>
  </conditionalFormatting>
  <conditionalFormatting sqref="A362:A363 A442">
    <cfRule type="expression" dxfId="1" priority="1749">
      <formula>" =N1="no" "</formula>
    </cfRule>
  </conditionalFormatting>
  <conditionalFormatting sqref="A362:N363 L405:L406 A442 L473:L474 L516:L517 L584:L585 L627:L628 L695:L696 L738:L739 L806:L807 L849:L850 L917:L918 L960:L961 L1028:L1029 L1071:L1072 L1139:L1140 L1182:L1183 L1250:L1251 L1293:L1294 L1361:L1362 L1404:L1405 L1472:L1473 L1515:L1516 L1583:L1584 L1626:L1627 L1694:L1695 L1737:L1738 L1805:L1806">
    <cfRule type="expression" dxfId="1" priority="1750">
      <formula>UPPER($N362)="NO"</formula>
    </cfRule>
  </conditionalFormatting>
  <conditionalFormatting sqref="A361:N361 L404 A441 L447 L472 L515 L558 L583 L626 L669 L694 L737 L780 L805 L848 L891 L916 L959 L1002 L1027 L1070 L1113 L1138 L1181 L1224 L1249 L1292 L1335 L1360 L1403 L1446 L1471 L1514 L1557 L1582 L1625 L1668 L1693 L1736 L1779 L1804">
    <cfRule type="expression" dxfId="0" priority="1751">
      <formula>UPPER($N361)="SI"</formula>
    </cfRule>
  </conditionalFormatting>
  <conditionalFormatting sqref="A361 A441">
    <cfRule type="expression" dxfId="1" priority="1752">
      <formula>" =N1="no" "</formula>
    </cfRule>
  </conditionalFormatting>
  <conditionalFormatting sqref="A361:N361 L404 A441 L447 L472 L515 L558 L583 L626 L669 L694 L737 L780 L805 L848 L891 L916 L959 L1002 L1027 L1070 L1113 L1138 L1181 L1224 L1249 L1292 L1335 L1360 L1403 L1446 L1471 L1514 L1557 L1582 L1625 L1668 L1693 L1736 L1779 L1804">
    <cfRule type="expression" dxfId="1" priority="1753">
      <formula>UPPER($N361)="NO"</formula>
    </cfRule>
  </conditionalFormatting>
  <conditionalFormatting sqref="A359:N360 L402:L403 A440 L445:L446 L470:L471 L513:L514 L556:L557 L581:L582 L624:L625 L667:L668 L692:L693 L735:L736 L778:L779 L803:L804 L846:L847 L889:L890 L914:L915 L957:L958 L1000:L1001 L1025:L1026 L1068:L1069 L1111:L1112 L1136:L1137 L1179:L1180 L1222:L1223 L1247:L1248 L1290:L1291 L1333:L1334 L1358:L1359 L1401:L1402 L1444:L1445 L1469:L1470 L1512:L1513 L1555:L1556 L1580:L1581 L1623:L1624 L1666:L1667 L1691:L1692 L1734:L1735 L1777:L1778 L1802:L1803">
    <cfRule type="expression" dxfId="0" priority="1754">
      <formula>UPPER($N359)="SI"</formula>
    </cfRule>
  </conditionalFormatting>
  <conditionalFormatting sqref="A359:A360 A440">
    <cfRule type="expression" dxfId="1" priority="1755">
      <formula>" =N1="no" "</formula>
    </cfRule>
  </conditionalFormatting>
  <conditionalFormatting sqref="A359:N360 L402:L403 A440 L445:L446 L470:L471 L513:L514 L556:L557 L581:L582 L624:L625 L667:L668 L692:L693 L735:L736 L778:L779 L803:L804 L846:L847 L889:L890 L914:L915 L957:L958 L1000:L1001 L1025:L1026 L1068:L1069 L1111:L1112 L1136:L1137 L1179:L1180 L1222:L1223 L1247:L1248 L1290:L1291 L1333:L1334 L1358:L1359 L1401:L1402 L1444:L1445 L1469:L1470 L1512:L1513 L1555:L1556 L1580:L1581 L1623:L1624 L1666:L1667 L1691:L1692 L1734:L1735 L1777:L1778 L1802:L1803">
    <cfRule type="expression" dxfId="1" priority="1756">
      <formula>UPPER($N359)="NO"</formula>
    </cfRule>
  </conditionalFormatting>
  <conditionalFormatting sqref="A357:N358 J361 L400:L401 A439 L443:L444 L468:L469 L511:L512 L554:L555 L579:L580 L622:L623 L665:L666 L690:L691 L733:L734 L776:L777 L801:L802 L844:L845 L887:L888 L912:L913 L955:L956 L998:L999 L1023:L1024 L1066:L1067 L1109:L1110 L1134:L1135 L1177:L1178 L1220:L1221 L1245:L1246 L1288:L1289 L1331:L1332 L1356:L1357 L1399:L1400 L1442:L1443 L1467:L1468 L1510:L1511 L1553:L1554 L1578:L1579 L1621:L1622 L1664:L1665 L1689:L1690 L1732:L1733 L1775:L1776 L1800:L1801">
    <cfRule type="expression" dxfId="0" priority="1757">
      <formula>UPPER($N357)="SI"</formula>
    </cfRule>
  </conditionalFormatting>
  <conditionalFormatting sqref="A357:A358 A439">
    <cfRule type="expression" dxfId="1" priority="1758">
      <formula>" =N1="no" "</formula>
    </cfRule>
  </conditionalFormatting>
  <conditionalFormatting sqref="A357:N358 J361 L400:L401 A439 L443:L444 L468:L469 L511:L512 L554:L555 L579:L580 L622:L623 L665:L666 L690:L691 L733:L734 L776:L777 L801:L802 L844:L845 L887:L888 L912:L913 L955:L956 L998:L999 L1023:L1024 L1066:L1067 L1109:L1110 L1134:L1135 L1177:L1178 L1220:L1221 L1245:L1246 L1288:L1289 L1331:L1332 L1356:L1357 L1399:L1400 L1442:L1443 L1467:L1468 L1510:L1511 L1553:L1554 L1578:L1579 L1621:L1622 L1664:L1665 L1689:L1690 L1732:L1733 L1775:L1776 L1800:L1801">
    <cfRule type="expression" dxfId="1" priority="1759">
      <formula>UPPER($N357)="NO"</formula>
    </cfRule>
  </conditionalFormatting>
  <conditionalFormatting sqref="A355:N356 L398:L399 L441:L442 L466:L467 L509:L510 L552:L553 L577:L578 L620:L621 L663:L664 L688:L689 L731:L732 L774:L775 L799:L800 L842:L843 L885:L886 L910:L911 L953:L954 L996:L997 L1021:L1022 L1064:L1065 L1107:L1108 L1132:L1133 L1175:L1176 L1218:L1219 L1243:L1244 L1286:L1287 L1329:L1330 L1354:L1355 L1397:L1398 L1440:L1441 L1465:L1466 L1508:L1509 L1551:L1552 L1576:L1577 L1619:L1620 L1662:L1663 L1687:L1688 L1730:L1731 L1773:L1774 L1798:L1799">
    <cfRule type="expression" dxfId="0" priority="1760">
      <formula>UPPER($N355)="SI"</formula>
    </cfRule>
  </conditionalFormatting>
  <conditionalFormatting sqref="A355:A356">
    <cfRule type="expression" dxfId="1" priority="1761">
      <formula>" =N1="no" "</formula>
    </cfRule>
  </conditionalFormatting>
  <conditionalFormatting sqref="A355:N356 L398:L399 L441:L442 L466:L467 L509:L510 L552:L553 L577:L578 L620:L621 L663:L664 L688:L689 L731:L732 L774:L775 L799:L800 L842:L843 L885:L886 L910:L911 L953:L954 L996:L997 L1021:L1022 L1064:L1065 L1107:L1108 L1132:L1133 L1175:L1176 L1218:L1219 L1243:L1244 L1286:L1287 L1329:L1330 L1354:L1355 L1397:L1398 L1440:L1441 L1465:L1466 L1508:L1509 L1551:L1552 L1576:L1577 L1619:L1620 L1662:L1663 L1687:L1688 L1730:L1731 L1773:L1774 L1798:L1799">
    <cfRule type="expression" dxfId="1" priority="1762">
      <formula>UPPER($N355)="NO"</formula>
    </cfRule>
  </conditionalFormatting>
  <conditionalFormatting sqref="A352:N354 K358 L395:L397 A437:A438 L438:L440 L463:L465 L506:L508 L549:L551 L574:L576 L617:L619 L660:L662 L685:L687 L728:L730 L771:L773 L796:L798 L839:L841 L882:L884 L907:L909 L950:L952 L993:L995 L1018:L1020 L1061:L1063 L1104:L1106 L1129:L1131 L1172:L1174 L1215:L1217 L1240:L1242 L1283:L1285 L1326:L1328 L1351:L1353 L1394:L1396 L1437:L1439 L1462:L1464 L1505:L1507 L1548:L1550 L1573:L1575 L1616:L1618 L1659:L1661 L1684:L1686 L1727:L1729 L1770:L1772 L1795:L1797">
    <cfRule type="expression" dxfId="0" priority="1763">
      <formula>UPPER($N352)="SI"</formula>
    </cfRule>
  </conditionalFormatting>
  <conditionalFormatting sqref="A352:A354 A437:A438">
    <cfRule type="expression" dxfId="1" priority="1764">
      <formula>" =N1="no" "</formula>
    </cfRule>
  </conditionalFormatting>
  <conditionalFormatting sqref="A352:N354 K358 L395:L397 A437:A438 L438:L440 L463:L465 L506:L508 L549:L551 L574:L576 L617:L619 L660:L662 L685:L687 L728:L730 L771:L773 L796:L798 L839:L841 L882:L884 L907:L909 L950:L952 L993:L995 L1018:L1020 L1061:L1063 L1104:L1106 L1129:L1131 L1172:L1174 L1215:L1217 L1240:L1242 L1283:L1285 L1326:L1328 L1351:L1353 L1394:L1396 L1437:L1439 L1462:L1464 L1505:L1507 L1548:L1550 L1573:L1575 L1616:L1618 L1659:L1661 L1684:L1686 L1727:L1729 L1770:L1772 L1795:L1797">
    <cfRule type="expression" dxfId="1" priority="1765">
      <formula>UPPER($N352)="NO"</formula>
    </cfRule>
  </conditionalFormatting>
  <conditionalFormatting sqref="A351:N351 L394 L437 L462 L505 L548 L573 L616 L659 L684 L727 L770 L795 L838 L881 L906 L949 L992 L1017 L1060 L1103 L1128 L1171 L1214 L1239 L1282 L1325 L1350 L1393 L1436 L1461 L1504 L1547 L1572 L1615 L1658 L1683 L1726 L1769 L1794">
    <cfRule type="expression" dxfId="0" priority="1766">
      <formula>UPPER($N351)="SI"</formula>
    </cfRule>
  </conditionalFormatting>
  <conditionalFormatting sqref="A351">
    <cfRule type="expression" dxfId="1" priority="1767">
      <formula>" =N1="no" "</formula>
    </cfRule>
  </conditionalFormatting>
  <conditionalFormatting sqref="A351:N351 L394 L437 L462 L505 L548 L573 L616 L659 L684 L727 L770 L795 L838 L881 L906 L949 L992 L1017 L1060 L1103 L1128 L1171 L1214 L1239 L1282 L1325 L1350 L1393 L1436 L1461 L1504 L1547 L1572 L1615 L1658 L1683 L1726 L1769 L1794">
    <cfRule type="expression" dxfId="1" priority="1768">
      <formula>UPPER($N351)="NO"</formula>
    </cfRule>
  </conditionalFormatting>
  <conditionalFormatting sqref="A349:N350 J352 L392:L393 A433:A434 L435:L436 L460:L461 L503:L504 L546:L547 L571:L572 L614:L615 L657:L658 L682:L683 L725:L726 L768:L769 L793:L794 L836:L837 L879:L880 L904:L905 L947:L948 L990:L991 L1015:L1016 L1058:L1059 L1101:L1102 L1126:L1127 L1169:L1170 L1212:L1213 L1237:L1238 L1280:L1281 L1323:L1324 L1348:L1349 L1391:L1392 L1434:L1435 L1459:L1460 L1502:L1503 L1545:L1546 L1570:L1571 L1613:L1614 L1656:L1657 L1681:L1682 L1724:L1725 L1767:L1768 L1792:L1793">
    <cfRule type="expression" dxfId="0" priority="1769">
      <formula>UPPER($N349)="SI"</formula>
    </cfRule>
  </conditionalFormatting>
  <conditionalFormatting sqref="A349:A350 A433:A434">
    <cfRule type="expression" dxfId="1" priority="1770">
      <formula>" =N1="no" "</formula>
    </cfRule>
  </conditionalFormatting>
  <conditionalFormatting sqref="A349:N350 J352 L392:L393 A433:A434 L435:L436 L460:L461 L503:L504 L546:L547 L571:L572 L614:L615 L657:L658 L682:L683 L725:L726 L768:L769 L793:L794 L836:L837 L879:L880 L904:L905 L947:L948 L990:L991 L1015:L1016 L1058:L1059 L1101:L1102 L1126:L1127 L1169:L1170 L1212:L1213 L1237:L1238 L1280:L1281 L1323:L1324 L1348:L1349 L1391:L1392 L1434:L1435 L1459:L1460 L1502:L1503 L1545:L1546 L1570:L1571 L1613:L1614 L1656:L1657 L1681:L1682 L1724:L1725 L1767:L1768 L1792:L1793">
    <cfRule type="expression" dxfId="1" priority="1771">
      <formula>UPPER($N349)="NO"</formula>
    </cfRule>
  </conditionalFormatting>
  <conditionalFormatting sqref="A344:J348 K344:K349 L344:N348 L387:L391 A430:A431 L430:L434 L455:L459 L498:L502 L541:L545 L566:L570 L609:L613 L652:L656 L677:L681 L720:L724 L763:L767 L788:L792 L831:L835 L874:L878 L899:L903 L942:L946 L985:L989 L1010:L1014 L1053:L1057 L1096:L1100 L1121:L1125 L1164:L1168 L1207:L1211 L1232:L1236 L1275:L1279 L1318:L1322 L1343:L1347 L1386:L1390 L1429:L1433 L1454:L1458 L1497:L1501 L1540:L1544 L1565:L1569 L1608:L1612 L1651:L1655 L1676:L1680 L1719:L1723 L1762:L1766 L1787:L1791">
    <cfRule type="expression" dxfId="0" priority="1772">
      <formula>UPPER($N344)="SI"</formula>
    </cfRule>
  </conditionalFormatting>
  <conditionalFormatting sqref="A344:A348 A430:A431">
    <cfRule type="expression" dxfId="1" priority="1773">
      <formula>" =N1="no" "</formula>
    </cfRule>
  </conditionalFormatting>
  <conditionalFormatting sqref="A344:J348 K344:K349 L344:N348 L387:L391 A430:A431 L430:L434 L455:L459 L498:L502 L541:L545 L566:L570 L609:L613 L652:L656 L677:L681 L720:L724 L763:L767 L788:L792 L831:L835 L874:L878 L899:L903 L942:L946 L985:L989 L1010:L1014 L1053:L1057 L1096:L1100 L1121:L1125 L1164:L1168 L1207:L1211 L1232:L1236 L1275:L1279 L1318:L1322 L1343:L1347 L1386:L1390 L1429:L1433 L1454:L1458 L1497:L1501 L1540:L1544 L1565:L1569 L1608:L1612 L1651:L1655 L1676:L1680 L1719:L1723 L1762:L1766 L1787:L1791">
    <cfRule type="expression" dxfId="1" priority="1774">
      <formula>UPPER($N344)="NO"</formula>
    </cfRule>
  </conditionalFormatting>
  <conditionalFormatting sqref="A340:N343 H353 L379 L383:L386 L422 L426:L429 A428 L451:L454 L490 L494:L497 L533 L537:L540 L562:L565 L601 L605:L608 L644 L648:L651 L673:L676 L712 L716:L719 L755 L759:L762 L784:L787 L823 L827:L830 L866 L870:L873 L895:L898 L934 L938:L941 L977 L981:L984 L1006:L1009 L1045 L1049:L1052 L1088 L1092:L1095 L1117:L1120 L1156 L1160:L1163 L1199 L1203:L1206 L1228:L1231 L1267 L1271:L1274 L1310 L1314:L1317 L1339:L1342 L1378 L1382:L1385 L1421 L1425:L1428 L1450:L1453 L1489 L1493:L1496 L1532 L1536:L1539 L1561:L1564 L1600 L1604:L1607 L1643 L1647:L1650 L1672:L1675 L1711 L1715:L1718 L1754 L1758:L1761 L1783:L1786 L1822">
    <cfRule type="expression" dxfId="0" priority="1775">
      <formula>UPPER($N340)="SI"</formula>
    </cfRule>
  </conditionalFormatting>
  <conditionalFormatting sqref="A340:A343 A428">
    <cfRule type="expression" dxfId="1" priority="1776">
      <formula>" =N1="no" "</formula>
    </cfRule>
  </conditionalFormatting>
  <conditionalFormatting sqref="A340:N343 H353 L379 L383:L386 L422 L426:L429 A428 L451:L454 L490 L494:L497 L533 L537:L540 L562:L565 L601 L605:L608 L644 L648:L651 L673:L676 L712 L716:L719 L755 L759:L762 L784:L787 L823 L827:L830 L866 L870:L873 L895:L898 L934 L938:L941 L977 L981:L984 L1006:L1009 L1045 L1049:L1052 L1088 L1092:L1095 L1117:L1120 L1156 L1160:L1163 L1199 L1203:L1206 L1228:L1231 L1267 L1271:L1274 L1310 L1314:L1317 L1339:L1342 L1378 L1382:L1385 L1421 L1425:L1428 L1450:L1453 L1489 L1493:L1496 L1532 L1536:L1539 L1561:L1564 L1600 L1604:L1607 L1643 L1647:L1650 L1672:L1675 L1711 L1715:L1718 L1754 L1758:L1761 L1783:L1786 L1822">
    <cfRule type="expression" dxfId="1" priority="1777">
      <formula>UPPER($N340)="NO"</formula>
    </cfRule>
  </conditionalFormatting>
  <conditionalFormatting sqref="A339:N339 L378 L382 L421 L425 L450 L489 L493 L532 L536 L561 L600 L604 L643 L647 L672 L711 L715 L754 L758 L783 L822 L826 L865 L869 L894 L933 L937 L976 L980 L1005 L1044 L1048 L1087 L1091 L1116 L1155 L1159 L1198 L1202 L1227 L1266 L1270 L1309 L1313 L1338 L1377 L1381 L1420 L1424 L1449 L1488 L1492 L1531 L1535 L1560 L1599 L1603 L1642 L1646 L1671 L1710 L1714 L1753 L1757 L1782 L1821 L1825">
    <cfRule type="expression" dxfId="0" priority="1778">
      <formula>UPPER($N339)="SI"</formula>
    </cfRule>
  </conditionalFormatting>
  <conditionalFormatting sqref="A339">
    <cfRule type="expression" dxfId="1" priority="1779">
      <formula>" =N1="no" "</formula>
    </cfRule>
  </conditionalFormatting>
  <conditionalFormatting sqref="A339:N339 L378 L382 L421 L425 L450 L489 L493 L532 L536 L561 L600 L604 L643 L647 L672 L711 L715 L754 L758 L783 L822 L826 L865 L869 L894 L933 L937 L976 L980 L1005 L1044 L1048 L1087 L1091 L1116 L1155 L1159 L1198 L1202 L1227 L1266 L1270 L1309 L1313 L1338 L1377 L1381 L1420 L1424 L1449 L1488 L1492 L1531 L1535 L1560 L1599 L1603 L1642 L1646 L1671 L1710 L1714 L1753 L1757 L1782 L1821 L1825">
    <cfRule type="expression" dxfId="1" priority="1780">
      <formula>UPPER($N339)="NO"</formula>
    </cfRule>
  </conditionalFormatting>
  <conditionalFormatting sqref="A338:N338 L377 L381 L420 L424 A427 L449 L488 L492 L531 L535 L560 L599 L603 L642 L646 L671 L710 L714 L753 L757 L782 L821 L825 L864 L868 L893 L932 L936 L975 L979 L1004 L1043 L1047 L1086 L1090 L1115 L1154 L1158 L1197 L1201 L1226 L1265 L1269 L1308 L1312 L1337 L1376 L1380 L1419 L1423 L1448 L1487 L1491 L1530 L1534 L1559 L1598 L1602 L1641 L1645 L1670 L1709 L1713 L1752 L1756 L1781 L1820 L1824">
    <cfRule type="expression" dxfId="0" priority="1781">
      <formula>UPPER($N338)="SI"</formula>
    </cfRule>
  </conditionalFormatting>
  <conditionalFormatting sqref="A338 A427">
    <cfRule type="expression" dxfId="1" priority="1782">
      <formula>" =N1="no" "</formula>
    </cfRule>
  </conditionalFormatting>
  <conditionalFormatting sqref="A338:N338 L377 L381 L420 L424 A427 L449 L488 L492 L531 L535 L560 L599 L603 L642 L646 L671 L710 L714 L753 L757 L782 L821 L825 L864 L868 L893 L932 L936 L975 L979 L1004 L1043 L1047 L1086 L1090 L1115 L1154 L1158 L1197 L1201 L1226 L1265 L1269 L1308 L1312 L1337 L1376 L1380 L1419 L1423 L1448 L1487 L1491 L1530 L1534 L1559 L1598 L1602 L1641 L1645 L1670 L1709 L1713 L1752 L1756 L1781 L1820 L1824">
    <cfRule type="expression" dxfId="1" priority="1783">
      <formula>UPPER($N338)="NO"</formula>
    </cfRule>
  </conditionalFormatting>
  <conditionalFormatting sqref="A335:G337 H335:H338 I335:K337 L335:L1825 M335:N337 H345 A424:A426">
    <cfRule type="expression" dxfId="0" priority="1784">
      <formula>UPPER($N335)="SI"</formula>
    </cfRule>
  </conditionalFormatting>
  <conditionalFormatting sqref="A335:A337 A424:A426">
    <cfRule type="expression" dxfId="1" priority="1785">
      <formula>" =N1="no" "</formula>
    </cfRule>
  </conditionalFormatting>
  <conditionalFormatting sqref="A335:G337 H335:H338 I335:K337 L335:L1825 M335:N337 H345 A424:A426">
    <cfRule type="expression" dxfId="1" priority="1786">
      <formula>UPPER($N335)="NO"</formula>
    </cfRule>
  </conditionalFormatting>
  <conditionalFormatting sqref="A332:N334 A423">
    <cfRule type="expression" dxfId="0" priority="1787">
      <formula>UPPER($N332)="SI"</formula>
    </cfRule>
  </conditionalFormatting>
  <conditionalFormatting sqref="A332:A334 A423">
    <cfRule type="expression" dxfId="1" priority="1788">
      <formula>" =N1="no" "</formula>
    </cfRule>
  </conditionalFormatting>
  <conditionalFormatting sqref="A332:N334 A423">
    <cfRule type="expression" dxfId="1" priority="1789">
      <formula>UPPER($N332)="NO"</formula>
    </cfRule>
  </conditionalFormatting>
  <conditionalFormatting sqref="A327:N331 J345 A421:A422">
    <cfRule type="expression" dxfId="0" priority="1790">
      <formula>UPPER($N327)="SI"</formula>
    </cfRule>
  </conditionalFormatting>
  <conditionalFormatting sqref="A327:A331 A421:A422">
    <cfRule type="expression" dxfId="1" priority="1791">
      <formula>" =N1="no" "</formula>
    </cfRule>
  </conditionalFormatting>
  <conditionalFormatting sqref="A327:N331 J345 A421:A422">
    <cfRule type="expression" dxfId="1" priority="1792">
      <formula>UPPER($N327)="NO"</formula>
    </cfRule>
  </conditionalFormatting>
  <conditionalFormatting sqref="A326:K326 L326:L1825 M326:N326 A414">
    <cfRule type="expression" dxfId="0" priority="1793">
      <formula>UPPER($N326)="SI"</formula>
    </cfRule>
  </conditionalFormatting>
  <conditionalFormatting sqref="A326 A414">
    <cfRule type="expression" dxfId="1" priority="1794">
      <formula>" =N1="no" "</formula>
    </cfRule>
  </conditionalFormatting>
  <conditionalFormatting sqref="A326:K326 L326:L1825 M326:N326 A414">
    <cfRule type="expression" dxfId="1" priority="1795">
      <formula>UPPER($N326)="NO"</formula>
    </cfRule>
  </conditionalFormatting>
  <conditionalFormatting sqref="A324:K325 L324:L1825 M324:N325 A411:A412">
    <cfRule type="expression" dxfId="0" priority="1796">
      <formula>UPPER($N324)="SI"</formula>
    </cfRule>
  </conditionalFormatting>
  <conditionalFormatting sqref="A324:A325 A411:A412">
    <cfRule type="expression" dxfId="1" priority="1797">
      <formula>" =N1="no" "</formula>
    </cfRule>
  </conditionalFormatting>
  <conditionalFormatting sqref="A324:K325 L324:L1825 M324:N325 A411:A412">
    <cfRule type="expression" dxfId="1" priority="1798">
      <formula>UPPER($N324)="NO"</formula>
    </cfRule>
  </conditionalFormatting>
  <conditionalFormatting sqref="A323:N323 A410">
    <cfRule type="expression" dxfId="0" priority="1799">
      <formula>UPPER($N323)="SI"</formula>
    </cfRule>
  </conditionalFormatting>
  <conditionalFormatting sqref="A323 A410">
    <cfRule type="expression" dxfId="1" priority="1800">
      <formula>" =N1="no" "</formula>
    </cfRule>
  </conditionalFormatting>
  <conditionalFormatting sqref="A323:N323 A410">
    <cfRule type="expression" dxfId="1" priority="1801">
      <formula>UPPER($N323)="NO"</formula>
    </cfRule>
  </conditionalFormatting>
  <conditionalFormatting sqref="A320:N322 A409">
    <cfRule type="expression" dxfId="0" priority="1802">
      <formula>UPPER($N320)="SI"</formula>
    </cfRule>
  </conditionalFormatting>
  <conditionalFormatting sqref="A320:A322 A409">
    <cfRule type="expression" dxfId="1" priority="1803">
      <formula>" =N1="no" "</formula>
    </cfRule>
  </conditionalFormatting>
  <conditionalFormatting sqref="A320:N322 A409">
    <cfRule type="expression" dxfId="1" priority="1804">
      <formula>UPPER($N320)="NO"</formula>
    </cfRule>
  </conditionalFormatting>
  <conditionalFormatting sqref="A318:N319 A403">
    <cfRule type="expression" dxfId="0" priority="1805">
      <formula>UPPER($N318)="SI"</formula>
    </cfRule>
  </conditionalFormatting>
  <conditionalFormatting sqref="A318:A319 A403">
    <cfRule type="expression" dxfId="1" priority="1806">
      <formula>" =N1="no" "</formula>
    </cfRule>
  </conditionalFormatting>
  <conditionalFormatting sqref="A318:N319 A403">
    <cfRule type="expression" dxfId="1" priority="1807">
      <formula>UPPER($N318)="NO"</formula>
    </cfRule>
  </conditionalFormatting>
  <conditionalFormatting sqref="A317:N317">
    <cfRule type="expression" dxfId="0" priority="1808">
      <formula>UPPER($N317)="SI"</formula>
    </cfRule>
  </conditionalFormatting>
  <conditionalFormatting sqref="A317">
    <cfRule type="expression" dxfId="1" priority="1809">
      <formula>" =N1="no" "</formula>
    </cfRule>
  </conditionalFormatting>
  <conditionalFormatting sqref="A317:N317">
    <cfRule type="expression" dxfId="1" priority="1810">
      <formula>UPPER($N317)="NO"</formula>
    </cfRule>
  </conditionalFormatting>
  <conditionalFormatting sqref="A316:N316">
    <cfRule type="expression" dxfId="0" priority="1811">
      <formula>UPPER($N316)="SI"</formula>
    </cfRule>
  </conditionalFormatting>
  <conditionalFormatting sqref="A316">
    <cfRule type="expression" dxfId="1" priority="1812">
      <formula>" =N1="no" "</formula>
    </cfRule>
  </conditionalFormatting>
  <conditionalFormatting sqref="A316:N316">
    <cfRule type="expression" dxfId="1" priority="1813">
      <formula>UPPER($N316)="NO"</formula>
    </cfRule>
  </conditionalFormatting>
  <conditionalFormatting sqref="A312:N315 A399:A402">
    <cfRule type="expression" dxfId="0" priority="1814">
      <formula>UPPER($N312)="SI"</formula>
    </cfRule>
  </conditionalFormatting>
  <conditionalFormatting sqref="A312:A315 A399:A402">
    <cfRule type="expression" dxfId="1" priority="1815">
      <formula>" =N1="no" "</formula>
    </cfRule>
  </conditionalFormatting>
  <conditionalFormatting sqref="A312:N315 A399:A402">
    <cfRule type="expression" dxfId="1" priority="1816">
      <formula>UPPER($N312)="NO"</formula>
    </cfRule>
  </conditionalFormatting>
  <conditionalFormatting sqref="A310:N311 A397:A398">
    <cfRule type="expression" dxfId="0" priority="1817">
      <formula>UPPER($N310)="SI"</formula>
    </cfRule>
  </conditionalFormatting>
  <conditionalFormatting sqref="A310:A311 A397:A398">
    <cfRule type="expression" dxfId="1" priority="1818">
      <formula>" =N1="no" "</formula>
    </cfRule>
  </conditionalFormatting>
  <conditionalFormatting sqref="A310:N311 A397:A398">
    <cfRule type="expression" dxfId="1" priority="1819">
      <formula>UPPER($N310)="NO"</formula>
    </cfRule>
  </conditionalFormatting>
  <conditionalFormatting sqref="A303:N309 A396">
    <cfRule type="expression" dxfId="0" priority="1820">
      <formula>UPPER($N303)="SI"</formula>
    </cfRule>
  </conditionalFormatting>
  <conditionalFormatting sqref="A303:A309 A396">
    <cfRule type="expression" dxfId="1" priority="1821">
      <formula>" =N1="no" "</formula>
    </cfRule>
  </conditionalFormatting>
  <conditionalFormatting sqref="A303:N309 A396">
    <cfRule type="expression" dxfId="1" priority="1822">
      <formula>UPPER($N303)="NO"</formula>
    </cfRule>
  </conditionalFormatting>
  <conditionalFormatting sqref="A301:N302 A387">
    <cfRule type="expression" dxfId="0" priority="1823">
      <formula>UPPER($N301)="SI"</formula>
    </cfRule>
  </conditionalFormatting>
  <conditionalFormatting sqref="A301:A302 A387">
    <cfRule type="expression" dxfId="1" priority="1824">
      <formula>" =N1="no" "</formula>
    </cfRule>
  </conditionalFormatting>
  <conditionalFormatting sqref="A301:N302 A387">
    <cfRule type="expression" dxfId="1" priority="1825">
      <formula>UPPER($N301)="NO"</formula>
    </cfRule>
  </conditionalFormatting>
  <conditionalFormatting sqref="A299:N300">
    <cfRule type="expression" dxfId="0" priority="1826">
      <formula>UPPER($N299)="SI"</formula>
    </cfRule>
  </conditionalFormatting>
  <conditionalFormatting sqref="A299:A300">
    <cfRule type="expression" dxfId="1" priority="1827">
      <formula>" =N1="no" "</formula>
    </cfRule>
  </conditionalFormatting>
  <conditionalFormatting sqref="A299:N300">
    <cfRule type="expression" dxfId="1" priority="1828">
      <formula>UPPER($N299)="NO"</formula>
    </cfRule>
  </conditionalFormatting>
  <conditionalFormatting sqref="A295:N298 A385:A386">
    <cfRule type="expression" dxfId="0" priority="1829">
      <formula>UPPER($N295)="SI"</formula>
    </cfRule>
  </conditionalFormatting>
  <conditionalFormatting sqref="A295:A298 A385:A386">
    <cfRule type="expression" dxfId="1" priority="1830">
      <formula>" =N1="no" "</formula>
    </cfRule>
  </conditionalFormatting>
  <conditionalFormatting sqref="A295:N298 A385:A386">
    <cfRule type="expression" dxfId="1" priority="1831">
      <formula>UPPER($N295)="NO"</formula>
    </cfRule>
  </conditionalFormatting>
  <conditionalFormatting sqref="A293:N294 A383:A384">
    <cfRule type="expression" dxfId="0" priority="1832">
      <formula>UPPER($N293)="SI"</formula>
    </cfRule>
  </conditionalFormatting>
  <conditionalFormatting sqref="A293:A294 A383:A384">
    <cfRule type="expression" dxfId="1" priority="1833">
      <formula>" =N1="no" "</formula>
    </cfRule>
  </conditionalFormatting>
  <conditionalFormatting sqref="A293:N294 A383:A384">
    <cfRule type="expression" dxfId="1" priority="1834">
      <formula>UPPER($N293)="NO"</formula>
    </cfRule>
  </conditionalFormatting>
  <conditionalFormatting sqref="A292:N292">
    <cfRule type="expression" dxfId="0" priority="1835">
      <formula>UPPER($N292)="SI"</formula>
    </cfRule>
  </conditionalFormatting>
  <conditionalFormatting sqref="A292">
    <cfRule type="expression" dxfId="1" priority="1836">
      <formula>" =N1="no" "</formula>
    </cfRule>
  </conditionalFormatting>
  <conditionalFormatting sqref="A292:N292">
    <cfRule type="expression" dxfId="1" priority="1837">
      <formula>UPPER($N292)="NO"</formula>
    </cfRule>
  </conditionalFormatting>
  <conditionalFormatting sqref="A290:N291 A382">
    <cfRule type="expression" dxfId="0" priority="1838">
      <formula>UPPER($N290)="SI"</formula>
    </cfRule>
  </conditionalFormatting>
  <conditionalFormatting sqref="A290:A291 A382">
    <cfRule type="expression" dxfId="1" priority="1839">
      <formula>" =N1="no" "</formula>
    </cfRule>
  </conditionalFormatting>
  <conditionalFormatting sqref="A290:N291 A382">
    <cfRule type="expression" dxfId="1" priority="1840">
      <formula>UPPER($N290)="NO"</formula>
    </cfRule>
  </conditionalFormatting>
  <conditionalFormatting sqref="A289:N289 A379">
    <cfRule type="expression" dxfId="0" priority="1841">
      <formula>UPPER($N289)="SI"</formula>
    </cfRule>
  </conditionalFormatting>
  <conditionalFormatting sqref="A289 A379">
    <cfRule type="expression" dxfId="1" priority="1842">
      <formula>" =N1="no" "</formula>
    </cfRule>
  </conditionalFormatting>
  <conditionalFormatting sqref="A289:N289 A379">
    <cfRule type="expression" dxfId="1" priority="1843">
      <formula>UPPER($N289)="NO"</formula>
    </cfRule>
  </conditionalFormatting>
  <conditionalFormatting sqref="A288:N288">
    <cfRule type="expression" dxfId="0" priority="1844">
      <formula>UPPER($N288)="SI"</formula>
    </cfRule>
  </conditionalFormatting>
  <conditionalFormatting sqref="A288">
    <cfRule type="expression" dxfId="1" priority="1845">
      <formula>" =N1="no" "</formula>
    </cfRule>
  </conditionalFormatting>
  <conditionalFormatting sqref="A288:N288">
    <cfRule type="expression" dxfId="1" priority="1846">
      <formula>UPPER($N288)="NO"</formula>
    </cfRule>
  </conditionalFormatting>
  <conditionalFormatting sqref="A287:N287 A378">
    <cfRule type="expression" dxfId="0" priority="1847">
      <formula>UPPER($N287)="SI"</formula>
    </cfRule>
  </conditionalFormatting>
  <conditionalFormatting sqref="A287 A378">
    <cfRule type="expression" dxfId="1" priority="1848">
      <formula>" =N1="no" "</formula>
    </cfRule>
  </conditionalFormatting>
  <conditionalFormatting sqref="A287:N287 A378">
    <cfRule type="expression" dxfId="1" priority="1849">
      <formula>UPPER($N287)="NO"</formula>
    </cfRule>
  </conditionalFormatting>
  <conditionalFormatting sqref="A286:N286 A377">
    <cfRule type="expression" dxfId="0" priority="1850">
      <formula>UPPER($N286)="SI"</formula>
    </cfRule>
  </conditionalFormatting>
  <conditionalFormatting sqref="A286 A377">
    <cfRule type="expression" dxfId="1" priority="1851">
      <formula>" =N1="no" "</formula>
    </cfRule>
  </conditionalFormatting>
  <conditionalFormatting sqref="A286:N286 A377">
    <cfRule type="expression" dxfId="1" priority="1852">
      <formula>UPPER($N286)="NO"</formula>
    </cfRule>
  </conditionalFormatting>
  <conditionalFormatting sqref="A283:N285 L290 A375:A376">
    <cfRule type="expression" dxfId="0" priority="1853">
      <formula>UPPER($N283)="SI"</formula>
    </cfRule>
  </conditionalFormatting>
  <conditionalFormatting sqref="A283:A285 A375:A376">
    <cfRule type="expression" dxfId="1" priority="1854">
      <formula>" =N1="no" "</formula>
    </cfRule>
  </conditionalFormatting>
  <conditionalFormatting sqref="A283:N285 L290 A375:A376">
    <cfRule type="expression" dxfId="1" priority="1855">
      <formula>UPPER($N283)="NO"</formula>
    </cfRule>
  </conditionalFormatting>
  <conditionalFormatting sqref="A282:N282">
    <cfRule type="expression" dxfId="0" priority="1856">
      <formula>UPPER($N282)="SI"</formula>
    </cfRule>
  </conditionalFormatting>
  <conditionalFormatting sqref="A282">
    <cfRule type="expression" dxfId="1" priority="1857">
      <formula>" =N1="no" "</formula>
    </cfRule>
  </conditionalFormatting>
  <conditionalFormatting sqref="A282:N282">
    <cfRule type="expression" dxfId="1" priority="1858">
      <formula>UPPER($N282)="NO"</formula>
    </cfRule>
  </conditionalFormatting>
  <conditionalFormatting sqref="A277:N281 G286 A373:A374 F3435:G3435 I3435:J3435 L3435:N3435">
    <cfRule type="expression" dxfId="0" priority="1859">
      <formula>UPPER($N277)="SI"</formula>
    </cfRule>
  </conditionalFormatting>
  <conditionalFormatting sqref="A277:A281 A373:A374">
    <cfRule type="expression" dxfId="1" priority="1860">
      <formula>" =N1="no" "</formula>
    </cfRule>
  </conditionalFormatting>
  <conditionalFormatting sqref="A277:N281 G286 A373:A374 F3435:G3435 I3435:J3435 L3435:N3435">
    <cfRule type="expression" dxfId="1" priority="1861">
      <formula>UPPER($N277)="NO"</formula>
    </cfRule>
  </conditionalFormatting>
  <conditionalFormatting sqref="A271:N276 A366:A368">
    <cfRule type="expression" dxfId="0" priority="1862">
      <formula>UPPER($N271)="SI"</formula>
    </cfRule>
  </conditionalFormatting>
  <conditionalFormatting sqref="A271:A276 A366:A368">
    <cfRule type="expression" dxfId="1" priority="1863">
      <formula>" =N1="no" "</formula>
    </cfRule>
  </conditionalFormatting>
  <conditionalFormatting sqref="A271:N276 A366:A368">
    <cfRule type="expression" dxfId="1" priority="1864">
      <formula>UPPER($N271)="NO"</formula>
    </cfRule>
  </conditionalFormatting>
  <conditionalFormatting sqref="A270:N270">
    <cfRule type="expression" dxfId="0" priority="1865">
      <formula>UPPER($N270)="SI"</formula>
    </cfRule>
  </conditionalFormatting>
  <conditionalFormatting sqref="A270">
    <cfRule type="expression" dxfId="1" priority="1866">
      <formula>" =N1="no" "</formula>
    </cfRule>
  </conditionalFormatting>
  <conditionalFormatting sqref="A270:N270">
    <cfRule type="expression" dxfId="1" priority="1867">
      <formula>UPPER($N270)="NO"</formula>
    </cfRule>
  </conditionalFormatting>
  <conditionalFormatting sqref="A267:N269 A358:A359">
    <cfRule type="expression" dxfId="0" priority="1868">
      <formula>UPPER($N267)="SI"</formula>
    </cfRule>
  </conditionalFormatting>
  <conditionalFormatting sqref="A267:A269 A358:A359">
    <cfRule type="expression" dxfId="1" priority="1869">
      <formula>" =N1="no" "</formula>
    </cfRule>
  </conditionalFormatting>
  <conditionalFormatting sqref="A267:N269 A358:A359">
    <cfRule type="expression" dxfId="1" priority="1870">
      <formula>UPPER($N267)="NO"</formula>
    </cfRule>
  </conditionalFormatting>
  <conditionalFormatting sqref="A266:N266 A353">
    <cfRule type="expression" dxfId="0" priority="1871">
      <formula>UPPER($N266)="SI"</formula>
    </cfRule>
  </conditionalFormatting>
  <conditionalFormatting sqref="A266 A353">
    <cfRule type="expression" dxfId="1" priority="1872">
      <formula>" =N1="no" "</formula>
    </cfRule>
  </conditionalFormatting>
  <conditionalFormatting sqref="A266:N266 A353">
    <cfRule type="expression" dxfId="1" priority="1873">
      <formula>UPPER($N266)="NO"</formula>
    </cfRule>
  </conditionalFormatting>
  <conditionalFormatting sqref="A260:N265 A352">
    <cfRule type="expression" dxfId="0" priority="1874">
      <formula>UPPER($N260)="SI"</formula>
    </cfRule>
  </conditionalFormatting>
  <conditionalFormatting sqref="A260:A265 A352">
    <cfRule type="expression" dxfId="1" priority="1875">
      <formula>" =N1="no" "</formula>
    </cfRule>
  </conditionalFormatting>
  <conditionalFormatting sqref="A260:N265 A352">
    <cfRule type="expression" dxfId="1" priority="1876">
      <formula>UPPER($N260)="NO"</formula>
    </cfRule>
  </conditionalFormatting>
  <conditionalFormatting sqref="A258:N259 A347:A348">
    <cfRule type="expression" dxfId="0" priority="1877">
      <formula>UPPER($N258)="SI"</formula>
    </cfRule>
  </conditionalFormatting>
  <conditionalFormatting sqref="A258:A259 A347:A348">
    <cfRule type="expression" dxfId="1" priority="1878">
      <formula>" =N1="no" "</formula>
    </cfRule>
  </conditionalFormatting>
  <conditionalFormatting sqref="A258:N259 A347:A348">
    <cfRule type="expression" dxfId="1" priority="1879">
      <formula>UPPER($N258)="NO"</formula>
    </cfRule>
  </conditionalFormatting>
  <conditionalFormatting sqref="A247:N257 A345">
    <cfRule type="expression" dxfId="0" priority="1880">
      <formula>UPPER($N247)="SI"</formula>
    </cfRule>
  </conditionalFormatting>
  <conditionalFormatting sqref="A247:A257 A345">
    <cfRule type="expression" dxfId="1" priority="1881">
      <formula>" =N1="no" "</formula>
    </cfRule>
  </conditionalFormatting>
  <conditionalFormatting sqref="A247:N257 A345">
    <cfRule type="expression" dxfId="1" priority="1882">
      <formula>UPPER($N247)="NO"</formula>
    </cfRule>
  </conditionalFormatting>
  <conditionalFormatting sqref="A246:N246">
    <cfRule type="expression" dxfId="0" priority="1883">
      <formula>UPPER($N246)="SI"</formula>
    </cfRule>
  </conditionalFormatting>
  <conditionalFormatting sqref="A246">
    <cfRule type="expression" dxfId="1" priority="1884">
      <formula>" =N1="no" "</formula>
    </cfRule>
  </conditionalFormatting>
  <conditionalFormatting sqref="A246:N246">
    <cfRule type="expression" dxfId="1" priority="1885">
      <formula>UPPER($N246)="NO"</formula>
    </cfRule>
  </conditionalFormatting>
  <conditionalFormatting sqref="A244:N245 A331">
    <cfRule type="expression" dxfId="0" priority="1886">
      <formula>UPPER($N244)="SI"</formula>
    </cfRule>
  </conditionalFormatting>
  <conditionalFormatting sqref="A244:A245 A331">
    <cfRule type="expression" dxfId="1" priority="1887">
      <formula>" =N1="no" "</formula>
    </cfRule>
  </conditionalFormatting>
  <conditionalFormatting sqref="A244:N245 A331">
    <cfRule type="expression" dxfId="1" priority="1888">
      <formula>UPPER($N244)="NO"</formula>
    </cfRule>
  </conditionalFormatting>
  <conditionalFormatting sqref="A240:N243 A327:A330">
    <cfRule type="expression" dxfId="0" priority="1889">
      <formula>UPPER($N240)="SI"</formula>
    </cfRule>
  </conditionalFormatting>
  <conditionalFormatting sqref="A240:A243 A327:A330">
    <cfRule type="expression" dxfId="1" priority="1890">
      <formula>" =N1="no" "</formula>
    </cfRule>
  </conditionalFormatting>
  <conditionalFormatting sqref="A240:N243 A327:A330">
    <cfRule type="expression" dxfId="1" priority="1891">
      <formula>UPPER($N240)="NO"</formula>
    </cfRule>
  </conditionalFormatting>
  <conditionalFormatting sqref="A239:N239 A326">
    <cfRule type="expression" dxfId="0" priority="1892">
      <formula>UPPER($N239)="SI"</formula>
    </cfRule>
  </conditionalFormatting>
  <conditionalFormatting sqref="A239 A326">
    <cfRule type="expression" dxfId="1" priority="1893">
      <formula>" =N1="no" "</formula>
    </cfRule>
  </conditionalFormatting>
  <conditionalFormatting sqref="A239:N239 A326">
    <cfRule type="expression" dxfId="1" priority="1894">
      <formula>UPPER($N239)="NO"</formula>
    </cfRule>
  </conditionalFormatting>
  <conditionalFormatting sqref="A238:N238 A325">
    <cfRule type="expression" dxfId="0" priority="1895">
      <formula>UPPER($N238)="SI"</formula>
    </cfRule>
  </conditionalFormatting>
  <conditionalFormatting sqref="A238 A325">
    <cfRule type="expression" dxfId="1" priority="1896">
      <formula>" =N1="no" "</formula>
    </cfRule>
  </conditionalFormatting>
  <conditionalFormatting sqref="A238:N238 A325">
    <cfRule type="expression" dxfId="1" priority="1897">
      <formula>UPPER($N238)="NO"</formula>
    </cfRule>
  </conditionalFormatting>
  <conditionalFormatting sqref="A231:N237 A324">
    <cfRule type="expression" dxfId="0" priority="1898">
      <formula>UPPER($N231)="SI"</formula>
    </cfRule>
  </conditionalFormatting>
  <conditionalFormatting sqref="A231:A237 A324">
    <cfRule type="expression" dxfId="1" priority="1899">
      <formula>" =N1="no" "</formula>
    </cfRule>
  </conditionalFormatting>
  <conditionalFormatting sqref="A231:N237 A324">
    <cfRule type="expression" dxfId="1" priority="1900">
      <formula>UPPER($N231)="NO"</formula>
    </cfRule>
  </conditionalFormatting>
  <conditionalFormatting sqref="A230:N230">
    <cfRule type="expression" dxfId="0" priority="1901">
      <formula>UPPER($N230)="SI"</formula>
    </cfRule>
  </conditionalFormatting>
  <conditionalFormatting sqref="A230">
    <cfRule type="expression" dxfId="1" priority="1902">
      <formula>" =N1="no" "</formula>
    </cfRule>
  </conditionalFormatting>
  <conditionalFormatting sqref="A230:N230">
    <cfRule type="expression" dxfId="1" priority="1903">
      <formula>UPPER($N230)="NO"</formula>
    </cfRule>
  </conditionalFormatting>
  <conditionalFormatting sqref="A229:N229">
    <cfRule type="expression" dxfId="0" priority="1904">
      <formula>UPPER($N229)="SI"</formula>
    </cfRule>
  </conditionalFormatting>
  <conditionalFormatting sqref="A229">
    <cfRule type="expression" dxfId="1" priority="1905">
      <formula>" =N1="no" "</formula>
    </cfRule>
  </conditionalFormatting>
  <conditionalFormatting sqref="A229:N229">
    <cfRule type="expression" dxfId="1" priority="1906">
      <formula>UPPER($N229)="NO"</formula>
    </cfRule>
  </conditionalFormatting>
  <conditionalFormatting sqref="A228:N228 A321">
    <cfRule type="expression" dxfId="0" priority="1907">
      <formula>UPPER($N228)="SI"</formula>
    </cfRule>
  </conditionalFormatting>
  <conditionalFormatting sqref="A228 A321">
    <cfRule type="expression" dxfId="1" priority="1908">
      <formula>" =N1="no" "</formula>
    </cfRule>
  </conditionalFormatting>
  <conditionalFormatting sqref="A228:N228 A321">
    <cfRule type="expression" dxfId="1" priority="1909">
      <formula>UPPER($N228)="NO"</formula>
    </cfRule>
  </conditionalFormatting>
  <conditionalFormatting sqref="A222:N227 A319:A320">
    <cfRule type="expression" dxfId="0" priority="1910">
      <formula>UPPER($N222)="SI"</formula>
    </cfRule>
  </conditionalFormatting>
  <conditionalFormatting sqref="A222:A227 A319:A320">
    <cfRule type="expression" dxfId="1" priority="1911">
      <formula>" =N1="no" "</formula>
    </cfRule>
  </conditionalFormatting>
  <conditionalFormatting sqref="A222:N227 A319:A320">
    <cfRule type="expression" dxfId="1" priority="1912">
      <formula>UPPER($N222)="NO"</formula>
    </cfRule>
  </conditionalFormatting>
  <conditionalFormatting sqref="A214:N221 A309:A311">
    <cfRule type="expression" dxfId="0" priority="1913">
      <formula>UPPER($N214)="SI"</formula>
    </cfRule>
  </conditionalFormatting>
  <conditionalFormatting sqref="A214:A221 A309:A311">
    <cfRule type="expression" dxfId="1" priority="1914">
      <formula>" =N1="no" "</formula>
    </cfRule>
  </conditionalFormatting>
  <conditionalFormatting sqref="A214:N221 A309:A311">
    <cfRule type="expression" dxfId="1" priority="1915">
      <formula>UPPER($N214)="NO"</formula>
    </cfRule>
  </conditionalFormatting>
  <conditionalFormatting sqref="A212:N213 L243 A306">
    <cfRule type="expression" dxfId="0" priority="1916">
      <formula>UPPER($N212)="SI"</formula>
    </cfRule>
  </conditionalFormatting>
  <conditionalFormatting sqref="A212:A213 A306">
    <cfRule type="expression" dxfId="1" priority="1917">
      <formula>" =N1="no" "</formula>
    </cfRule>
  </conditionalFormatting>
  <conditionalFormatting sqref="A212:N213 L243 A306">
    <cfRule type="expression" dxfId="1" priority="1918">
      <formula>UPPER($N212)="NO"</formula>
    </cfRule>
  </conditionalFormatting>
  <conditionalFormatting sqref="A209:N211 L240:L242 A305">
    <cfRule type="expression" dxfId="0" priority="1919">
      <formula>UPPER($N209)="SI"</formula>
    </cfRule>
  </conditionalFormatting>
  <conditionalFormatting sqref="A209:A211 A305">
    <cfRule type="expression" dxfId="1" priority="1920">
      <formula>" =N1="no" "</formula>
    </cfRule>
  </conditionalFormatting>
  <conditionalFormatting sqref="A209:N211 L240:L242 A305">
    <cfRule type="expression" dxfId="1" priority="1921">
      <formula>UPPER($N209)="NO"</formula>
    </cfRule>
  </conditionalFormatting>
  <conditionalFormatting sqref="A208:N208 L239 A296">
    <cfRule type="expression" dxfId="0" priority="1922">
      <formula>UPPER($N208)="SI"</formula>
    </cfRule>
  </conditionalFormatting>
  <conditionalFormatting sqref="A208 A296">
    <cfRule type="expression" dxfId="1" priority="1923">
      <formula>" =N1="no" "</formula>
    </cfRule>
  </conditionalFormatting>
  <conditionalFormatting sqref="A208:N208 L239 A296">
    <cfRule type="expression" dxfId="1" priority="1924">
      <formula>UPPER($N208)="NO"</formula>
    </cfRule>
  </conditionalFormatting>
  <conditionalFormatting sqref="A207:N207 L238 A295">
    <cfRule type="expression" dxfId="0" priority="1925">
      <formula>UPPER($N207)="SI"</formula>
    </cfRule>
  </conditionalFormatting>
  <conditionalFormatting sqref="A207 A295">
    <cfRule type="expression" dxfId="1" priority="1926">
      <formula>" =N1="no" "</formula>
    </cfRule>
  </conditionalFormatting>
  <conditionalFormatting sqref="A207:N207 L238 A295">
    <cfRule type="expression" dxfId="1" priority="1927">
      <formula>UPPER($N207)="NO"</formula>
    </cfRule>
  </conditionalFormatting>
  <conditionalFormatting sqref="A205:N206 L236:L237 A294">
    <cfRule type="expression" dxfId="0" priority="1928">
      <formula>UPPER($N205)="SI"</formula>
    </cfRule>
  </conditionalFormatting>
  <conditionalFormatting sqref="A205:A206 A294">
    <cfRule type="expression" dxfId="1" priority="1929">
      <formula>" =N1="no" "</formula>
    </cfRule>
  </conditionalFormatting>
  <conditionalFormatting sqref="A205:N206 L236:L237 A294">
    <cfRule type="expression" dxfId="1" priority="1930">
      <formula>UPPER($N205)="NO"</formula>
    </cfRule>
  </conditionalFormatting>
  <conditionalFormatting sqref="A203:N204 L234:L235 L261 A293">
    <cfRule type="expression" dxfId="0" priority="1931">
      <formula>UPPER($N203)="SI"</formula>
    </cfRule>
  </conditionalFormatting>
  <conditionalFormatting sqref="A203:A204 A293">
    <cfRule type="expression" dxfId="1" priority="1932">
      <formula>" =N1="no" "</formula>
    </cfRule>
  </conditionalFormatting>
  <conditionalFormatting sqref="A203:N204 L234:L235 L261 A293">
    <cfRule type="expression" dxfId="1" priority="1933">
      <formula>UPPER($N203)="NO"</formula>
    </cfRule>
  </conditionalFormatting>
  <conditionalFormatting sqref="A198:N202 L215:L216 L229:L233 L256:L260 L274:L275 A290">
    <cfRule type="expression" dxfId="0" priority="1934">
      <formula>UPPER($N198)="SI"</formula>
    </cfRule>
  </conditionalFormatting>
  <conditionalFormatting sqref="A198:A202 A290">
    <cfRule type="expression" dxfId="1" priority="1935">
      <formula>" =N1="no" "</formula>
    </cfRule>
  </conditionalFormatting>
  <conditionalFormatting sqref="A198:N202 L215:L216 L229:L233 L256:L260 L274:L275 A290">
    <cfRule type="expression" dxfId="1" priority="1936">
      <formula>UPPER($N198)="NO"</formula>
    </cfRule>
  </conditionalFormatting>
  <conditionalFormatting sqref="A197:N197 L214 L228 L255 L273">
    <cfRule type="expression" dxfId="0" priority="1937">
      <formula>UPPER($N197)="SI"</formula>
    </cfRule>
  </conditionalFormatting>
  <conditionalFormatting sqref="A197">
    <cfRule type="expression" dxfId="1" priority="1938">
      <formula>" =N1="no" "</formula>
    </cfRule>
  </conditionalFormatting>
  <conditionalFormatting sqref="A197:N197 L214 L228 L255 L273">
    <cfRule type="expression" dxfId="1" priority="1939">
      <formula>UPPER($N197)="NO"</formula>
    </cfRule>
  </conditionalFormatting>
  <conditionalFormatting sqref="A193:N196 L202 L210:L213 L224:L227 L233 L241:L243 L251:L254 L260 L269:L272 A284:A287">
    <cfRule type="expression" dxfId="0" priority="1940">
      <formula>UPPER($N193)="SI"</formula>
    </cfRule>
  </conditionalFormatting>
  <conditionalFormatting sqref="A193:A196 A284:A287">
    <cfRule type="expression" dxfId="1" priority="1941">
      <formula>" =N1="no" "</formula>
    </cfRule>
  </conditionalFormatting>
  <conditionalFormatting sqref="A193:N196 L202 L210:L213 L224:L227 L233 L241:L243 L251:L254 L260 L269:L272 A284:A287">
    <cfRule type="expression" dxfId="1" priority="1942">
      <formula>UPPER($N193)="NO"</formula>
    </cfRule>
  </conditionalFormatting>
  <conditionalFormatting sqref="A189:N192 L198:L201 L206:L209 L215:L216 L220:L223 L229:L232 L237:L240 L247:L251 L256:L259 L265:L268 L274:L275 A279:A280 L279 L3435">
    <cfRule type="expression" dxfId="0" priority="1943">
      <formula>UPPER($N189)="SI"</formula>
    </cfRule>
  </conditionalFormatting>
  <conditionalFormatting sqref="A189:A192 A279:A280">
    <cfRule type="expression" dxfId="1" priority="1944">
      <formula>" =N1="no" "</formula>
    </cfRule>
  </conditionalFormatting>
  <conditionalFormatting sqref="A189:N192 L198:L201 L206:L209 L215:L216 L220:L223 L229:L232 L237:L240 L247:L251 L256:L259 L265:L268 L274:L275 A279:A280 L279 L3435">
    <cfRule type="expression" dxfId="1" priority="1945">
      <formula>UPPER($N189)="NO"</formula>
    </cfRule>
  </conditionalFormatting>
  <conditionalFormatting sqref="A180:K188 L180:L279 M180:N188 A272:A277 L3435">
    <cfRule type="expression" dxfId="0" priority="1946">
      <formula>UPPER($N180)="SI"</formula>
    </cfRule>
  </conditionalFormatting>
  <conditionalFormatting sqref="A180:A188 A272:A277">
    <cfRule type="expression" dxfId="1" priority="1947">
      <formula>" =N1="no" "</formula>
    </cfRule>
  </conditionalFormatting>
  <conditionalFormatting sqref="A180:K188 L180:L279 M180:N188 A272:A277 L3435">
    <cfRule type="expression" dxfId="1" priority="1948">
      <formula>UPPER($N180)="NO"</formula>
    </cfRule>
  </conditionalFormatting>
  <conditionalFormatting sqref="A178:K179 L178:L279 M178:N179 A265:A266 L3435">
    <cfRule type="expression" dxfId="0" priority="1949">
      <formula>UPPER($N178)="SI"</formula>
    </cfRule>
  </conditionalFormatting>
  <conditionalFormatting sqref="A178:A179 A265:A266">
    <cfRule type="expression" dxfId="1" priority="1950">
      <formula>" =N1="no" "</formula>
    </cfRule>
  </conditionalFormatting>
  <conditionalFormatting sqref="A178:K179 L178:L279 M178:N179 A265:A266 L3435">
    <cfRule type="expression" dxfId="1" priority="1951">
      <formula>UPPER($N178)="NO"</formula>
    </cfRule>
  </conditionalFormatting>
  <conditionalFormatting sqref="A175:N177">
    <cfRule type="expression" dxfId="0" priority="1952">
      <formula>UPPER($N175)="SI"</formula>
    </cfRule>
  </conditionalFormatting>
  <conditionalFormatting sqref="A175:A177">
    <cfRule type="expression" dxfId="1" priority="1953">
      <formula>" =N1="no" "</formula>
    </cfRule>
  </conditionalFormatting>
  <conditionalFormatting sqref="A175:N177">
    <cfRule type="expression" dxfId="1" priority="1954">
      <formula>UPPER($N175)="NO"</formula>
    </cfRule>
  </conditionalFormatting>
  <conditionalFormatting sqref="A172:N174">
    <cfRule type="expression" dxfId="0" priority="1955">
      <formula>UPPER($N172)="SI"</formula>
    </cfRule>
  </conditionalFormatting>
  <conditionalFormatting sqref="A172:A174">
    <cfRule type="expression" dxfId="1" priority="1956">
      <formula>" =N1="no" "</formula>
    </cfRule>
  </conditionalFormatting>
  <conditionalFormatting sqref="A172:N174">
    <cfRule type="expression" dxfId="1" priority="1957">
      <formula>UPPER($N172)="NO"</formula>
    </cfRule>
  </conditionalFormatting>
  <conditionalFormatting sqref="A171:N171 A264">
    <cfRule type="expression" dxfId="0" priority="1958">
      <formula>UPPER($N171)="SI"</formula>
    </cfRule>
  </conditionalFormatting>
  <conditionalFormatting sqref="A171 A264">
    <cfRule type="expression" dxfId="1" priority="1959">
      <formula>" =N1="no" "</formula>
    </cfRule>
  </conditionalFormatting>
  <conditionalFormatting sqref="A171:N171 A264">
    <cfRule type="expression" dxfId="1" priority="1960">
      <formula>UPPER($N171)="NO"</formula>
    </cfRule>
  </conditionalFormatting>
  <conditionalFormatting sqref="A160:N170 A261">
    <cfRule type="expression" dxfId="0" priority="1961">
      <formula>UPPER($N160)="SI"</formula>
    </cfRule>
  </conditionalFormatting>
  <conditionalFormatting sqref="A160:A170 A261">
    <cfRule type="expression" dxfId="1" priority="1962">
      <formula>" =N1="no" "</formula>
    </cfRule>
  </conditionalFormatting>
  <conditionalFormatting sqref="A160:N170 A261">
    <cfRule type="expression" dxfId="1" priority="1963">
      <formula>UPPER($N160)="NO"</formula>
    </cfRule>
  </conditionalFormatting>
  <conditionalFormatting sqref="A152:N159 A257:A258">
    <cfRule type="expression" dxfId="0" priority="1964">
      <formula>UPPER($N152)="SI"</formula>
    </cfRule>
  </conditionalFormatting>
  <conditionalFormatting sqref="A152:A159 A257:A258">
    <cfRule type="expression" dxfId="1" priority="1965">
      <formula>" =N1="no" "</formula>
    </cfRule>
  </conditionalFormatting>
  <conditionalFormatting sqref="A152:N159 A257:A258">
    <cfRule type="expression" dxfId="1" priority="1966">
      <formula>UPPER($N152)="NO"</formula>
    </cfRule>
  </conditionalFormatting>
  <conditionalFormatting sqref="A148:N151 A248:A250">
    <cfRule type="expression" dxfId="0" priority="1967">
      <formula>UPPER($N148)="SI"</formula>
    </cfRule>
  </conditionalFormatting>
  <conditionalFormatting sqref="A148:A151 A248:A250">
    <cfRule type="expression" dxfId="1" priority="1968">
      <formula>" =N1="no" "</formula>
    </cfRule>
  </conditionalFormatting>
  <conditionalFormatting sqref="A148:N151 A248:A250">
    <cfRule type="expression" dxfId="1" priority="1969">
      <formula>UPPER($N148)="NO"</formula>
    </cfRule>
  </conditionalFormatting>
  <conditionalFormatting sqref="A147:N147 A247">
    <cfRule type="expression" dxfId="0" priority="1970">
      <formula>UPPER($N147)="SI"</formula>
    </cfRule>
  </conditionalFormatting>
  <conditionalFormatting sqref="A147 A247">
    <cfRule type="expression" dxfId="1" priority="1971">
      <formula>" =N1="no" "</formula>
    </cfRule>
  </conditionalFormatting>
  <conditionalFormatting sqref="A147:N147 A247">
    <cfRule type="expression" dxfId="1" priority="1972">
      <formula>UPPER($N147)="NO"</formula>
    </cfRule>
  </conditionalFormatting>
  <conditionalFormatting sqref="A144:N146 A244">
    <cfRule type="expression" dxfId="0" priority="1973">
      <formula>UPPER($N144)="SI"</formula>
    </cfRule>
  </conditionalFormatting>
  <conditionalFormatting sqref="A144:A146 A244">
    <cfRule type="expression" dxfId="1" priority="1974">
      <formula>" =N1="no" "</formula>
    </cfRule>
  </conditionalFormatting>
  <conditionalFormatting sqref="A144:N146 A244">
    <cfRule type="expression" dxfId="1" priority="1975">
      <formula>UPPER($N144)="NO"</formula>
    </cfRule>
  </conditionalFormatting>
  <conditionalFormatting sqref="A143:N143 A243">
    <cfRule type="expression" dxfId="0" priority="1976">
      <formula>UPPER($N143)="SI"</formula>
    </cfRule>
  </conditionalFormatting>
  <conditionalFormatting sqref="A143 A243">
    <cfRule type="expression" dxfId="1" priority="1977">
      <formula>" =N1="no" "</formula>
    </cfRule>
  </conditionalFormatting>
  <conditionalFormatting sqref="A143:N143 A243">
    <cfRule type="expression" dxfId="1" priority="1978">
      <formula>UPPER($N143)="NO"</formula>
    </cfRule>
  </conditionalFormatting>
  <conditionalFormatting sqref="A138:N142 M146 A242">
    <cfRule type="expression" dxfId="0" priority="1979">
      <formula>UPPER($N138)="SI"</formula>
    </cfRule>
  </conditionalFormatting>
  <conditionalFormatting sqref="A138:A142 A242">
    <cfRule type="expression" dxfId="1" priority="1980">
      <formula>" =N1="no" "</formula>
    </cfRule>
  </conditionalFormatting>
  <conditionalFormatting sqref="A138:N142 M146 A242">
    <cfRule type="expression" dxfId="1" priority="1981">
      <formula>UPPER($N138)="NO"</formula>
    </cfRule>
  </conditionalFormatting>
  <conditionalFormatting sqref="A131:N137 A238">
    <cfRule type="expression" dxfId="0" priority="1982">
      <formula>UPPER($N131)="SI"</formula>
    </cfRule>
  </conditionalFormatting>
  <conditionalFormatting sqref="A131:A137 A238">
    <cfRule type="expression" dxfId="1" priority="1983">
      <formula>" =N1="no" "</formula>
    </cfRule>
  </conditionalFormatting>
  <conditionalFormatting sqref="A131:N137 A238">
    <cfRule type="expression" dxfId="1" priority="1984">
      <formula>UPPER($N131)="NO"</formula>
    </cfRule>
  </conditionalFormatting>
  <conditionalFormatting sqref="A128:N130 A233">
    <cfRule type="expression" dxfId="0" priority="1985">
      <formula>UPPER($N128)="SI"</formula>
    </cfRule>
  </conditionalFormatting>
  <conditionalFormatting sqref="A128:A130 A233">
    <cfRule type="expression" dxfId="1" priority="1986">
      <formula>" =N1="no" "</formula>
    </cfRule>
  </conditionalFormatting>
  <conditionalFormatting sqref="A128:N130 A233">
    <cfRule type="expression" dxfId="1" priority="1987">
      <formula>UPPER($N128)="NO"</formula>
    </cfRule>
  </conditionalFormatting>
  <conditionalFormatting sqref="K1 A121:N127 A222:A226 K3435">
    <cfRule type="expression" dxfId="0" priority="1988">
      <formula>UPPER($N1)="SI"</formula>
    </cfRule>
  </conditionalFormatting>
  <conditionalFormatting sqref="A121:A127 A222:A226">
    <cfRule type="expression" dxfId="1" priority="1989">
      <formula>" =N1="no" "</formula>
    </cfRule>
  </conditionalFormatting>
  <conditionalFormatting sqref="K1 A121:N127 A222:A226 K3435">
    <cfRule type="expression" dxfId="1" priority="1990">
      <formula>UPPER($N1)="NO"</formula>
    </cfRule>
  </conditionalFormatting>
  <conditionalFormatting sqref="A119:N120 A217">
    <cfRule type="expression" dxfId="0" priority="1991">
      <formula>UPPER($N119)="SI"</formula>
    </cfRule>
  </conditionalFormatting>
  <conditionalFormatting sqref="A119:A120 A217">
    <cfRule type="expression" dxfId="1" priority="1992">
      <formula>" =N1="no" "</formula>
    </cfRule>
  </conditionalFormatting>
  <conditionalFormatting sqref="A119:N120 A217">
    <cfRule type="expression" dxfId="1" priority="1993">
      <formula>UPPER($N119)="NO"</formula>
    </cfRule>
  </conditionalFormatting>
  <conditionalFormatting sqref="A118:N118">
    <cfRule type="expression" dxfId="0" priority="1994">
      <formula>UPPER($N118)="SI"</formula>
    </cfRule>
  </conditionalFormatting>
  <conditionalFormatting sqref="A118">
    <cfRule type="expression" dxfId="1" priority="1995">
      <formula>" =N1="no" "</formula>
    </cfRule>
  </conditionalFormatting>
  <conditionalFormatting sqref="A118:N118">
    <cfRule type="expression" dxfId="1" priority="1996">
      <formula>UPPER($N118)="NO"</formula>
    </cfRule>
  </conditionalFormatting>
  <conditionalFormatting sqref="A110:N117 A215:A216">
    <cfRule type="expression" dxfId="0" priority="1997">
      <formula>UPPER($N110)="SI"</formula>
    </cfRule>
  </conditionalFormatting>
  <conditionalFormatting sqref="A110:A117 A215:A216">
    <cfRule type="expression" dxfId="1" priority="1998">
      <formula>" =N1="no" "</formula>
    </cfRule>
  </conditionalFormatting>
  <conditionalFormatting sqref="A110:N117 A215:A216">
    <cfRule type="expression" dxfId="1" priority="1999">
      <formula>UPPER($N110)="NO"</formula>
    </cfRule>
  </conditionalFormatting>
  <conditionalFormatting sqref="E1 A102:D109 E102:E112 F102:N109 A3376:A3435 B3435:E3435">
    <cfRule type="expression" dxfId="0" priority="2000">
      <formula>UPPER($N1)="SI"</formula>
    </cfRule>
  </conditionalFormatting>
  <conditionalFormatting sqref="A102:A109 A3376:A3435">
    <cfRule type="expression" dxfId="1" priority="2001">
      <formula>" =N1="no" "</formula>
    </cfRule>
  </conditionalFormatting>
  <conditionalFormatting sqref="E1 A102:D109 E102:E112 F102:N109 A3376:A3435 B3435:E3435">
    <cfRule type="expression" dxfId="1" priority="2002">
      <formula>UPPER($N1)="NO"</formula>
    </cfRule>
  </conditionalFormatting>
  <conditionalFormatting sqref="A95:K101 L95:L102 M95:N101 A195 L286">
    <cfRule type="expression" dxfId="0" priority="2003">
      <formula>UPPER($N95)="SI"</formula>
    </cfRule>
  </conditionalFormatting>
  <conditionalFormatting sqref="A95:A101 A195">
    <cfRule type="expression" dxfId="1" priority="2004">
      <formula>" =N1="no" "</formula>
    </cfRule>
  </conditionalFormatting>
  <conditionalFormatting sqref="A95:K101 L95:L102 M95:N101 A195 L286">
    <cfRule type="expression" dxfId="1" priority="2005">
      <formula>UPPER($N95)="NO"</formula>
    </cfRule>
  </conditionalFormatting>
  <conditionalFormatting sqref="A94:N94 A188">
    <cfRule type="expression" dxfId="0" priority="2006">
      <formula>UPPER($N94)="SI"</formula>
    </cfRule>
  </conditionalFormatting>
  <conditionalFormatting sqref="A94 A188">
    <cfRule type="expression" dxfId="1" priority="2007">
      <formula>" =N1="no" "</formula>
    </cfRule>
  </conditionalFormatting>
  <conditionalFormatting sqref="A94:N94 A188">
    <cfRule type="expression" dxfId="1" priority="2008">
      <formula>UPPER($N94)="NO"</formula>
    </cfRule>
  </conditionalFormatting>
  <conditionalFormatting sqref="A93:N93 A187">
    <cfRule type="expression" dxfId="0" priority="2009">
      <formula>UPPER($N93)="SI"</formula>
    </cfRule>
  </conditionalFormatting>
  <conditionalFormatting sqref="A93 A187">
    <cfRule type="expression" dxfId="1" priority="2010">
      <formula>" =N1="no" "</formula>
    </cfRule>
  </conditionalFormatting>
  <conditionalFormatting sqref="A93:N93 A187">
    <cfRule type="expression" dxfId="1" priority="2011">
      <formula>UPPER($N93)="NO"</formula>
    </cfRule>
  </conditionalFormatting>
  <conditionalFormatting sqref="A92:N92 A186">
    <cfRule type="expression" dxfId="0" priority="2012">
      <formula>UPPER($N92)="SI"</formula>
    </cfRule>
  </conditionalFormatting>
  <conditionalFormatting sqref="A92 A186">
    <cfRule type="expression" dxfId="1" priority="2013">
      <formula>" =N1="no" "</formula>
    </cfRule>
  </conditionalFormatting>
  <conditionalFormatting sqref="A92:N92 A186">
    <cfRule type="expression" dxfId="1" priority="2014">
      <formula>UPPER($N92)="NO"</formula>
    </cfRule>
  </conditionalFormatting>
  <conditionalFormatting sqref="A83:N91 A185">
    <cfRule type="expression" dxfId="0" priority="2015">
      <formula>UPPER($N83)="SI"</formula>
    </cfRule>
  </conditionalFormatting>
  <conditionalFormatting sqref="A83:A91 A185">
    <cfRule type="expression" dxfId="1" priority="2016">
      <formula>" =N1="no" "</formula>
    </cfRule>
  </conditionalFormatting>
  <conditionalFormatting sqref="A83:N91 A185">
    <cfRule type="expression" dxfId="1" priority="2017">
      <formula>UPPER($N83)="NO"</formula>
    </cfRule>
  </conditionalFormatting>
  <conditionalFormatting sqref="A78:N82 A179:A180">
    <cfRule type="expression" dxfId="0" priority="2018">
      <formula>UPPER($N78)="SI"</formula>
    </cfRule>
  </conditionalFormatting>
  <conditionalFormatting sqref="A78:A82 A179:A180">
    <cfRule type="expression" dxfId="1" priority="2019">
      <formula>" =N1="no" "</formula>
    </cfRule>
  </conditionalFormatting>
  <conditionalFormatting sqref="A78:N82 A179:A180">
    <cfRule type="expression" dxfId="1" priority="2020">
      <formula>UPPER($N78)="NO"</formula>
    </cfRule>
  </conditionalFormatting>
  <conditionalFormatting sqref="A77:N77 A171">
    <cfRule type="expression" dxfId="0" priority="2021">
      <formula>UPPER($N77)="SI"</formula>
    </cfRule>
  </conditionalFormatting>
  <conditionalFormatting sqref="A77 A171">
    <cfRule type="expression" dxfId="1" priority="2022">
      <formula>" =N1="no" "</formula>
    </cfRule>
  </conditionalFormatting>
  <conditionalFormatting sqref="A77:N77 A171">
    <cfRule type="expression" dxfId="1" priority="2023">
      <formula>UPPER($N77)="NO"</formula>
    </cfRule>
  </conditionalFormatting>
  <conditionalFormatting sqref="A65:N76 A168">
    <cfRule type="expression" dxfId="0" priority="2024">
      <formula>UPPER($N65)="SI"</formula>
    </cfRule>
  </conditionalFormatting>
  <conditionalFormatting sqref="A65:A76 A168">
    <cfRule type="expression" dxfId="1" priority="2025">
      <formula>" =N1="no" "</formula>
    </cfRule>
  </conditionalFormatting>
  <conditionalFormatting sqref="A65:N76 A168">
    <cfRule type="expression" dxfId="1" priority="2026">
      <formula>UPPER($N65)="NO"</formula>
    </cfRule>
  </conditionalFormatting>
  <conditionalFormatting sqref="A62:N64 A150:A151">
    <cfRule type="expression" dxfId="0" priority="2027">
      <formula>UPPER($N62)="SI"</formula>
    </cfRule>
  </conditionalFormatting>
  <conditionalFormatting sqref="A62:A64 A150:A151">
    <cfRule type="expression" dxfId="1" priority="2028">
      <formula>" =N1="no" "</formula>
    </cfRule>
  </conditionalFormatting>
  <conditionalFormatting sqref="A62:N64 A150:A151">
    <cfRule type="expression" dxfId="1" priority="2029">
      <formula>UPPER($N62)="NO"</formula>
    </cfRule>
  </conditionalFormatting>
  <conditionalFormatting sqref="A61:N61">
    <cfRule type="expression" dxfId="0" priority="2030">
      <formula>UPPER($N61)="SI"</formula>
    </cfRule>
  </conditionalFormatting>
  <conditionalFormatting sqref="A61">
    <cfRule type="expression" dxfId="1" priority="2031">
      <formula>" =N1="no" "</formula>
    </cfRule>
  </conditionalFormatting>
  <conditionalFormatting sqref="A61:N61">
    <cfRule type="expression" dxfId="1" priority="2032">
      <formula>UPPER($N61)="NO"</formula>
    </cfRule>
  </conditionalFormatting>
  <conditionalFormatting sqref="A56:N60 A149">
    <cfRule type="expression" dxfId="0" priority="2033">
      <formula>UPPER($N56)="SI"</formula>
    </cfRule>
  </conditionalFormatting>
  <conditionalFormatting sqref="A56:A60 A149">
    <cfRule type="expression" dxfId="1" priority="2034">
      <formula>" =N1="no" "</formula>
    </cfRule>
  </conditionalFormatting>
  <conditionalFormatting sqref="A56:N60 A149">
    <cfRule type="expression" dxfId="1" priority="2035">
      <formula>UPPER($N56)="NO"</formula>
    </cfRule>
  </conditionalFormatting>
  <conditionalFormatting sqref="A53:N55">
    <cfRule type="expression" dxfId="0" priority="2036">
      <formula>UPPER($N53)="SI"</formula>
    </cfRule>
  </conditionalFormatting>
  <conditionalFormatting sqref="A53:A55">
    <cfRule type="expression" dxfId="1" priority="2037">
      <formula>" =N1="no" "</formula>
    </cfRule>
  </conditionalFormatting>
  <conditionalFormatting sqref="A53:N55">
    <cfRule type="expression" dxfId="1" priority="2038">
      <formula>UPPER($N53)="NO"</formula>
    </cfRule>
  </conditionalFormatting>
  <conditionalFormatting sqref="A46:N52 A140">
    <cfRule type="expression" dxfId="0" priority="2039">
      <formula>UPPER($N46)="SI"</formula>
    </cfRule>
  </conditionalFormatting>
  <conditionalFormatting sqref="A46:A52 A140">
    <cfRule type="expression" dxfId="1" priority="2040">
      <formula>" =N1="no" "</formula>
    </cfRule>
  </conditionalFormatting>
  <conditionalFormatting sqref="A46:N52 A140">
    <cfRule type="expression" dxfId="1" priority="2041">
      <formula>UPPER($N46)="NO"</formula>
    </cfRule>
  </conditionalFormatting>
  <conditionalFormatting sqref="A44:N45 A138">
    <cfRule type="expression" dxfId="0" priority="2042">
      <formula>UPPER($N44)="SI"</formula>
    </cfRule>
  </conditionalFormatting>
  <conditionalFormatting sqref="A44:A45 A138">
    <cfRule type="expression" dxfId="1" priority="2043">
      <formula>" =N1="no" "</formula>
    </cfRule>
  </conditionalFormatting>
  <conditionalFormatting sqref="A44:N45 A138">
    <cfRule type="expression" dxfId="1" priority="2044">
      <formula>UPPER($N44)="NO"</formula>
    </cfRule>
  </conditionalFormatting>
  <conditionalFormatting sqref="A40:N43 A134">
    <cfRule type="expression" dxfId="0" priority="2045">
      <formula>UPPER($N40)="SI"</formula>
    </cfRule>
  </conditionalFormatting>
  <conditionalFormatting sqref="A40:A43 A134">
    <cfRule type="expression" dxfId="1" priority="2046">
      <formula>" =N1="no" "</formula>
    </cfRule>
  </conditionalFormatting>
  <conditionalFormatting sqref="A40:N43 A134">
    <cfRule type="expression" dxfId="1" priority="2047">
      <formula>UPPER($N40)="NO"</formula>
    </cfRule>
  </conditionalFormatting>
  <conditionalFormatting sqref="A39:N39">
    <cfRule type="expression" dxfId="0" priority="2048">
      <formula>UPPER($N39)="SI"</formula>
    </cfRule>
  </conditionalFormatting>
  <conditionalFormatting sqref="A39">
    <cfRule type="expression" dxfId="1" priority="2049">
      <formula>" =N1="no" "</formula>
    </cfRule>
  </conditionalFormatting>
  <conditionalFormatting sqref="A39:N39">
    <cfRule type="expression" dxfId="1" priority="2050">
      <formula>UPPER($N39)="NO"</formula>
    </cfRule>
  </conditionalFormatting>
  <conditionalFormatting sqref="A35:N38">
    <cfRule type="expression" dxfId="0" priority="2051">
      <formula>UPPER($N35)="SI"</formula>
    </cfRule>
  </conditionalFormatting>
  <conditionalFormatting sqref="A35:A38">
    <cfRule type="expression" dxfId="1" priority="2052">
      <formula>" =N1="no" "</formula>
    </cfRule>
  </conditionalFormatting>
  <conditionalFormatting sqref="A35:N38">
    <cfRule type="expression" dxfId="1" priority="2053">
      <formula>UPPER($N35)="NO"</formula>
    </cfRule>
  </conditionalFormatting>
  <conditionalFormatting sqref="A33:N34 A129">
    <cfRule type="expression" dxfId="0" priority="2054">
      <formula>UPPER($N33)="SI"</formula>
    </cfRule>
  </conditionalFormatting>
  <conditionalFormatting sqref="A33:A34 A129">
    <cfRule type="expression" dxfId="1" priority="2055">
      <formula>" =N1="no" "</formula>
    </cfRule>
  </conditionalFormatting>
  <conditionalFormatting sqref="A33:N34 A129">
    <cfRule type="expression" dxfId="1" priority="2056">
      <formula>UPPER($N33)="NO"</formula>
    </cfRule>
  </conditionalFormatting>
  <conditionalFormatting sqref="A30:N32 A128">
    <cfRule type="expression" dxfId="0" priority="2057">
      <formula>UPPER($N30)="SI"</formula>
    </cfRule>
  </conditionalFormatting>
  <conditionalFormatting sqref="A30:A32 A128">
    <cfRule type="expression" dxfId="1" priority="2058">
      <formula>" =N1="no" "</formula>
    </cfRule>
  </conditionalFormatting>
  <conditionalFormatting sqref="A30:N32 A128">
    <cfRule type="expression" dxfId="1" priority="2059">
      <formula>UPPER($N30)="NO"</formula>
    </cfRule>
  </conditionalFormatting>
  <conditionalFormatting sqref="A25:N29 A126:A127">
    <cfRule type="expression" dxfId="0" priority="2060">
      <formula>UPPER($N25)="SI"</formula>
    </cfRule>
  </conditionalFormatting>
  <conditionalFormatting sqref="A25:A29 A126:A127">
    <cfRule type="expression" dxfId="1" priority="2061">
      <formula>" =N1="no" "</formula>
    </cfRule>
  </conditionalFormatting>
  <conditionalFormatting sqref="A25:N29 A126:A127">
    <cfRule type="expression" dxfId="1" priority="2062">
      <formula>UPPER($N25)="NO"</formula>
    </cfRule>
  </conditionalFormatting>
  <conditionalFormatting sqref="A24:N24">
    <cfRule type="expression" dxfId="0" priority="2063">
      <formula>UPPER($N24)="SI"</formula>
    </cfRule>
  </conditionalFormatting>
  <conditionalFormatting sqref="A24">
    <cfRule type="expression" dxfId="1" priority="2064">
      <formula>" =N1="no" "</formula>
    </cfRule>
  </conditionalFormatting>
  <conditionalFormatting sqref="A24:N24">
    <cfRule type="expression" dxfId="1" priority="2065">
      <formula>UPPER($N24)="NO"</formula>
    </cfRule>
  </conditionalFormatting>
  <conditionalFormatting sqref="A22:N23 A123">
    <cfRule type="expression" dxfId="0" priority="2066">
      <formula>UPPER($N22)="SI"</formula>
    </cfRule>
  </conditionalFormatting>
  <conditionalFormatting sqref="A22:A23 A123">
    <cfRule type="expression" dxfId="1" priority="2067">
      <formula>" =N1="no" "</formula>
    </cfRule>
  </conditionalFormatting>
  <conditionalFormatting sqref="A22:N23 A123">
    <cfRule type="expression" dxfId="1" priority="2068">
      <formula>UPPER($N22)="NO"</formula>
    </cfRule>
  </conditionalFormatting>
  <conditionalFormatting sqref="A17:N21 A120">
    <cfRule type="expression" dxfId="0" priority="2069">
      <formula>UPPER($N17)="SI"</formula>
    </cfRule>
  </conditionalFormatting>
  <conditionalFormatting sqref="A17:A21 A120">
    <cfRule type="expression" dxfId="1" priority="2070">
      <formula>" =N1="no" "</formula>
    </cfRule>
  </conditionalFormatting>
  <conditionalFormatting sqref="A17:N21 A120">
    <cfRule type="expression" dxfId="1" priority="2071">
      <formula>UPPER($N17)="NO"</formula>
    </cfRule>
  </conditionalFormatting>
  <conditionalFormatting sqref="A13:N16 A19 A113:A114">
    <cfRule type="expression" dxfId="0" priority="2072">
      <formula>UPPER($N13)="SI"</formula>
    </cfRule>
  </conditionalFormatting>
  <conditionalFormatting sqref="A13:A16 A19 A113:A114">
    <cfRule type="expression" dxfId="1" priority="2073">
      <formula>" =N1="no" "</formula>
    </cfRule>
  </conditionalFormatting>
  <conditionalFormatting sqref="A13:N16 A19 A113:A114">
    <cfRule type="expression" dxfId="1" priority="2074">
      <formula>UPPER($N13)="NO"</formula>
    </cfRule>
  </conditionalFormatting>
  <conditionalFormatting sqref="A11:N12 A112">
    <cfRule type="expression" dxfId="0" priority="2075">
      <formula>UPPER($N11)="SI"</formula>
    </cfRule>
  </conditionalFormatting>
  <conditionalFormatting sqref="A11:A12 A112">
    <cfRule type="expression" dxfId="1" priority="2076">
      <formula>" =N1="no" "</formula>
    </cfRule>
  </conditionalFormatting>
  <conditionalFormatting sqref="A11:N12 A112">
    <cfRule type="expression" dxfId="1" priority="2077">
      <formula>UPPER($N11)="NO"</formula>
    </cfRule>
  </conditionalFormatting>
  <conditionalFormatting sqref="A8:N10 A111">
    <cfRule type="expression" dxfId="0" priority="2078">
      <formula>UPPER($N8)="SI"</formula>
    </cfRule>
  </conditionalFormatting>
  <conditionalFormatting sqref="A8:A10 A111">
    <cfRule type="expression" dxfId="1" priority="2079">
      <formula>" =N1="no" "</formula>
    </cfRule>
  </conditionalFormatting>
  <conditionalFormatting sqref="A8:N10 A111">
    <cfRule type="expression" dxfId="1" priority="2080">
      <formula>UPPER($N8)="NO"</formula>
    </cfRule>
  </conditionalFormatting>
  <conditionalFormatting sqref="A5:N7 A110">
    <cfRule type="expression" dxfId="0" priority="2081">
      <formula>UPPER($N5)="SI"</formula>
    </cfRule>
  </conditionalFormatting>
  <conditionalFormatting sqref="A5:A7 A110">
    <cfRule type="expression" dxfId="1" priority="2082">
      <formula>" =N1="no" "</formula>
    </cfRule>
  </conditionalFormatting>
  <conditionalFormatting sqref="A5:N7 A110">
    <cfRule type="expression" dxfId="1" priority="2083">
      <formula>UPPER($N5)="NO"</formula>
    </cfRule>
  </conditionalFormatting>
  <conditionalFormatting sqref="A4 A8 A109">
    <cfRule type="cellIs" dxfId="2" priority="2084" operator="equal">
      <formula>"si"</formula>
    </cfRule>
  </conditionalFormatting>
  <conditionalFormatting sqref="A4:N4 A109">
    <cfRule type="expression" dxfId="0" priority="2085">
      <formula>UPPER($N4)="SI"</formula>
    </cfRule>
  </conditionalFormatting>
  <conditionalFormatting sqref="A4 A109">
    <cfRule type="expression" dxfId="1" priority="2086">
      <formula>" =N1="no" "</formula>
    </cfRule>
  </conditionalFormatting>
  <conditionalFormatting sqref="A4:N4 A109">
    <cfRule type="expression" dxfId="1" priority="2087">
      <formula>UPPER($N4)="NO"</formula>
    </cfRule>
  </conditionalFormatting>
  <conditionalFormatting sqref="A3:N3">
    <cfRule type="expression" dxfId="0" priority="2088">
      <formula>UPPER($N3)="SI"</formula>
    </cfRule>
  </conditionalFormatting>
  <conditionalFormatting sqref="A3">
    <cfRule type="expression" dxfId="1" priority="2089">
      <formula>" =N1="no" "</formula>
    </cfRule>
  </conditionalFormatting>
  <conditionalFormatting sqref="A3:N3">
    <cfRule type="expression" dxfId="1" priority="2090">
      <formula>UPPER($N3)="NO"</formula>
    </cfRule>
  </conditionalFormatting>
  <conditionalFormatting sqref="A1:A3435 B2:N2 J1618 J1636 J1725">
    <cfRule type="expression" dxfId="0" priority="2091">
      <formula>UPPER($N1)="SI"</formula>
    </cfRule>
  </conditionalFormatting>
  <conditionalFormatting sqref="A1:A3435 J1618 J1636 J1725">
    <cfRule type="expression" dxfId="1" priority="2092">
      <formula>" =N1="no" "</formula>
    </cfRule>
  </conditionalFormatting>
  <conditionalFormatting sqref="A1:A3435 B2:N2 J1618 J1636 J1725">
    <cfRule type="expression" dxfId="1" priority="2093">
      <formula>UPPER($N1)="NO"</formula>
    </cfRule>
  </conditionalFormatting>
  <conditionalFormatting sqref="A1:N1 A108">
    <cfRule type="expression" dxfId="0" priority="2094">
      <formula>UPPER($N1)="SI"</formula>
    </cfRule>
  </conditionalFormatting>
  <conditionalFormatting sqref="A1 A108">
    <cfRule type="expression" dxfId="1" priority="2095">
      <formula>" =N1="no" "</formula>
    </cfRule>
  </conditionalFormatting>
  <conditionalFormatting sqref="A1:N1 A108">
    <cfRule type="expression" dxfId="1" priority="2096">
      <formula>UPPER($N1)="NO"</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0" max="10" width="18.29"/>
  </cols>
  <sheetData>
    <row r="1">
      <c r="B1" s="11"/>
      <c r="C1" s="11"/>
      <c r="D1" s="11" t="s">
        <v>5257</v>
      </c>
      <c r="E1" s="11" t="s">
        <v>5258</v>
      </c>
      <c r="F1" s="11" t="s">
        <v>5259</v>
      </c>
      <c r="G1" s="11" t="s">
        <v>5260</v>
      </c>
    </row>
    <row r="2">
      <c r="B2" s="11" t="s">
        <v>5261</v>
      </c>
      <c r="C2" s="11">
        <v>3500.0</v>
      </c>
      <c r="G2" s="11">
        <v>3500.0</v>
      </c>
    </row>
    <row r="3" ht="44.25" customHeight="1">
      <c r="B3" s="11" t="s">
        <v>5262</v>
      </c>
      <c r="C3" s="11">
        <v>4000.0</v>
      </c>
      <c r="D3" s="11">
        <v>30.0</v>
      </c>
      <c r="E3" s="11">
        <v>4.0</v>
      </c>
      <c r="F3" s="11">
        <v>20.0</v>
      </c>
      <c r="G3" s="9">
        <f t="shared" ref="G3:G5" si="1">(D3*$G$17)+(E3*$G$18)+(F3*$G$19)</f>
        <v>4500</v>
      </c>
    </row>
    <row r="4">
      <c r="B4" s="11" t="s">
        <v>5263</v>
      </c>
      <c r="C4" s="11">
        <v>1300.0</v>
      </c>
      <c r="D4" s="11">
        <v>28.0</v>
      </c>
      <c r="E4" s="11">
        <v>2.0</v>
      </c>
      <c r="F4" s="11">
        <v>0.0</v>
      </c>
      <c r="G4" s="9">
        <f t="shared" si="1"/>
        <v>3660</v>
      </c>
    </row>
    <row r="5">
      <c r="B5" s="11" t="s">
        <v>5264</v>
      </c>
      <c r="C5" s="11">
        <v>1300.0</v>
      </c>
      <c r="D5" s="11">
        <v>6.0</v>
      </c>
      <c r="E5" s="11">
        <v>3.0</v>
      </c>
      <c r="F5" s="11">
        <v>10.0</v>
      </c>
      <c r="G5" s="9">
        <f t="shared" si="1"/>
        <v>1320</v>
      </c>
    </row>
    <row r="6">
      <c r="B6" s="11" t="s">
        <v>5265</v>
      </c>
      <c r="C6" s="11">
        <v>500.0</v>
      </c>
      <c r="G6" s="11">
        <v>500.0</v>
      </c>
    </row>
    <row r="8">
      <c r="I8" s="11" t="s">
        <v>5266</v>
      </c>
      <c r="J8" s="11">
        <v>4.5</v>
      </c>
    </row>
    <row r="9">
      <c r="C9" s="9">
        <f>SUM(G2:G6)</f>
        <v>13480</v>
      </c>
      <c r="I9" s="11" t="s">
        <v>5267</v>
      </c>
      <c r="J9" s="11">
        <v>1.8</v>
      </c>
    </row>
    <row r="16">
      <c r="J16" s="11" t="s">
        <v>5268</v>
      </c>
      <c r="K16" s="11">
        <v>4200.0</v>
      </c>
      <c r="L16" s="11" t="s">
        <v>5262</v>
      </c>
    </row>
    <row r="17">
      <c r="F17" s="11" t="s">
        <v>5269</v>
      </c>
      <c r="G17" s="11">
        <v>120.0</v>
      </c>
    </row>
    <row r="18">
      <c r="B18" s="11">
        <v>5600.0</v>
      </c>
      <c r="F18" s="11" t="s">
        <v>5258</v>
      </c>
      <c r="G18" s="11">
        <v>150.0</v>
      </c>
    </row>
    <row r="19">
      <c r="B19" s="11">
        <v>1140.0</v>
      </c>
      <c r="F19" s="11" t="s">
        <v>5270</v>
      </c>
      <c r="G19" s="11">
        <v>15.0</v>
      </c>
    </row>
    <row r="20">
      <c r="B20" s="11">
        <v>6400.0</v>
      </c>
      <c r="D20" s="11" t="s">
        <v>5271</v>
      </c>
      <c r="E20" s="9">
        <f>B21-C9</f>
        <v>-340</v>
      </c>
      <c r="F20" s="11" t="s">
        <v>5272</v>
      </c>
      <c r="G20" s="11">
        <v>50.0</v>
      </c>
    </row>
    <row r="21">
      <c r="B21" s="9">
        <f>SUM(B18:B20)</f>
        <v>13140</v>
      </c>
    </row>
    <row r="23">
      <c r="D23" s="9">
        <f>1140+6400</f>
        <v>7540</v>
      </c>
      <c r="E23" s="9">
        <f>D23-3500</f>
        <v>4040</v>
      </c>
    </row>
    <row r="24">
      <c r="E24" s="9">
        <f>E23-300</f>
        <v>3740</v>
      </c>
    </row>
  </sheetData>
  <drawing r:id="rId1"/>
</worksheet>
</file>